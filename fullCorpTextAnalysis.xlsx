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roxanneziman/Documents/AVSTAR/"/>
    </mc:Choice>
  </mc:AlternateContent>
  <xr:revisionPtr revIDLastSave="0" documentId="8_{BE6EC589-A8B0-9040-A59F-A183C6E73BB6}" xr6:coauthVersionLast="47" xr6:coauthVersionMax="47" xr10:uidLastSave="{00000000-0000-0000-0000-000000000000}"/>
  <bookViews>
    <workbookView xWindow="57980" yWindow="-2780" windowWidth="29220" windowHeight="28180" xr2:uid="{00000000-000D-0000-FFFF-FFFF00000000}"/>
  </bookViews>
  <sheets>
    <sheet name="fullCorpTextAnalysis" sheetId="1" r:id="rId1"/>
    <sheet name="star_20241013_lit" sheetId="2" state="hidden" r:id="rId2"/>
    <sheet name="LAN paper comparison" sheetId="3" state="hidden" r:id="rId3"/>
  </sheets>
  <definedNames>
    <definedName name="_xlnm._FilterDatabase" localSheetId="0" hidden="1">fullCorpTextAnalysis!$A$2:$BT$118</definedName>
    <definedName name="_xlnm._FilterDatabase" localSheetId="2" hidden="1">'LAN paper comparison'!$A$2:$AA$112</definedName>
    <definedName name="_xlnm._FilterDatabase" localSheetId="1" hidden="1">star_20241013_lit!$A$1:$U$1000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 r="F8" i="1"/>
  <c r="F9" i="1"/>
  <c r="F12" i="1"/>
  <c r="F18" i="1"/>
  <c r="F25" i="1"/>
  <c r="F27" i="1"/>
  <c r="F32" i="1"/>
  <c r="F33" i="1"/>
  <c r="F34" i="1"/>
  <c r="F40" i="1"/>
  <c r="F41" i="1"/>
  <c r="F42" i="1"/>
  <c r="F43" i="1"/>
  <c r="F48" i="1"/>
  <c r="F50" i="1"/>
  <c r="F54" i="1"/>
  <c r="F55" i="1"/>
  <c r="F57" i="1"/>
  <c r="F58" i="1"/>
  <c r="F59" i="1"/>
  <c r="F60" i="1"/>
  <c r="F70" i="1"/>
  <c r="F71" i="1"/>
  <c r="F72" i="1"/>
  <c r="F73" i="1"/>
  <c r="F74" i="1"/>
  <c r="F80" i="1"/>
  <c r="F82" i="1"/>
  <c r="F83" i="1"/>
  <c r="F85" i="1"/>
  <c r="F86" i="1"/>
  <c r="F87" i="1"/>
  <c r="F88" i="1"/>
  <c r="F90" i="1"/>
  <c r="F91" i="1"/>
  <c r="F97" i="1"/>
  <c r="F98" i="1"/>
  <c r="F103" i="1"/>
  <c r="B112" i="3"/>
  <c r="B1" i="3"/>
  <c r="A147" i="2"/>
  <c r="A146" i="2"/>
  <c r="A144" i="2"/>
  <c r="A143" i="2"/>
  <c r="A142" i="2"/>
  <c r="A141" i="2"/>
  <c r="A140" i="2"/>
  <c r="A139" i="2"/>
  <c r="A137" i="2"/>
  <c r="A136" i="2"/>
  <c r="A135" i="2"/>
  <c r="A134" i="2"/>
  <c r="A133" i="2"/>
  <c r="A132" i="2"/>
  <c r="A131" i="2"/>
  <c r="A130" i="2"/>
  <c r="A128" i="2"/>
  <c r="A126" i="2"/>
  <c r="A125" i="2"/>
  <c r="A124" i="2"/>
  <c r="A123" i="2"/>
  <c r="A122" i="2"/>
  <c r="A121" i="2"/>
  <c r="A118" i="2"/>
  <c r="A117" i="2"/>
  <c r="A114" i="2"/>
  <c r="A113" i="2"/>
  <c r="A112" i="2"/>
  <c r="A109" i="2"/>
  <c r="A106" i="2"/>
  <c r="A103" i="2"/>
  <c r="A102" i="2"/>
  <c r="A101" i="2"/>
  <c r="A99" i="2"/>
  <c r="A98" i="2"/>
  <c r="A97" i="2"/>
  <c r="A96" i="2"/>
  <c r="A95" i="2"/>
  <c r="A94" i="2"/>
  <c r="A93" i="2"/>
  <c r="A92" i="2"/>
  <c r="A91" i="2"/>
  <c r="A88" i="2"/>
  <c r="A87" i="2"/>
  <c r="A86" i="2"/>
  <c r="A85" i="2"/>
  <c r="A84" i="2"/>
  <c r="A83" i="2"/>
  <c r="A82" i="2"/>
  <c r="A80" i="2"/>
  <c r="A79" i="2"/>
  <c r="A78" i="2"/>
  <c r="A77" i="2"/>
  <c r="A76" i="2"/>
  <c r="A75" i="2"/>
  <c r="A74" i="2"/>
  <c r="A73" i="2"/>
  <c r="A72" i="2"/>
  <c r="A70" i="2"/>
  <c r="A69" i="2"/>
  <c r="A68" i="2"/>
  <c r="A66" i="2"/>
  <c r="A65" i="2"/>
  <c r="A64" i="2"/>
  <c r="A62" i="2"/>
  <c r="A61" i="2"/>
  <c r="A60" i="2"/>
  <c r="A59" i="2"/>
  <c r="A58" i="2"/>
  <c r="A57" i="2"/>
  <c r="A56" i="2"/>
  <c r="A55" i="2"/>
  <c r="A54" i="2"/>
  <c r="A53" i="2"/>
  <c r="A52" i="2"/>
  <c r="A51" i="2"/>
  <c r="A50" i="2"/>
  <c r="A49" i="2"/>
  <c r="A47" i="2"/>
  <c r="A46" i="2"/>
  <c r="A45" i="2"/>
  <c r="A43" i="2"/>
  <c r="A42" i="2"/>
  <c r="A41" i="2"/>
  <c r="A40" i="2"/>
  <c r="A39" i="2"/>
  <c r="A38" i="2"/>
  <c r="A37" i="2"/>
  <c r="A36" i="2"/>
  <c r="A35" i="2"/>
  <c r="A31" i="2"/>
  <c r="A29" i="2"/>
  <c r="A27" i="2"/>
  <c r="A22" i="2"/>
  <c r="A21" i="2"/>
  <c r="A20" i="2"/>
  <c r="A19" i="2"/>
  <c r="A18" i="2"/>
  <c r="A17" i="2"/>
  <c r="A16" i="2"/>
  <c r="A15" i="2"/>
  <c r="A14" i="2"/>
  <c r="A13" i="2"/>
  <c r="A12" i="2"/>
  <c r="A10" i="2"/>
  <c r="A9" i="2"/>
  <c r="A8" i="2"/>
  <c r="A6" i="2"/>
  <c r="A4" i="2"/>
  <c r="A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J1" authorId="0" shapeId="0" xr:uid="{00000000-0006-0000-0200-000001000000}">
      <text>
        <r>
          <rPr>
            <sz val="10"/>
            <color rgb="FF000000"/>
            <rFont val="Arial"/>
            <scheme val="minor"/>
          </rPr>
          <t>to sum up, they looked at papers that argued WHY it is important to study affective visualization, and through open-coding generated these overarching 'perspectives' (motivations for studying this area). This didn't feel super clearly described, and certainly doesn't seem to be the focus. This also seems separate from the design space they derived in the second part, analyzing a corpus of affective visualizations.
	-Roxy Z
In the limitations, they discuss the possibility of alternative analysis perspectives or taxonomies to understand affective visualization design.
	-Roxy Z</t>
        </r>
      </text>
    </comment>
  </commentList>
</comments>
</file>

<file path=xl/sharedStrings.xml><?xml version="1.0" encoding="utf-8"?>
<sst xmlns="http://schemas.openxmlformats.org/spreadsheetml/2006/main" count="7372" uniqueCount="4243">
  <si>
    <t>Metadata</t>
  </si>
  <si>
    <t>Overview</t>
  </si>
  <si>
    <t>Theoretical Background</t>
  </si>
  <si>
    <t>Stimuli development</t>
  </si>
  <si>
    <t>Study outcomes</t>
  </si>
  <si>
    <t>Study Methodology</t>
  </si>
  <si>
    <t>Data Analysis</t>
  </si>
  <si>
    <t>Misc</t>
  </si>
  <si>
    <t>NEW KEY</t>
  </si>
  <si>
    <t>BibTex Key</t>
  </si>
  <si>
    <t>Authors</t>
  </si>
  <si>
    <t>Year</t>
  </si>
  <si>
    <t>Title</t>
  </si>
  <si>
    <t>DOI Link</t>
  </si>
  <si>
    <t>Journal Domain</t>
  </si>
  <si>
    <t>Country</t>
  </si>
  <si>
    <t>Abstract</t>
  </si>
  <si>
    <t>Paper Nickname</t>
  </si>
  <si>
    <t>Domain Application</t>
  </si>
  <si>
    <t>Topic</t>
  </si>
  <si>
    <t>Research Area</t>
  </si>
  <si>
    <t>Study Aims</t>
  </si>
  <si>
    <t>Why was emotion important in this study (rephrased)?</t>
  </si>
  <si>
    <t>Other Background Info</t>
  </si>
  <si>
    <t>Emotional engagement primary or secondary aim of study?</t>
  </si>
  <si>
    <t>Definition of engagement (original note) Formal/grounded in theoretical framework? What description given?</t>
  </si>
  <si>
    <t>Engagement Concept</t>
  </si>
  <si>
    <t>Engagement Citation</t>
  </si>
  <si>
    <t>Emotion Model</t>
  </si>
  <si>
    <t>Emotion Model Citation</t>
  </si>
  <si>
    <t>Additional notes about emotion model</t>
  </si>
  <si>
    <t>Other notes about concepts of emotional engagement in the paper</t>
  </si>
  <si>
    <t>Process for choosing what emotions to focus on? i.e. (how) did the authors choose which emotions to study? or did they want to see what emotions were elicited through the modification of the visualization design? (i.e. emotions identified through results)</t>
  </si>
  <si>
    <t>Emotional Valence</t>
  </si>
  <si>
    <t>Specific Emotions Cleaned</t>
  </si>
  <si>
    <t>Specific Emotions</t>
  </si>
  <si>
    <t>Data Type</t>
  </si>
  <si>
    <t>Vis Type</t>
  </si>
  <si>
    <t>Vis Type Grouped</t>
  </si>
  <si>
    <t>Element(s) Modified Grouped</t>
  </si>
  <si>
    <t>Element(s) Modified</t>
  </si>
  <si>
    <t>Findings: Summary</t>
  </si>
  <si>
    <t>Findings &amp; Conclusions</t>
  </si>
  <si>
    <t>Findings: Recommendations</t>
  </si>
  <si>
    <t>Element(s) modified Details</t>
  </si>
  <si>
    <t>Interactivity</t>
  </si>
  <si>
    <t>Animation</t>
  </si>
  <si>
    <t>Rhetorical device used</t>
  </si>
  <si>
    <t>Dataset Source</t>
  </si>
  <si>
    <t>Visualization Source</t>
  </si>
  <si>
    <t>Location Context</t>
  </si>
  <si>
    <t>Format</t>
  </si>
  <si>
    <t>Pre-evaluation or Needs Assessment
How was data and final visualization (stimuli) chosen?</t>
  </si>
  <si>
    <t>Other notes about stimuli development</t>
  </si>
  <si>
    <t>Study Type</t>
  </si>
  <si>
    <t>Study Design</t>
  </si>
  <si>
    <t>Subjects Design</t>
  </si>
  <si>
    <t>Study Setting</t>
  </si>
  <si>
    <t>Study Population</t>
  </si>
  <si>
    <t>Target Population</t>
  </si>
  <si>
    <t>Number of Participants</t>
  </si>
  <si>
    <t>Participant Demographics: Age</t>
  </si>
  <si>
    <t>Participant Demographics: % Female</t>
  </si>
  <si>
    <t>Participant Demographics: Other Information</t>
  </si>
  <si>
    <t>Study Instruments</t>
  </si>
  <si>
    <t>Study Type: Details</t>
  </si>
  <si>
    <t>Study Instruments: Details</t>
  </si>
  <si>
    <t>Duration (min)</t>
  </si>
  <si>
    <t>Ethics Review Reported</t>
  </si>
  <si>
    <t>Recruitment strategy</t>
  </si>
  <si>
    <t>Statistical Analysis</t>
  </si>
  <si>
    <t>Data Analysis: Details</t>
  </si>
  <si>
    <t>Limitations &amp; Future opportunities</t>
  </si>
  <si>
    <t>Mention of responsibility/ethics in intent
(or possible relationship to this topic) in the paper?</t>
  </si>
  <si>
    <t>Misc Notes / Comments</t>
  </si>
  <si>
    <t>Exclude Decision</t>
  </si>
  <si>
    <t>Relevant for fMRI study</t>
  </si>
  <si>
    <t>Relevant for 4th project?</t>
  </si>
  <si>
    <t>A091</t>
  </si>
  <si>
    <t>Muller, L.; Turner, G.; Khut, G.; Edmonds, E.</t>
  </si>
  <si>
    <t>Creating Affective Visualisations for a Physiologically Interactive Artwork</t>
  </si>
  <si>
    <t>https://ieeexplore.ieee.org/document/1648328</t>
  </si>
  <si>
    <t>Australia</t>
  </si>
  <si>
    <t>This paper describes an action research project based on the process of designing the visualisation of heart and breath rate data for the interactive artwork Cardiomorphologies. The project aimed to realise the affective goals of the artist as closely as possible by studying the audience experience of the visualisations and incorporating the findings into an iterative design process. The qualities of richness and ambiguity were found to contribute to the achievement of the artists’ two major aims: 1) to create a sense of integrated physical and mental engagement with the work and 2) to create a reflective state in which participants consider correlations between their thoughts and specific physiological states</t>
  </si>
  <si>
    <t>Cardiomorphologies</t>
  </si>
  <si>
    <t>Medicine</t>
  </si>
  <si>
    <t>Interactive art</t>
  </si>
  <si>
    <t>To realize the experiential and affective goals of the artist as much as possible by studying the audience experience of the vis and incorporating the findings into an iterative design process. Specifically, evaluating the effect on emotional response of a physiologically responsive artwork, Cardiomorphologies, which creats audiovisual representations of the participant's breath and heart rate.</t>
  </si>
  <si>
    <t xml:space="preserve">"For artistic contexts, the affective qualities are at least as important as ability to convey information efficiently and accurately." Heightening the affective response in the audience can create a sense of integrated physical and mental engagement with artwork, as well as a reflective state in which participants consider correlations between thoughts and specific physiological states. </t>
  </si>
  <si>
    <t>Focus on computer-based contemporary art practice, with increasing focus in HCI studies - how people feel while using technology (personal communication and entertainment tech) is of growing importance. Interactive art has a key role for understanding and designing affective HCI.
artwork that is specifically using biofeedback technology.</t>
  </si>
  <si>
    <t>primary</t>
  </si>
  <si>
    <t xml:space="preserve">requirements for engagement in physiologically driven computing and art: ease of connection to input and immersion in output, which lead to sense of personal connection, or somatic extension.
Must consider the audience's experience. In this case, the data/info represented is drawn from the participant directly, and a complex feedback loop is created in which the data vis both provokes and reflects the participant's reaction to it.
In general, higher engagement and reflection relate to how audiences approach, experience, and interpret information.
Sense of physical and mental engagement with the work, and a reflective state that has participants considering correlations between thoughts and specific physiological states.
</t>
  </si>
  <si>
    <t>focused on biofeedback - heart rate and breathing.</t>
  </si>
  <si>
    <t>Based on artist's affective aims:
sensual and kinesthetic - enjoyable sensations of changing weight, motion and patterning within body
close fitting - should feel like an extension of the body
quiet, concentrated, inwardly-attentive-focus - participant focused on sensing and responding to subtle shifts within their own psycho-physiology</t>
  </si>
  <si>
    <t>state of reflection: explorative, curious, meaningfulness</t>
  </si>
  <si>
    <t>tabular, time-series of heart rate and breath</t>
  </si>
  <si>
    <t>line chart, sonification</t>
  </si>
  <si>
    <t>They preferred the doughnut design, wanted more colour variation. Ambiguity was explored as a resource for dseign,esp. in affective realms like art. Uncertain meanings in ambiguous systems can lead to people interpreting situations for themselves and therefore develop deeper and more personal relations with meanings offered. These systems may be evocative rather than didactic and mysterious rather than obvious.
Participants felt intensely personal feelings and emotions. Relaxed and calm feelings were reported after thes tart. Participants were focused on body and breathing
ambiguity creates space for people to find their own meaning, which can also encourage active reflection</t>
  </si>
  <si>
    <t>screen</t>
  </si>
  <si>
    <t>iterated on designs based on first round</t>
  </si>
  <si>
    <t>Qual / mixed?</t>
  </si>
  <si>
    <t>general</t>
  </si>
  <si>
    <t>10
6</t>
  </si>
  <si>
    <t>5 F
3 F</t>
  </si>
  <si>
    <t>video recall method
focus group / participatory design</t>
  </si>
  <si>
    <t xml:space="preserve">video recordings
</t>
  </si>
  <si>
    <t>Excluded: While interesting, this one may get excluded bc it's about designing for visualizing emotions (physiologic processes that are closely tied to emotional state), rather than about something else that itself elicits emotions. The thing being visualized is the emotion of the viewer</t>
  </si>
  <si>
    <t>Exclude</t>
  </si>
  <si>
    <t>A012</t>
  </si>
  <si>
    <t>Hodza, P</t>
  </si>
  <si>
    <t>Evaluating User Experience of Experiential GIS</t>
  </si>
  <si>
    <t>10.1111/j.1467-9671.2009.01176.x","http://dx.doi.org/10.1111/j.1467-9671.2009.01176.x")</t>
  </si>
  <si>
    <t>USA</t>
  </si>
  <si>
    <t>Evaluating user-system interaction is important to develop effective and acceptable systems. Traditionally, geospatial systems are evaluated in terms of usability with emphasis on completing application tasks and goals. This focus ignores the nonfunctional aspects that separate systems with similar usability and functionality, and complete a user's experience. An alternative and holistic user experience (UX) concept that encompasses functional (e. g. usability, ergonomics, etc.) and nonfunctional (e. g. aesthetics, emotions, pleasure, cognitive stimulation, etc.) dimensions was adopted to evaluate an innovative Experiential GIS (EGIS). The EGIS is an immersive geospatial system that disengages the user from the real-world and renders the user present in 3D geovirtual scenes with real-time sensorimotor feedback. This system was assessed in a soil mapping application involving four collaborating soil scientists. The scientists had very positive reactions, common viewpoints and occasionally varying perceptions of EGIS and the geovirtual soil mapping technique. They viewed the system as intuitive, enjoyable and capable of improving the speed and quality of soil mapping, and identified the system's strengths as including co-experiential knowledge construction and a 'go anywhere' capability that enabled access to physically inaccessible and trespass prohibited areas. The scientists' views were more varied about the role of EGIS in minimizing soil mapping labor and costs.</t>
  </si>
  <si>
    <t>Experiential GIS</t>
  </si>
  <si>
    <t>Science/Agriculture</t>
  </si>
  <si>
    <t>Soil Mapping (Agronomy?)</t>
  </si>
  <si>
    <t>Cartography &amp; GIS</t>
  </si>
  <si>
    <t>To evaluate the non-functional dimensions of UX - including aesthetics, emotions, pleasure, cognitive stimulation - in an immersive geospatial (Experiential GIS) application for a soil mapping exercise with four collaborating soil scientists, with the aim of presenting this EGIS as a viable alternative to traditional methods to enable a 'go anywhere' capability, and minimize soil mapping labour and costs.</t>
  </si>
  <si>
    <t>Emotions affect comprehension, task-performance, and probelm solving (Hudlicka 2003, Coutinho et al 2005, Hassenzal 2006). Emotions also impact system use. Should be considered in system design for this reason to improve experience and encourage use.</t>
  </si>
  <si>
    <t>Collaboration is an important part of immersive experiences- becomes part of this, esp. for geovirtual soil mapping exercises.
"Soil mapping involves the main stages of soil pre-mapping and field investigation. Soil pre-mapping is essentially a visualization enterprise involving the creation of mental models representing the relationship between soil and landscape properties. Historically, soil scientists use a combination of stereo pairs of aerial photos and 2D topographic maps to conceptualize the complex 3D soil-landscapes and interpret and manually draw soil boundaries (Figure 2). Once created, the soil pre-maps can be used in the field to collect additional data, modify preliminary soil boundary delineations and ground-truth the initial soil-landscape model. The nature and extent of this fieldwork depends on the mapping scale and level of detail of the soil survey (Soil Survey Division Staff 1993)."
"3D terrain displays are intuitive and valuable in soil mapping practice. They stimulate more neurons and involve a larger portion of the human brain in problem-solving and knowledge construction than 2D displays (van Driel 1989)."</t>
  </si>
  <si>
    <t>primary (among other things)</t>
  </si>
  <si>
    <t>no definition of engagement, focused more on understanding the 'nature of experience' as it (relates to immersive geospatial environments). Adds dimension of co-experience - one jointly created with others, deal with how collaborating users give meaning to episodes of interactiving with a system, perform application tasks, engage in discussions, and reach decisions.</t>
  </si>
  <si>
    <t>actively participating, experiencing</t>
  </si>
  <si>
    <t>none</t>
  </si>
  <si>
    <t>Hedonic quality, eliciting joy and excitement</t>
  </si>
  <si>
    <t>Hassenzahl &amp; Tractinsky 2006</t>
  </si>
  <si>
    <t>Emotions as antecedents (bodily experience that can influence how a user interacts with a system) and consequences of system use, shaped partly by user's frame of mind. Emotions are transient and situated - they are experienced in specific contexts and are rather brief. Unless outwardly expressed, emotions are difficult to know.
Positive emotions associated with UX design (focusing on hedonic quality- HQ) can improve usability, encourage system use, affect comprehension, task-performance, and problem-solving (Hudlicka 2003, Coutinho 2005, Hassenzahl and Tractinsky 2006). "UX goes beyond the utilitarian to include support for creativity and motivational, emotional, rewarding and stimulatory perspectives"</t>
  </si>
  <si>
    <t>emotions affect comprehension, task-performance, and problem-solving. Can also encourage or discourge system use</t>
  </si>
  <si>
    <t>Positive emotions associated with enhanced UX and system design in immersive settings.</t>
  </si>
  <si>
    <t>Positive</t>
  </si>
  <si>
    <t>Enjoyment, Pleasure</t>
  </si>
  <si>
    <t>geospatial</t>
  </si>
  <si>
    <t>Immersive 3D</t>
  </si>
  <si>
    <t>presentation format</t>
  </si>
  <si>
    <t>- co-experience and active collaboration in the EGIS system is an advantage over stereoscope technique of traditional soil mapping; although, a negative experience could come from interpersonal dynamics (tensions of dominance and power can frustrate efforts to construct knowledge in effective and efficient ways) - but that did not happen in this experienec
- combinations of data layering (e.g. natural colour, colour-infrared orthoimagery), modifying layer opacity, on 3D terrain was possible. Vertical exaggeration of terrain to mirror reality and better relate soil occurrence to landscape position is possible as compared to traditional method
- switching between the immersive (CAVE) and non-immersive (tablet PC) displays for the digitizing scientist was disruptive
- HQ: varied opinions on whether the 3D geospatial scenes improved understanding of soil landforms (3 'great extent' and 1 'small extent'), but all agreed the EGIS would help them appreciate landscapes such as glacial landforms they had never before experienced. The most novice scientist learned a lot
- creation of soil geographic knowledge - mood amongst scientists was highly positive, each participant was able to contribute to creating soil geographic knowlege with considerable enthusiasm; spirit of teamwork was enhanced; ability for each scientist to represent their own soil knowledge digitally in EGIS was empowering. "Wow" factor of immersive experience; accessibility of restricted areas, or otherwise dangerous terrain
- expanding domain skills - "The scientists were able to establish a good rapport that is central to any collaborative effort. They exchanged ideas in an atmosphere of mutual respect and created collective mental models of the nature of soil occurrence in the study area. Collaborative mental modeling is a powerful approach that revolutionizes soil mapping practice. As discussed further in the next section, this approach has great potential in improving the soil map product."
- overall contributes to better soil map, minimizes soil mapping labour and to some extent costs, and speed up the process of soil mapping</t>
  </si>
  <si>
    <t>VR vs paper-based</t>
  </si>
  <si>
    <t>Yes</t>
  </si>
  <si>
    <t>No</t>
  </si>
  <si>
    <t>real-world</t>
  </si>
  <si>
    <t>custom</t>
  </si>
  <si>
    <t>local</t>
  </si>
  <si>
    <t>immersive / VR</t>
  </si>
  <si>
    <t>qual</t>
  </si>
  <si>
    <t>user study</t>
  </si>
  <si>
    <t>N/A</t>
  </si>
  <si>
    <t>lab</t>
  </si>
  <si>
    <t>soil scientists</t>
  </si>
  <si>
    <t>1 F</t>
  </si>
  <si>
    <t>no prior experience with CAVE (immersive environment), but 2 were proficient with GIS software building blocks of EGIS.</t>
  </si>
  <si>
    <t>Observation in lab, Custom semi-structured interview protocol, Custom Questionnaire</t>
  </si>
  <si>
    <t>Observation of participant behaviour while using system
Interview and questionnaire given after mapping exercise</t>
  </si>
  <si>
    <t>Questionnaire
35 open-ended questions for interview</t>
  </si>
  <si>
    <t>distribution of Likert scales</t>
  </si>
  <si>
    <t>summary stats</t>
  </si>
  <si>
    <t>Multiple evaluation methods are still needed, per the authors. Mixed reactions can still happen, contradictory perceptions, and dissonant user attitudes toward experiencing immersive systems.
Look into whether or not such a system can actually reduce soil mapping labour and costs (since the participants were split on this aspect). 
Improvements to the system itself are suggested, e.g. dynamic scale bar, landmarks for improving distance estimations, 3D digitizing capability. Investigate a larger study area e.g. minimum soil survey area of a county in the US. 
Could EGIS be used for flood visualization, 3D subsurface visualization of soil profile modeling and mineral exploration
Participatory GIS framework - environmental impact assessments. or advanced multivariate statistical data analysis.</t>
  </si>
  <si>
    <t>None per se. Interesting point about co-experiencing that can lead to interpersonal dynamics</t>
  </si>
  <si>
    <t>Not sure if this is an edge example or not / or should be removed from the corpus. They look at emotions as part of the UX experience, rather than as a design to elicit certain emotions (so it could be related to epistemic emotions like in learning environments). 
While not dealing with simple datavis (charts), the geospatial aspect has application in other domains, e.g., biology, surgical training. So if this study is included then such studies looking at immersive environments and spatial data would also have to be included - so probably this would have to be excluded.
Doesn't include charts per se so not sure if this should be included or not</t>
  </si>
  <si>
    <t>Edge?</t>
  </si>
  <si>
    <t>A098</t>
  </si>
  <si>
    <t>Ancker, Jessica S.; Chan, Connie; Kukafka, Rita</t>
  </si>
  <si>
    <t>Interactive Graphics for Expressing Health Risks: Development and Qualitative Evaluation</t>
  </si>
  <si>
    <t>https://doi.org/10.1080/10810730903032960</t>
  </si>
  <si>
    <t>10.1080/10810730903032960</t>
  </si>
  <si>
    <t>Health &amp; Medicine</t>
  </si>
  <si>
    <t>Recent findings suggest that interactive game-like graphics might be useful in communicating probabilities. We developed a prototype for a risk communication module, focusing on eliciting users' preferences for different interactive graphics and assessing usability and user interpretations. Feedback from five focus groups was used to design the graphics. The final version displayed a matrix of square buttons; clicking on any button allowed the user to see whether the stick figure underneath was affected by the health outcome. When participants used this interaction to learn about a risk, they expressed more emotional responses, both positive and negative, than when viewing any static graphic or numerical description of a risk. Their responses included relief about small risks and concern about large risks. The groups also commented on static graphics: arranging the figures affected by disease randomly throughout a group of figures made it more difficult to judge the proportion affected but often was described as more realistic. Interactive graphics appear to have potential for expressing risk magnitude as well as the feeling of risk. This affective impact could be useful in increasing perceived threat of high risks, calming fears about low risks, or comparing risks. Quantitative studies are planned to assess the effect on perceived risks and estimated risk magnitudes.</t>
  </si>
  <si>
    <t>Interactive Graphics for Expressing Health Risks</t>
  </si>
  <si>
    <t>Risk communication</t>
  </si>
  <si>
    <t>Health Communication</t>
  </si>
  <si>
    <t>To understand how interaction can help in communicating quantitative risk for health communication, with a qualitative assessment to elicit user preferences, basic usability, and interpretations of what users were seeing.</t>
  </si>
  <si>
    <t>Understanding user preferences increases engagement and satisfaction, which helps in designing better and more effective interactive resources, in this case for health risk communication.</t>
  </si>
  <si>
    <t>communicating about risks accurately is challenging. Different visual strategies: graphs, but graphical literacy needed, matrices of squares or icons is more intuitive but format can affect behaviour and judgment.
- Elaboration likelihood model - attitude changes deriving from such active information processing will be more stable and persistent than changes deriving from peripherally processed information
- experiencing risk through card games (displaying amount of money to be won by drawing a particular card) that leads to underweighting the probability of a rare event when learning from experience (reference Kahneman &amp; Tversky, 1979; Hertwig et al, 2004; Weber et al 2004)</t>
  </si>
  <si>
    <t>engaging with information by...</t>
  </si>
  <si>
    <t>manipulating, elaborating on, acting on</t>
  </si>
  <si>
    <t>Elaboration Likelihood Model</t>
  </si>
  <si>
    <t>Petty &amp; Cacioppo 1986</t>
  </si>
  <si>
    <t>open / grounded theory coding of focus group transcripts and generating themes, of which emotional response was reported first</t>
  </si>
  <si>
    <t>Positive–Negative</t>
  </si>
  <si>
    <t>Negative emotions (unspecified), Positive emotions (unspecified)</t>
  </si>
  <si>
    <t>mixed</t>
  </si>
  <si>
    <t>tabular</t>
  </si>
  <si>
    <t>Bar, Iconography</t>
  </si>
  <si>
    <t>Chart, Pictograph</t>
  </si>
  <si>
    <t>interactivity</t>
  </si>
  <si>
    <t>Emotional impact - the interactive program elicited more emotional response than other graphics and visuals (17 comments coded as emotional responses, compared to 4 for bar chart); expression of dismay when a stick figure "got the disease", one woman didn't want to "play" anymore. Conversely, low risk conveyed relief in one participant. Impatience that the interaction took too long. Minimal/no emotional response to printed illustrations of the stick figures or the bar chart, tho one person cheered at a % statistic.
- Impersonal numbers - quant information described as impersonal or irrelevant, e.g. "it's not warm", % have to do with other people, want more clarity.
- matrix of stick figures vis was preferred over bar chart because it is "clearer you're talking about human beings and not statistics". But could also feel overwhelming, while bar charts were straightforward.
- random arrangement in matrix was preferred because it was more realistic in depicting chance
- interaction felt like a game to some, while learning. Others were impatient, but most enjoyed interactive aspect of putting in personal info and getting tailored output.
- MD-Px communication - most participants had negative experiences talking with MDs about risk. Unclear, felt rushed, felt intimidated. Some distrust in medicine and doctors, e.g. suggestions that Rx drugs riskier than herbal preparations, and doctors avoided explaining Rx drug sFx for fear of being held liable for those sFx.
Comparisons - the interpretive tool did not need comparison/interpretive information (e.g. "this is high" or "higher than average")
Framing of the user as the 'character' in the interactive version could elicit a strong emotional response if the selected square ('you') ended up with the disease. sometimes elicited a stronger emotional response. If image was too threatening, people might refuse to use the program or reject its message (Witte, 1992). Changed framing to neutral/third person (someone among a group of people, rather than 'you'). Reduced negative emotional response but didn't eliminate.
Text- clarity about expressing percentages and risk, and matching with image (e.g. 6 in every 100 people, but then showing 1000 icons) - 6% means 6 out of every 100; in 1000 people, it would mean about 60 people.
Overall approach to designing: the authors could pilot different types of game-like interactive risk graphics, remove undesirable features or abandon versions that were likely to be unacceptable, and explore participants' interpretations of what they were seeing and experiencing. 
Sequential arrangement of stick figures who are part of risk category helps with more rapid and intuitive proportion judgment (Hollands and Spence, 1998). But random arrangement is more "accurate" or "true", reflects unpredictability, or a sense that the disease can strike anybody.</t>
  </si>
  <si>
    <t>national</t>
  </si>
  <si>
    <t>Five focus groups - eliciting interpretations and meaning, and software/technology development with focus on creating user-centered products. Focus group moderator as mediator between developer and participants to elicit both positive and constructive criticism of prototype</t>
  </si>
  <si>
    <t>focus group</t>
  </si>
  <si>
    <t>within</t>
  </si>
  <si>
    <t>in-person</t>
  </si>
  <si>
    <t>20-65+</t>
  </si>
  <si>
    <t>13 F</t>
  </si>
  <si>
    <t>Ethnicity (mostly POC), income level (5 &lt;$15K, 5 &gt;$50K), education (11 college degree)</t>
  </si>
  <si>
    <t>Custom semi-structured interview protocol</t>
  </si>
  <si>
    <t>within-subjects: all participants saw random and sequential arrangements of stick figures</t>
  </si>
  <si>
    <t>IRB</t>
  </si>
  <si>
    <t>Harlem Health Promotion Center, community-based participatory research center in Harlem, NY, founded by CDC
- flyers at public clinics, libraries, recreation centers, other local orgs.</t>
  </si>
  <si>
    <t>grounded theory</t>
  </si>
  <si>
    <t xml:space="preserve">Small sample size, overrepresentation of women and of well-educated participants. 
Heavy focus on user preferences for communication format, which may promote patient engagement and satisfaction, but not necessarily ensure comprehension, learning, or optimal decision-making.
How to represent extremely rare risks, e.g., 1 in a million.
More concrete visual metaphors might be helpful, e.g. bird's eye views of cities or sports arenas. Static graphics may have been successful in demonstrating sampling, but not in making the concept seem relevant to a consumer's personal health risks and goals - limited relatability - unlike the interactive version that encouraged people to think about how the abstract information might apply to themselves.
- unexpected finding was that the interactive software produced an affective response not found with other risk graphics - will be explored in follow-up studies (in development). The feeling of risk, rather than solely its perceived quant magnitude, is an essential component of risk-related decision-making (Loewenstein et al 2001, Slovic et al 2005). Feeling of risk or perceived threat is an essential component of health behaviour models such as the health belief model (Becker 1974), precaution adoption process model, and extended parallel process model. Feeling of risk predicts vaccination better than perceived risk magnitude. 
Overall, an affective impact of risk communication could be useful in increasing perceived threat of risks, calming fears about low risks, or helping patients compare risks. Support patient-oriented decision support.
Findings applicable for situations where there might always be risk, and so patients must decide based on feeling (e.g. cancer therapy).
Could also support people with low numeracy skills, who might be less likely to derive meaningful affective information from numbers and numerical operations (Peters et al 2006).
Future work might explore effect of arrangement of risk on crediblity of risk communication, which is relevant given recent findings that patients reject results of risk calculators (Weinstein et al 2004). The authors here did not assess quantitative judgment (interpretation of size of estimated risk). 
</t>
  </si>
  <si>
    <t>Important to consider the potential for misusing affective risk communication. E.g. in health promotion, increasing perceived threat ecan increase motivation to take protective action, but can also inhibit action if respondends believe that action will not be effective against the threat (Witte, 1992, 1998).  "Thus, in health promotion, efforts to increase perceived threat should be accompanied by efforts to increase the perceived efficacy of actions against the threat. Also, reducing perceived threat may not be ethical if it causes patients to ignore legitimate health risks, such as the risks of adverse effects ofa medication."
Participants expressed strong distrust of medical system (reflecting on Tuskegee syphilis study) and doctors' motives, or described medical drugs as risky, which also could have contributed to the described communication problems relayed by participants. "Repeated references to information-seeking on the Internet underscore the need for online sources of reliable, trusted, and comprehensible information for the public, especially the Af. Am. community."</t>
  </si>
  <si>
    <t>Interesting example of iterative design process with multiple focus groups, so the design evolved a little with each focus group/feedback session. Could be an example of rapid prototyping for app/vis development for general audiences or specific interest groups</t>
  </si>
  <si>
    <t>corpus</t>
  </si>
  <si>
    <t>A086</t>
  </si>
  <si>
    <t>Edsall, Robert M</t>
  </si>
  <si>
    <t>AFFECTING DECISION MAKING: ELICITING EMOTIONAL RESPONSES DURING MAP READING THROUGH MUSIC</t>
  </si>
  <si>
    <t>Long recognized in the arts, the influence of sounds and music on emotional reactions to visual stimuli remains remarkably unconsidered in cartography. Social scientists are increasingly aware that cognitive processing and decision making cannot be fully understood without accounting for affect. Geographic representations are often designed for decision making, but strategies for representing, incorporating and eliciting emotion in decision making have yet to be formalized with maps. Maps used in decision making are not often considered satisfactory to convey mood and emotion; is the mapped area scary, delightful, depressing, invigorating? The adjectives above, however, are frequently used to describe music; composers, musicologists, and even neuroscientists are aware of the conventions used in music to elicit these sorts of emotions. With the ubiquity of broadband Internet, widespread acceptance and use of web maps, and low cost of audio-ready computers, the time is ripe (or has already passed) to fold in conventions of music into the existing body of cartographic conventions. Here, we present a web-based experiment that investigates whether adding a music bed to a simple decision-making environment can influence decisions and, perhaps more importantly, influence the emotional reactions of subjects upon seeing (and hearing) the maps. In the experiment, subjects in three groups are shown identical visual stimuli (fictional city maps through an interactive interface) and asked identical questions about the city, including locating a place in the city to which they would most prefer to move. The sole difference among the groups was the type of music that played in the background as they made their decisions. This paper will describe and demonstrate the experiment and report on preliminary findings.</t>
  </si>
  <si>
    <t>Cartography</t>
  </si>
  <si>
    <t xml:space="preserve">Excluded: The study was still "live" at the time of publication of the paper so results are not reported. </t>
  </si>
  <si>
    <t>A111</t>
  </si>
  <si>
    <t>Hullman, J.; Diakopoulos, N.</t>
  </si>
  <si>
    <t>Visualization Rhetoric: Framing Effects in Narrative Visualization</t>
  </si>
  <si>
    <t>http://ieeexplore.ieee.org/document/6064988/</t>
  </si>
  <si>
    <t>Narrative visualizations combine conventions of communicative and exploratory information visualization to convey an intended story. We demonstrate visualization rhetoric as an analytical framework for understanding how design techniques that prioritize particular interpretations in visualizations that “tell a story” can significantly affect end-user interpretation. We draw a parallel between narrative visualization interpretation and evidence from framing studies in political messaging, decision-making, and literary studies. Devices for understanding the rhetorical nature of narrative information visualizations are presented, informed by the rigorous application of concepts from critical theory, semiotics, journalism, and political theory. We draw attention to how design tactics represent additions or omissions of information at various levels—the data, visual representation, textual annotations, and interactivity—and how visualizations denote and connote phenomena with reference to unstated viewing conventions and codes. Classes of rhetorical techniques identified via a systematic analysis of recent narrative visualizations are presented, and characterized according to their rhetorical contribution to the visualization. We describe how designers and researchers can benefit from the potentially positive aspects of visualization rhetoric in designing engaging, layered narrative visualizations and how our framework can shed light on how a visualization design prioritizes specific interpretations. We identify areas where future inquiry into visualization rhetoric can improve understanding of visualization interpretation.</t>
  </si>
  <si>
    <t>Vis Rhetoric</t>
  </si>
  <si>
    <t>Visualization</t>
  </si>
  <si>
    <t>"Segel and Heer take an initial step towards highlighting how varying degrees of authorial intention and user interaction are achieved by general design components in narrative visualization [38]. This blend of explorative and communicative features presents another research opportunity though: to better understand a user’s interpretation process of a narrative visualization in light of the rhetorical conventions that the author employs. By explicating rhetorical techniques and how such techniques may affect user interpretation, researchers and designers alike stand to gain a tool for understanding how visualizations communicate."
"To examine how end-users interpret narrative visualizations to deepen understanding of how common design techniques represent rhetorical strategies that make certain interpretations more probably. How are rhetorical techniques used in visualization and what are the effects of these techniques on user interpretations of data?"
"Researchers in InfoVis can benefit from a holistic understanding of visualization interpretation capable of providing insight into how particular interpretations arise as a result of interactions between a visualization, user mental models, and other external representations. This view is congruent with a distributed cognition model of InfoVis [26]."</t>
  </si>
  <si>
    <t>- semiotic theory (signs and interactions between them in representations) - assess designer-user meta-communication via the interactive artifact; emphsizes communicative properties of visualizations (communication-minded vis Viegas and Wattenberg 2006) - can serve designers seeking to better convey their intended messages and increase awareness of how design choices may affect interpretation.
- The concept of viewing codes, including visual, textual, cultural, and perceptual [10], describes the implicit, often internalized standards that support interpreting an artifact in a certain way. This motivates incorporating extra-representational factors like individual and group conventions into a visualization rhetoric framework.</t>
  </si>
  <si>
    <t>Framework:
- Editorial layers used to convey meaning: data, visual representation, textual annotations, interactivity
- Data: what data source to include, exclude, or remove outliers, aggregate, scale - all lead to information loss from designer perspective. Visual representation: how data will be mapped to visual domain, often lossy due to limits in human visual perception. Annotations: textual, graphical, social (e.g. user comments) - overlooked in infovis evaluation, but important role in focusing attention on specific areas of a chart. Interactivity: site of choices that constrain a user's interaction that lead to explring certain subsets of data - navigation menus, or linked search suggestions.
- Visualiation Rhetoric Techniques: information access, provenance, mapping, linguistic-based, procedural
- Information access: Omission technique, including neglecting to site data sources or other provenance info, or defining variables ambiguously. Can be motivated by knowledge assumptions of end-user. Thresholding values or omitting exceptional cases, axis thresholding. Omitting can also be transferred to end-user through filtering capabilities - user-driven information loss or avoidance may be a fruitful area of reearch. Metonymy: manipulating part-whole relationships. 
- Data provenance (citing sources, additional references, methodological choices, relevant facts, annotating excpeiont and corrections) achieves goals proposed by Tufte for graph provenance. Representing uncertainty: error bars, textual means including descriptions of inferential limits (CIs), leap-of-faith or forecast annotations, expressions of doubt regarding potential conclusions. Reliance on textual means may indicate lack of adequate methods or commonly understood codes for visually representing uncertainty to non-experts.
- identification of designer - more info sometimes needed, such as author bios or personal anecdotes.
- Mapping: considering the constraints that will determine how a piece of information will be translated to av isual feature via the data-to-visual transfer function. Obscuring: can result from introducing 'noise' on a perceptual level, e.g. gratuitous third dimension, or sizing transformations that violate discriminability limits (making some elements too small for judgment or others are oversized). Can also be false cause-and-effect relationships or using complex design tactics, e.g. double-axis, which are difficult to decode. Visual metaphor visual signs to non-present or implicit meanings - some interpreted automatically due to congruence with embodied experience,e.g. suggestive spatial mappings like left=past, right=future, up=more/better, down=less/bad. Contrast: serve ambiguity, adding seemingly related information that maybe doesn't serve the main message and people will make associations incorrectly. Redundancy: disaggregating homogenous values or visual marks, repetition of labels, etc., can be used to emphasize as well as to create visual noise. The one-to-one (bijective) mapping from data to target (visual) domain in Z&amp;K taxonomy for infovis is violated in nearly all occurances of redundancy.
- Linguistic-based: derived from conventions of language usage. Typographic emphasis, like bolding and italicizing text derives meaning from conventions associated with typography. Irony is a literary and artistic strategy that sets up a discordance between literal meaning of a statement and an alternative implied meaning. Rhetorical questions with irony included in vis, has an effect of engaging user's attention by directly addressing, while also using question in order to imply its inverse, e.g. used in titles to set stage for user to arrive at an obvious interpretation. Quotation marks and deliberate understatement accomplish similar objectives. Similarity: comparision is motivated by assumed similarities between two entities. Analgoy, metaphoric statements, Parallelism, simile, double entendre. Individualization: directly address orappeal to the user as an individual. 
- Procedural: an artifact's procedural mode of representation - expression of meanings through rule-based representation and interactive functions. Anchoring direct's a user's attneiont in a way that helps convey a message. Default veiews, fixed comparisons - present info by default so that users can contrast info with other values. Can increase engagement via individualization when values suggested are more likely to be salient to a user. Spatial ordering leverages conventions for reading and scanning to prioritize info, animations leverage time to suggest a story, partial animations place emphasis for effect, search suggestions and implied goal suggestions direct user's attention rather than more free exploration. Filtering as interactive technique, search bars with tailored info
The top ten most prevalent techniques (ranked by frequency) were grouping by color, aggregating values, suggestive spatial mappings, goal suggestions, bolded fonts, data source citations, metaphoric statements, color mappings, apostrophe, and variable splices.
Cultural codes describe the social norms and wider beliefs of a culture that a designer can target to suggest a particular interpretation. Individual-level codes can be higher-cognitive constraints (e.g., abilities) or more emotionally-based patterns of reaction. Empirical literature demonstrates how individual differences deriving from spatial intelligence (e.g., [9]) as well as prior knowledge can affect visualization interpretation [15, 56] and even bias perception [19]. For example, individuals differ in their interests and prior knowledge regarding various types of news. Consequently, these differences lead to differences in how users interpret the implications of the story in a narrative visualization.
The poll dancing analysis was interesting, particularly the discussion of metaphor and double-entendre, certainly intended by the designer (David McCandleless)</t>
  </si>
  <si>
    <t>Future work: modelling of combined effecst of rhetorical techniques and personal and cultural viewing codes on a user's interpretation in narrative vis.
Distinguishing between denotation and connotation highlights an epistemiological tension: between techniques of 'objective' charts informed by transparency ideals, and layers of connoted interpretation that can seep into or co-opt basis ofobjectivity via rhetorical strategies. e.g. the poll dancing example can be interpreted in two ways which may explain why such vis are engaging in ways that is difficult for numeric representations alone to achieve.
Rhetoric can exert a positive influence in visualizations through this creative tension or interplay that results from combining seemingly oppositional techniques. Future work to devise means of assessing narrative vis such that positive influences are recognized, while acknowledging potential for rhetorical decisions to negatively affect a user's accurate interpretation of data.
Transparency efforts may strengthen sense of journalist's or designer's integrity, despite explictly pointing to lack thereof (e.g. forecasts and predictions being stated). Transparency clues suggest a user should belief the specific interpretation, they also implicitely suggest a preffered way of making similar decisions when viewing other visualizations.
"Insight from critical media and semiotic studies suggests that such codes are dynamic systems that change over time [10]. Many professionally produced narrative visualizations form part of a larger system of meaning and rhetoric, knowledge of which guides an informed user on how to interpret the particular example. By giving more attention to the development, maintenance, and propagation of such conventions in information visualization, researchers and designers alike stand to gain control over dimensions of interpretation that have remained mostly unaccounted for or underexplored. "
"A related discussion prompted by this work concerns the degree of intentionality that can be assumed behind the rhetorical effects achieved in narrative visualization. In analysis we noted all possible, although not necessarily intended, framing effects of design choices. Future studies could involve interviewing visualization creators to assess their cognizance and intentionality of these methods."</t>
  </si>
  <si>
    <t>"we seek to objectively describe the rhetorical nature of visualization design rather than to comment on the appropriateness of persuasion in visualization design. "
"Unequivocal designs are prioritized; “in the ideal case a chart or graph will be absolutely unambiguous, with its intended interpretation being transparent” ([22], pg. 192). Immediate clarity and minimal intervention on the part of the creator are emphasized [Tufte 45]. Where editorial choices must be made, designers are urged to provide detailed provenance information like the objective, time, and location of graph creation [Tufte 44]."
Journalistic codes of ethics emphasize the journalist's duty to remain impartial and present information as clearly as possible (Kovach and Rosenstiel - elements of journalism 2007). Vis rhetoric techniques observed in our sample work to signal the transparency and trustworthiness of the presentation source to end-users. Doing so conveys a respect for the audience and reaffirms a journalist's public interest motive, strenghtening credibility.
The fact that standard communication strategies can pave the way for potentially significant rhetorical effects may partially result from our observation that they often appeared in combination. A designer might opt to use many less obvious framing strategies to convey a visualization story, so as to reduce the appearance of bias that can result from extreme usage of a single strategy. 
In any case, the power of rhetorical techniques to manipulate user interpretations supports a call for increased responsibility among designers to consider the possibly unintended effects their choices may have. This could, for instance, entail adopting a scenario-based design approach where different scenarios representing different viewing codes are considered in an attempt to project how design decisions could push an interpretation in different directions.</t>
  </si>
  <si>
    <t>Excluded: Theory paper rather than part of the corpus
added the 4 (coded as RW) after the fact</t>
  </si>
  <si>
    <t>A036</t>
  </si>
  <si>
    <t>Block, F; Horn, MS; Phillips, BC; Diamond, J; Evans, EM; Shen, C</t>
  </si>
  <si>
    <t>The DeepTree Exhibit: Visualizing the Tree of Life to Facilitate Informal Learning</t>
  </si>
  <si>
    <t>In this paper, we present the DeepTree exhibit, a multi-user, multi-touch interactive visualization of the Tree of Life. We developed DeepTree to facilitate collaborative learning of evolutionary concepts. We will describe an iterative process in which a team of computer scientists, learning scientists, biologists, and museum curators worked together throughout design, development, and evaluation. We present the importance of designing the interactions and the visualization hand-in-hand in order to facilitate active learning. The outcome of this process is a fractal-based tree layout that reduces visual complexity while being able to capture all life on earth; a custom rendering and navigation engine that prioritizes visual appeal and smooth fly-through; and a multi-user interface that encourages collaborative exploration while offering guided discovery. We present an evaluation showing that the large dataset encouraged free exploration, triggers emotional responses, and facilitates visitor engagement and informal learning.</t>
  </si>
  <si>
    <t>DeepTree Exhibit</t>
  </si>
  <si>
    <t>Science Education</t>
  </si>
  <si>
    <t>Evolution</t>
  </si>
  <si>
    <t>Our contribution in this work is three-fold: First, we present an analysis of the problem domain, deriving challenges and key questions. Second, we describe the design and implementation of a fractal tree layout algorithm based on a relative coordinate system and a custom-built rendering engine that provides seamless navigation through tree structures of unlimited size and depth. [...] Thirdly, we present insights collected from 18 months of iterative design, testing, and evaluation., with lessons learned and concrete guidelines for vis and VI design for informal science education settings. Challenges faced when applying infovis methods to informal learning designs.
provide indicators demonstrating that the size of the tree structure increases engagement, triggers emotional responses, and may provide a beneficial context for visitor learning.</t>
  </si>
  <si>
    <t>Improving (emotional) engagement can enhance learning and overall experience in an informal scientific learning environment (museums).</t>
  </si>
  <si>
    <t xml:space="preserve">"The design of information visualizations to support science learning in museums must strike a balance between scientific validity to educate, artistry to entice, and playfulness to engage."
- museums often have specific scientific learning goals from the onset, requiring close collaboration among experts in a variety of disciplines. 
- The project is multi-disciplinary, consisting of two computer scientists, one learning scientist, two cognitive developmental psychologists, one museum curator, and five external science advisors. </t>
  </si>
  <si>
    <t>"Planned Discovery (PD) and Active Prolonged Engagement (APE) are two interactive exhibit paradigms. PD leads visitors through a set of prescribed scientific phenomena with directive labels, while APE exhibits are open-ended and experiential, enabling visitors to become active participants in the construction of meaning through the use of an exhibit. "interaction design plays a central role for information visualization in providing visitors with learning opportunities. Getting it right can give the visitor the ability to actively engage in the interactive visualization. One challenge is to not only allow visitors to interact with the encoded data, but also to enable multiple ways to move freely through the visualization in order to understand the learning content."
"Existing work has highlighted the importance of providing entry points to entice people into engagement, and access points to enable users to join an activity [28], [29]. In particular, [29] presented the APE (Active Prolonged Engagement) framework for museum exhibits and described the intricate relationship between designs for fluid entry points for initial engagement and trajectories for prolonged engagement to learn. "</t>
  </si>
  <si>
    <t>Planned Discovery, Active Prolonged Engagement; capturing attention, interacting with, exploring, learning</t>
  </si>
  <si>
    <t>Humphrey &amp; Gutwill 2005</t>
  </si>
  <si>
    <t>"The design of information visualizations to support science learning in museums must strike a balance between scientific validity to educate, artistry to entice, and playfulness to engage."</t>
  </si>
  <si>
    <t>Informed by design goals - that the tree rendering should be: visually appealing, clear, interface easy to use; multiple entry points to engage with learning content, encourage collaboration, among others</t>
  </si>
  <si>
    <t>Awe, Curiosity, Excitement, Surprise</t>
  </si>
  <si>
    <t>network</t>
  </si>
  <si>
    <t>Tree</t>
  </si>
  <si>
    <t>interactivity, animation</t>
  </si>
  <si>
    <t>Vis Design:
-size of the visualization evoked strong emotional response of surprise, curiosity, awe
Interactivity/Animation:
-contributed to feeling of awe, surprise, capturing attention
Format:
-the format provides an initial attraction and induces engaged exploration (people want to spend time with it), and remains as the primary visual anchor for visitors’ interaction activities. The UI design "leads to naturalistic and cooperative turn-taking"; the UI design facilitates active discussion and community-focused interaction, discussion, and shared exploration, which increases engagement and overall positive experience. The navigation/interaction mechanism follows a participatory approach, gets all users involved (in the form of zooming or panning together), while not disrupting the navigation of the tree.</t>
  </si>
  <si>
    <t>"indicators demonstrating that the size of the tree structure increases engagement, triggers emotional responses, and may provide a beneficial context for visitor learning." 
Measured dwell times exceeded those of regular exhibits, indicating that DeepTree could facilitate APE. Children in particular engaged in manual exploration of the tree. (So, engagement as measured through time spent interacting with the exhibit.)
discourse analysis - 264 utterances: 23% biological content, 16% questions, 9% affective responses, and 52% other (e.g. UI statements).
Affective effect of size of tree - emotional utterances, e.g., wow, this is big; woah - expressed. Indicates the authors met LG2 (conveying vastness of tree) while emotionall engaging audiences through seamless animated flight. Careful animation of a large structure can be emotionally engaging and play a role in a learner's understanding of scale and time.
Our findings also show that the DeepTree visual representation itself provides not only initial attraction, but also induces engaged exploration, and remains as the primary visual anchor for visitors’ interaction activities.
We found that our DeepTree UI design leads to naturalistic and cooperative turn-taking, while encourages active discussions amongst visitors. [...] Similarly, the DeepTree navigation mechanism employs a participatory approach, allowing all participants to at least influence (in the form of zooming or panning together) while not disrupt the navigation of the tree. Meanwhile, the tree visualization itself also provides opportunities for cognitive participation by everyone in a group. We found that the DeepTree UI design, with entry and access points that lead visitors into meaningful engagement was successful in fostering lively social interaction and collaboration [21], [31] around the table.
While this approach created some sense of the big picture, visitors struggled to map the world-in-miniature (WIM) to the DeepTree as the two representations used different layouts and had different visual rendering. Consequently, we concluded that for our case, the benefits of an overview could not justify the cognitive load introduced by multiple representations. More generally, we think that when visualizing large data sets for learning, the need for visual simplicity might often outweigh the benefits of overview.
For learning and education, the particular style and rendering of the visual design and aesthetics have a strong impact on the viewer's perception of the underlying scientific concepts. The interplay of interaction and visualization should be at the center of a design for learning applications in order to engage and guide the learners through meaningful free-choice visual activities.</t>
  </si>
  <si>
    <t>Vis design: -balance visual complexity of large datasets for learning, as "the need for visual simplicity might often outweigh the benefits of overview."
-aesthetic style and interactivity have a strong impact on the viewer's perception of the underlying scientific concepts, which important for learning and education. Interactivity: "The interplay of interaction and visualization should be at the center of a design for learning applications in order to engage and guide the learners through meaningful free-choice visual activities."</t>
  </si>
  <si>
    <t xml:space="preserve"> (zoom, tap, 'flick')</t>
  </si>
  <si>
    <t>touch interface</t>
  </si>
  <si>
    <t>We utilized an adapted process of Rapid Iterative Design and Evaluation [38]-RITE-to drive the development of the DeepTree exhibit. Our formative evaluator also obtained feedback from the visitors on their experience with our exhibit as they were leaving. Deployments between iterations varied in length, but were typically one week and involved approximately 20-40 users.  A new iteration was begun when it became clear that our design goals were not yet met, or when software bugs prevented meaningful observations. Twelve iterations were conducted over the course of a year, with over 250 visitors observed in total.
Data collected from 4 public biological databases</t>
  </si>
  <si>
    <t>observational in-the-wild, interview</t>
  </si>
  <si>
    <t>general (all ages)</t>
  </si>
  <si>
    <t>general (museum-goers, collaborative learning environments)</t>
  </si>
  <si>
    <t>250+ (18 visitor groups)</t>
  </si>
  <si>
    <t>6 multi-generational groups, 7 child dyads, 2 YA dyads, 2 single older adults, 1 single child</t>
  </si>
  <si>
    <t>Observation, Interview</t>
  </si>
  <si>
    <t>observational - observed free exploration of the table by visitors, then presented them with post-test questions</t>
  </si>
  <si>
    <t>ethnographic observation,
questionnaire/interview</t>
  </si>
  <si>
    <t>8.5 avg (range 3:50-15:40min)</t>
  </si>
  <si>
    <t>visitors to the exhibit who approached the table on their own</t>
  </si>
  <si>
    <t>discourse analysis</t>
  </si>
  <si>
    <t>Could compare this to a 'standard format' (which it doesn't appear they included in the 2024 study).</t>
  </si>
  <si>
    <t>Not really applicable? More focus on balancing complexity of visuals and interactions for optimal engagement and learning.</t>
  </si>
  <si>
    <t>This paper (accompanying/a prequel to the 2024 'Awesome to see..' one) goes more in depth into the iterative design process for creating the vis. Focused on integrating infovis principles into informal science learning environment and describing the challenges and successes through this project.
They have what feels like an HCI/UI-UX focus on describing physical actions to accomplish certain tasks, and list out UI principles to this end.</t>
  </si>
  <si>
    <t>A031</t>
  </si>
  <si>
    <t>Giacomin, J; Bertola, D</t>
  </si>
  <si>
    <t>Human emotional response to energy visualisations</t>
  </si>
  <si>
    <t>Industrial</t>
  </si>
  <si>
    <t>UK</t>
  </si>
  <si>
    <t>Past research has found that frequent energy usage feedback is an important factor in reducing home energy consumption, and that the sensory appeal and cognitive relevance of the feedback are key components of user engagement with energy systems. The visual design of the information interface is important not just due to its role in communicating data of cognitive relevance, but also because the choice of information type and format is important towards achieving interactive Hebbian learning. The objective of the current research study was to investigate the possible effect of image format on the human emotional response to scenes of energy systems, and to evaluate whether any gender related differences in emotional response occurred. An automated PC-based test was developed which utilised five visual image formats (Optical Gray-Scale, Optical Coloured, Optical Augmented, Infrared Gray-Scale and Infrared Blue-Red) and nine home energy scenes (hot water boiler, radiator, water faucet, kitchen oven, tea kettle, toaster, electrical connector, laptop computer and tea mug). The emotional response of the participant was measured in the automated test by means of a Self-Assessment Manikin (SAM) which provided symbolic graphical representations of the human body under various degrees of emotional response, and associated Likert format rating scales for the valence and activation level of the emotional response. Comparison of the results obtained for the different visual scenes suggests that the greatest level of human emotional activation was achieved by the Infrared Blue-Red (thermal image) format, and that, generally, coloured images provided higher levels of emotional activation than gray-scale images. The increased activation achieved by the infrared images suggests attention capturing potential due to novelty, or due to the direct link to heat and energy, or both. Significant differences in emotional response (both activation and valence) were found to occur as a function of gender. The current results provide first guidance which a designer can use when choosing image spectrum and colours to represent energy systems on the displays of thermostats, smart meters and the energy devices. Relevance to industry: The current results provide first guidance which a designer can use when choosing image spectrum and colours to represent energy systems on the displays of thermostats, smart meters and the energy devices. Such design guidance is currently lacking internationally but is of increasing importance due to the expansion of digital devices, internet services and the upcoming internet-of-things. (C) 2012 Elsevier B.V. All rights reserved.</t>
  </si>
  <si>
    <t>Emotional response to energy vis</t>
  </si>
  <si>
    <t>Climate</t>
  </si>
  <si>
    <t>Energy Consumption</t>
  </si>
  <si>
    <t>HCD</t>
  </si>
  <si>
    <t>To investigate the possible effect of image colour format on the human emotional response to scenes of energy systems, and to evaluate whether any gender related differences in emotional response occurred.</t>
  </si>
  <si>
    <t>Enhanced emotional engagement can enhance self-learning and promote potential behavioural change with better (reduced) energy usage.</t>
  </si>
  <si>
    <t>sensory appeal and cognitive relevance of feedback [from interacting with home energy systems] have been identified as key components of user engagement (O'Brien and Toms, 2008, 2010) that stimulates self-learning about nature and characteristics of energy consuming equipment and processes</t>
  </si>
  <si>
    <t>"a quality of user experience characterized by attributes of challenge, positive affect, endurability, aesthetic and sensory appeal, attention, feedback, variety/novelty, interactivity, and perceived user control."</t>
  </si>
  <si>
    <t>O'Brien &amp; Toms 2008/2010</t>
  </si>
  <si>
    <t>Circumplex Valence-Arousal Model</t>
  </si>
  <si>
    <t>Russell 1980</t>
  </si>
  <si>
    <t>Arousal-Valence model</t>
  </si>
  <si>
    <t>Arousal, Valence</t>
  </si>
  <si>
    <t>tabular? spacial</t>
  </si>
  <si>
    <t>Thermography / photographs</t>
  </si>
  <si>
    <t>Image</t>
  </si>
  <si>
    <t>design element(s)</t>
  </si>
  <si>
    <t>colour</t>
  </si>
  <si>
    <t>Inrared Blue-Red (thermal) colour encoding resulted in higher emotional activation than other formats, and, generally, colour encoding was more emotionally activating than black-and-white images. Valence (negative or positive response) was less clear
- they found gender differences in emotional response, which could be an indicator for personalizing designs for home energy system interfaces</t>
  </si>
  <si>
    <t>5 colour maps</t>
  </si>
  <si>
    <t>most common visual scenes chosen; used special cameras to produce/capture photos for the different colour schemes</t>
  </si>
  <si>
    <t>quant</t>
  </si>
  <si>
    <t>controlled experiment</t>
  </si>
  <si>
    <t>academic (students, staff, associates of the university)</t>
  </si>
  <si>
    <t>18-32y (24.5y avg)</t>
  </si>
  <si>
    <t>14 F</t>
  </si>
  <si>
    <t>no further relevant data collected</t>
  </si>
  <si>
    <t>Self-Assessment Manikin</t>
  </si>
  <si>
    <t>15 seconds for each stimulus with a single short break in the test session</t>
  </si>
  <si>
    <t>Self-Assessment Manikin (SAM)</t>
  </si>
  <si>
    <t>"randomly selected"</t>
  </si>
  <si>
    <t>two-tailed normally distributed ANOVA on mean and one-standard-deviation valence values
two-tailed T-test with 95% CI for Optical Augmented and Infrared Blue-Red formats</t>
  </si>
  <si>
    <t>- Infrared images resulting in higher emotional activation may be due to attention-capturing potential and novelty, or due to direct link between heat and energy, or both
- could also be influenced by cognitive constructs and stereotypes regarding objects found in the scene (e.g. tea mug had a higher/more positive valence than the electrical connector, which has very technical and potentially dangerous associations)</t>
  </si>
  <si>
    <t>Not specifically mentioned as responsible/ethical, but the authors offer guidance for designers in choosing colour schemes to visualize energy systems on displays for thermostats, smart meters, and energy devices, the consequence of which can influence energy usage (help people reduce energy use). "guidance is currently lacking internationally but is of increasing importance due to the expansion of digital devices, internet services, and the upcoming internet-of-things."
"Due to the growing consensus regarding the dangers of climate change the issue of home energy usage has taken on a certain degree of urgency in international debate in recent years."</t>
  </si>
  <si>
    <t>They spend a lot of time explaining why the SAM, benefits and drawbacks of using it - e.g., + symbolic graphical representations facilitate cross-cultural measurement of emotional response as it doesn't depend on language and semantics; -- self-reporting can be influenced by existing cognitive constructs, affordances, sterotypes, and response is post-occurrence self-reflection rather than in-the-moment
Good description of tech/experimental set up but analysis was a bit light? They didn't really comment on what the gender differences are.
The data was energy usage as encoded through colour schemes on photographs. It doesn't include charts specifically, so maybe this is excluded? But then also have to exclude the EGIS paper since that didn't strictly involve any chart types (that I could tell)</t>
  </si>
  <si>
    <t>A082</t>
  </si>
  <si>
    <t>Borkin, Michelle A.; Vo, Azalea A.; Bylinskii, Zoya; Isola, Phillip; Sunkavalli, Shashank; Oliva, Aude; Pfister, Hanspeter</t>
  </si>
  <si>
    <t>What Makes a Visualization Memorable?</t>
  </si>
  <si>
    <t>https://ieeexplore.ieee.org/abstract/document/6634103</t>
  </si>
  <si>
    <t>An ongoing debate in the Visualization community concerns the role that visualization types play in data understanding. In human cognition, understanding and memorability are intertwined. As a first step towards being able to ask questions about impact and effectiveness, here we ask: 'What makes a visualization memorable?' We ran the largest scale visualization study to date using 2,070 single-panel visualizations, categorized with visualization type (e.g., bar chart, line graph, etc.), collected from news media sites, government reports, scientific journals, and infographic sources. Each visualization was annotated with additional attributes, including ratings for data-ink ratios and visual densities. Using Amazon's Mechanical Turk, we collected memorability scores for hundreds of these visualizations, and discovered that observers are consistent in which visualizations they find memorable and forgettable. We find intuitive results (e.g., attributes like color and the inclusion of a human recognizable object enhance memorability) and less intuitive results (e.g., common graphs are less memorable than unique visualization types). Altogether our findings suggest that quantifying memorability is a general metric of the utility of information, an essential step towards determining how to design effective visualizations.</t>
  </si>
  <si>
    <t>Excluded (but possible mention in RW or discussion of analysis): "This memorability study design does not evaluate the cognitive impact or engagement of the visualization. Our experiment primarily presents baseline results to compare the memorability of visualizations to the memorability of scenes. In other words, we have measured how visualizations would be remembered if they were images."</t>
  </si>
  <si>
    <t>A097</t>
  </si>
  <si>
    <t>Harrison, Lane; Skau, Drew; Franconeri, Steven; Lu, Aidong; Chang, Remco</t>
  </si>
  <si>
    <t>Influencing visual judgment through affective priming</t>
  </si>
  <si>
    <t>https://dl.acm.org/doi/10.1145/2470654.2481410</t>
  </si>
  <si>
    <t>10.1145/2470654.2481410</t>
  </si>
  <si>
    <t>HCI</t>
  </si>
  <si>
    <t>Recent research suggests that individual personality differences can influence performance with visualizations. In addition to stable personality traits, research in psychology has found that temporary changes in affect (emotion) can also significantly impact performance during cognitive tasks. In this paper, we show that affective priming also influences user performance on visual judgment tasks through an experiment that combines affective priming with longstanding graphical perception experiments. Our results suggest that affective priming can influence accuracy in common graphical perception tasks. We discuss possible explanations for these findings, and describe how these findings can be applied to design visualizations that are less (or more) susceptible to error in common visualization contexts.</t>
  </si>
  <si>
    <t>Affective Priming and Visual Judgment</t>
  </si>
  <si>
    <t>Agnostic</t>
  </si>
  <si>
    <t>None</t>
  </si>
  <si>
    <t>To see how affective priming influences user performance on visual judgment tasks, combining affective priming with longstanding graphical perception experiments.</t>
  </si>
  <si>
    <t>Research in psychology suggests that temporary changes in emotion (affect) can significantly impact performance during cognitive tasks - and must be considered when designing for visualizations that are less (or more) susceptible to error in common visualization contexts. "Yet we currently do not know to what extent affect can impact visualization use and performance." 
"Finally, we describe several cases in which these results can be used to help choose effective visualizations for different audiences and contexts."</t>
  </si>
  <si>
    <t>Studies in psychology seek to find relationship between affect and cognitive task performance, and manipulate valence and arousal levels via emotional stimuli. Inducing emotion here is referred to as affective priming.
"Cleveland and McGill’s seminal results [10] serve as a basis for this graphical perception study, as they have been replicated and extended by Heer and Bostock [24] as well as adapted to study the effect of social information on visual judgments by Hullman et al. [28]."
Lean on cognitive psychology as related field/inspiration and theoretical background for this work
Graphical perception as a fundamental component of visualization- basis for vis design principles.
Hullman et al on impact of social information on visual judgment - it can be influenced by adding social information (social influence, social proof cues/signals), which has implications in collaborative and social vis environments)</t>
  </si>
  <si>
    <t>not used for this study; engagement mentioned once in discussion: "While positive affect might improve these processes partly through higher overall engagement and alertness, it is also likely that different moods place observers in states that are better or worse for given tasks."</t>
  </si>
  <si>
    <t>capturing attention, interacting with</t>
  </si>
  <si>
    <t>valence (positive or negative), arousal (intensity of those feelings)
Inducing emotion here is referred to as affective priming - following text-based techniques as given by Goeritz (2001) and Verheyen (2009). The effect is carried over and influences attention regulation. Positive priming linked to better performance, but sometimes negative priming can produce desireable behaviour, e.g., increased caution in decisions involving risk (Fredrickson and Branigan 2005)
How emotion influences attention and memory - low-level cognitive processes related to low-level nature of graphical perception. Emotion can have a significant impact on long-term recall (Bechara 2004) - negative emotion improves memory for details, positive emotion improves working memory performance and 'big picture' (Ashby 2002, Klein 2001). Anxiety can significantly disrupt visuospatial working memory, but leave verbal memory in tact.</t>
  </si>
  <si>
    <t xml:space="preserve">"partly through higher overall engagement and alertness": </t>
  </si>
  <si>
    <t>they follow the methodology outlined by Cleveland and McGill, and Heer and Bostock</t>
  </si>
  <si>
    <t>Valence, Arousal</t>
  </si>
  <si>
    <t>tabular, network</t>
  </si>
  <si>
    <t>Bar (horizontal), Bar (vertical), Bar (stacked), Pie, Area</t>
  </si>
  <si>
    <t>Chart</t>
  </si>
  <si>
    <t>priming</t>
  </si>
  <si>
    <t>affective priming</t>
  </si>
  <si>
    <t>positive priming tends to improve performance, whereas negative priming decreases performance - but not as significantly
-positive moods can expand the scope of the conceptual spotlight, and also spotlight of attention - encourage an observer to process a larger spatial area of the world in a single glance, relative to negative or anxious moods that restrict the spatial area.
-treemaps, bubble charts, and stacked bar charts seem to be less impacted by affective primes - the authors posit this stability effect is driven by the increased cognitive effort required to read these charts (and may lead participants to consider their decisions more carefully, as suggested by Hullman).</t>
  </si>
  <si>
    <t>text-based affective priming</t>
  </si>
  <si>
    <t>synthetic</t>
  </si>
  <si>
    <t>2 pilot studies to verify study design, emotional stimuli, and emotion-measurement metrics
- all charts had 5 elements
- pilot study to validate affective response of stories - content question check then SAM post-test, showed significant difference in valence (but no sig diff for arousal)</t>
  </si>
  <si>
    <t>following methodology outlined by Cleveland and McGill 1984. But the affective priming texts are drawn from everyday newspapers.</t>
  </si>
  <si>
    <t>between</t>
  </si>
  <si>
    <t>online crowdsourced</t>
  </si>
  <si>
    <t>Self-Assessment Manikin, Adapted Questionnaire</t>
  </si>
  <si>
    <t>participants were randomly sorted into one of 16 conditions: negative or positive prime, one of 8 chart types - to complete several visual judgment tasks similar to Cleveland and MicGill, Heer and Bostock, Hullman et al. 
- SAM pre-test then post-test</t>
  </si>
  <si>
    <t>Self-Assessment Manikin (SAM), adapted questionnaire on accuracy/comprehension</t>
  </si>
  <si>
    <t>AMT</t>
  </si>
  <si>
    <t>quantitative</t>
  </si>
  <si>
    <t>bootstrapping for mean CI</t>
  </si>
  <si>
    <t>Positive priming improves visual judgement accuracy, future research could explore how to integrate positive priming into design.
-tasks longer than previous studies (this was a partial replication study of Heer and Bostock). 
-learning effects could account for better performance.</t>
  </si>
  <si>
    <t>"For instance, as visualizations become more common in everyday life, care must be taken to ensure that information is communicated accurately for a variety of audiences and contexts. In general, we note that designers have no control over the possible priming effects users experience before encountering a visualization. It is possible that a user could be primed positively or negatively through a variety of means, such as stories read in a newspaper or interactions with coworkers."
visualization tool design often includes knowledge about the environments in which users interact with the system. For instance, a user in a disaster-response setting may be more subject t o negative priming, whereas a user in gaming may be more subject to positive priming. Such information can be used to assess the probability of negative or positive emotions and their subsequent impact on cognitive processes.
"Another possible situation is where strongly-emotional content is unavoidable, such as visualizations dealing with data that has strong potential for unintentional affective priming. For example, a study by Elting et al. [14] compared visualization formats for communicating clinical trial risk. In clinical trials, a significant difference in error can often mean a number of lives lost (or saved). Other common high-stress areas where visualization has been used include criminal investigation, finance (high risk), and disease control. Given the complex nature of the decisions made in these situations, we believe that it is necessary to investigate the relationship between visualization, emotion, higher-level cognitive processes."</t>
  </si>
  <si>
    <t>- They provide a bit of background discussion in how they approached the study design, specifically, reconciling cog psych/affective priming studies (typically between-subjects) and graphical perception studies (within) to interact with multiple charts.
- weighs benefits of SAM against PANAS: SAM is commonly used, graphical depictions of emotion are cross-cultural and the SAM takes less time to complete - both these factors are ideal for large, crowdsourced, international studies
- text-based affective stimulus chosen: verbal memory separate from visual memory, so no interaction or interference between priming section of study and visual judgment part. Using stories makes it easier to hide the true nature of a study - more subtle than graphic images; emotional stimuli similar to these Mood-Induction-Procedures are more likely to be encountered than graphic iamges and videos used in other studies.</t>
  </si>
  <si>
    <t>A020</t>
  </si>
  <si>
    <t>Lieske, DJ; Wade, T; Roness, LA</t>
  </si>
  <si>
    <t>Climate change awareness and strategies for communicating the risk of coastal flooding: A Canadian Maritime case example</t>
  </si>
  <si>
    <t>Climate Science</t>
  </si>
  <si>
    <t>Canada</t>
  </si>
  <si>
    <t>Rising sea levels, due to thermal expansion of the ocean, and higher frequency and intensity of coastal and inland storms threaten coastal communities worldwide. The implementation of pro-active, planned adaptation to reduce community vulnerability is strongly dependent upon people's perception of the threat posed to their communities at the local scale. Unfortunately, the scarcity of research into effective risk communication limits our understanding of how climate change evidence can most effectively raise risk awareness and inspire community adaptation. With a focus on a case study situated in the Tantramar area of South-East New Brunswick, Canada an area subject to very large tidal forces from the Bay of Fundy this study set out to assess public awareness about the link between climate change and elevated risk of regional dyke failure, measure how different multi-media visualizations influence public risk perception, and provide general recommendations for the development of flood risk communication strategies in coastal zones. The results from 14 focus groups (n = 157 participants) revealed that 81% of respondents felt that the problem of climate change was considerable or severe. However, when asked for their assessment of personal vulnerability to dyke failure and subsequent coastal flooding, only 35.6% considered themselves to be at considerable or severe personal risk. Gender, education, and age were found to significantly influence initial risk perception to varying degrees, and were also associated with changes in risk perception following the communication session. While geovisually-enhanced communication strategies, involving 3D flood animations and web-based GIS maps, were no more effective at raising risk awareness than a non-enhanced communication package, qualitative responses suggested that the geovisualizations had greater emotional impact (shock), and contributed disproportionately to an expressed desire to become politically and socially active around the issue. In conclusion, in addition to presenting evidence in a clear and compelling way, effective coastal flood risk communication requires a supportive framework capable of building trust and encouraging public dialogue. Recommendations towards creating this framework are provided. (C) 2013 Elsevier Ltd. All rights reserved.</t>
  </si>
  <si>
    <t>Climate Change Awareness</t>
  </si>
  <si>
    <t>Sea level rise</t>
  </si>
  <si>
    <t>Environmental Science</t>
  </si>
  <si>
    <t>To understand how different multi-media visualizations influence public risk perception and assess potential for enhancing risk communication.</t>
  </si>
  <si>
    <t>While not a primary aim of the study, they found the communication strategy that incorporated 3D visualizations elicited stronger emotional response (shock) and led to increased expressed desire to become politically and socially active about the issue.</t>
  </si>
  <si>
    <t>secondary</t>
  </si>
  <si>
    <t>cite Lieske 2012 "there is a subtle difference between (1) ifnorming people about a problem and (2) inspiring them to do something about it."</t>
  </si>
  <si>
    <t>increasing awareness, taking action</t>
  </si>
  <si>
    <t>Lieske 2012</t>
  </si>
  <si>
    <t>none described. this does not appear to have been a primary objective of the study, but turned out to be a key finding (greater emotional response from the interactive GIS map)</t>
  </si>
  <si>
    <t>emotional response (shock) was a result of the 3D visualiazations as part of communication of risk strategy</t>
  </si>
  <si>
    <t>Negative</t>
  </si>
  <si>
    <t>Shock</t>
  </si>
  <si>
    <t>time series, geographic</t>
  </si>
  <si>
    <t>Line, Geospatial map</t>
  </si>
  <si>
    <t>Chart, Map</t>
  </si>
  <si>
    <t xml:space="preserve">How materials worked: maps and animations were effective for communication. Clear explanation. graphs and data. 
They also collected feedback on how to improve the communication materials (mostly related to content, some related to vis understanding)
Behavioural change (long-term adaptation of moving to another location if flood risk high, desire to raise awareness and organize) higher amongst the geospatial-augmented groups; 4 "shock" responses all from group 2.
There was an emotive component to the more elaborate geovisualizations: maps and animations were widely identified as especially effective communication materials, elicited "shock," were associated with the majority of respondents who decliared an intention to move out of the risk zone, and inspired them to consider organizing to apply political pressure (emotional flow? behavioural change) compared to baseline communication strategy. Led to expressed desire to become politically and sociall active.
Gender, education, and age were found to significantly influence initial risk perception to varying degrees, associated with changes in risk perception following communication session.
prior beliefs need to be considered in order to interpret the effect of communication strategies and socio-economic covariates
Visualizations can reduce challenges in risk communication by visually demonstrating potential consequences. Can inspired interest, command attention, and possibly attract wider and more diverse audience (Berry and Higgs, 2012). But may not be sufficient alone: "For this reason it could be argued that while visualizations support the message, they are inadequate for standalone communication. Advanced visualizations also impose a demand for data and expertise that may render them impractical in some contexts."
For effective risk communication, there needs to be trust in higher level of governments and experts involved in the prodution of communication materials (Dransch et al., 2010). </t>
  </si>
  <si>
    <t>for geospatial information (introducing animations and interactive web-based GIS map)</t>
  </si>
  <si>
    <t>regional</t>
  </si>
  <si>
    <t>screen, touch interface</t>
  </si>
  <si>
    <t>initial small focus group
pre-focus group survey assessing perceptions of climate change and flood risk in the area</t>
  </si>
  <si>
    <t>multimodal:
base - verbal presentation and series of static images in Powerpoint
anim - animation of St John tide gauge and 3D anim of flood simulation
web-based interactive GIS map - allowing to manipulate view and zoom (scale)</t>
  </si>
  <si>
    <t>general, (Canadian town)</t>
  </si>
  <si>
    <t>general (locals of Tantramar area, South-East NB, Canada)</t>
  </si>
  <si>
    <t>26-65</t>
  </si>
  <si>
    <t>44.6% F</t>
  </si>
  <si>
    <t>local community
49.7% $30K-80K family income
53.5% home-owners (lower than 82% avg for the region as a whole)
29.9% high school ed or less, 51.6% university educated, 18.5% college/trade school</t>
  </si>
  <si>
    <t>Custom Questionnaire</t>
  </si>
  <si>
    <t>14 focus groups, randomly assigned to 1 of 3 treatments:
base communications trategy, base + animations, or base + anim + web map</t>
  </si>
  <si>
    <t>pre- and post-focus group surveys</t>
  </si>
  <si>
    <t>Locals of Tantramar area, South-East NB, Canada</t>
  </si>
  <si>
    <t>thematic coding (of open-ended responses)</t>
  </si>
  <si>
    <t>proportional odds logistic regressions, multinomial (polytomous) logistic rgressions for Likert scales
Akaike Information Criterion applied
ordinary least squares (OLS) regressions - a note here, they determined that the socio-economic status of participants influenced risk perceptions independent of community group (school, professional, non-govt)</t>
  </si>
  <si>
    <t>No data to assess long-term retention amongst participants (just informal discussions that indicated there may be a persistent change in perception following exposure to geovisualizations. Translation of risk awareness to a willingness to make proactive adaptation decisions poorly understood, can be expected to require a supporting framework to offur.
Have an accessible set of alternative adaptation strategies to choose from, appeal to personal responsibility and agency.
Participatory public GIS (PPGIS) and community-based scoial marketing may involve public in proces of knowledge creation and help identify impediments to adaptation.</t>
  </si>
  <si>
    <t>Trust (in higher govt and the experts involved in production of communication strategies) is essential to have some more impact amongst participants.
"In summing up risk communication, Pelletier and Sharp (2008) argue that information needs to be tailored to “where people are at” in terms of readiness and intention to adapt."
"However, despite the relatively high overall assessment of the climate change threat, fewer participants considered themselves to be personally at risk. This result was similar that of Lorenzoni and Pidgeon (2006), and illustrate Bord et al. (1998) observation that the general public tends to separate societal from personal implications. This emphasizes the need for more personalized, individually-relevant risk messaging: people need to see things of relevance to them in communication packages, e.g., potential impacts on locations and activities familiar and meaningful to them."
"Third, enhancing the public’s sense of “response-ability” (Moser and Dilling, 2004) by openly highlighting the effectiveness of recommended actions in relation to perceived costs, as well as publicly acknowledging successful case examples, is critical."</t>
  </si>
  <si>
    <t>A080</t>
  </si>
  <si>
    <t>Arapakis, Ioannis; Lalmas, Mounia; Cambazoglu, B. Barla; Marcos, Mari-Carmen; Jose, Joemon M.</t>
  </si>
  <si>
    <t>User engagement in online News: Under the scope of sentiment, interest, affect, and gaze</t>
  </si>
  <si>
    <t>https://onlinelibrary.wiley.com/doi/abs/10.1002/asi.23096</t>
  </si>
  <si>
    <t>10.1002/asi.23096</t>
  </si>
  <si>
    <t>Online content providers, such as news portals and social media platforms, constantly seek new ways to attract large shares of online attention by keeping their users engaged. A common challenge is to identify which aspects of online interaction influence user engagement the most. In this article, through an analysis of a news article collection obtained from Yahoo News US, we demonstrate that news articles exhibit considerable variation in terms of the sentimentality and polarity of their content, depending on factors such as news provider and genre. Moreover, through a laboratory study, we observe the effect of sentimentality and polarity of news and comments on a set of subjective and objective measures of engagement. In particular, we show that attention, affect, and gaze differ across news of varying interestingness. As part of our study, we also explore methods that exploit the sentiments expressed in user comments to reorder the lists of comments displayed in news pages. Our results indicate that user engagement can be anticipated predicted if we account for the sentimentality and polarity of the content as well as other factors that drive attention and inspire human curiosity.</t>
  </si>
  <si>
    <t>User engagement in online News</t>
  </si>
  <si>
    <t>News</t>
  </si>
  <si>
    <t>Information Science</t>
  </si>
  <si>
    <t>"Engagement as both a process and as an outcome"
positive and negative affect, focused attention, gaze behaviour</t>
  </si>
  <si>
    <t>Excluded: did not test with visualizations, only said news articles (in general)</t>
  </si>
  <si>
    <t>A081</t>
  </si>
  <si>
    <t>Pandey, Anshul Vikram; Manivannan, Anjali; Nov, Oded; Satterthwaite, Margaret; Bertini, Enrico</t>
  </si>
  <si>
    <t>The Persuasive Power of Data Visualization</t>
  </si>
  <si>
    <t>http://ieeexplore.ieee.org/document/6876023/</t>
  </si>
  <si>
    <t>Data visualization has been used extensively to inform users. However, little research has been done to examine the effects of data visualization in inﬂuencing users or in making a message more persuasive. In this study, we present experimental research to ﬁll this gap and present an evidence-based analysis of persuasive visualization. We built on persuasion research from psychology and user interfaces literature in order to explore the persuasive effects of visualization. In this experimental study we deﬁne the circumstances under which data visualization can make a message more persuasive, propose hypotheses, and perform quantitative and qualitative analyses on studies conducted to test these hypotheses. We compare visual treatments with data presented through barcharts and linecharts on the one hand, treatments with data presented through tables on the other, and then evaluate their persuasiveness. The ﬁndings represent a ﬁrst step in exploring the effectiveness of persuasive visualization.</t>
  </si>
  <si>
    <t>Persuasive Power of Datavis</t>
  </si>
  <si>
    <t>Excluded (but possible RW mention) and also fMRI project for persuasive vis</t>
  </si>
  <si>
    <t>A077</t>
  </si>
  <si>
    <t>Boy, Jeremy; Detienne, Francoise; Fekete, Jean-Daniel</t>
  </si>
  <si>
    <t>Storytelling in Information Visualizations: Does it Engage Users to Explore Data?</t>
  </si>
  <si>
    <t>https://dl.acm.org/doi/10.1145/2702123.2702452</t>
  </si>
  <si>
    <t>10.1145/2702123.2702452</t>
  </si>
  <si>
    <t>We present the results of three web-based field experiments, in which we evaluate the impact of using initial narrative visualization techniques and storytelling on user-engagement with exploratory information visualizations. We conducted these experiments on a popular news and opinion outlet, and on a popular visualization gallery website. While data-journalism exposes visualizations to a large public, we do not know how effectively this public makes sense of interactive graphics, and in particular if people explore them to gain additional insight to that provided by the journalists. In contrast to our hypotheses, our results indicate that augmenting exploratory visualizations with introductory 'stories' does not seem to increase user-engagement in exploration.</t>
  </si>
  <si>
    <t>Storytelling in Information Visualizations</t>
  </si>
  <si>
    <t>To explore the potential of narrative visualization techniques and storytleling to trigger desired user-engagement (user's investment in the explration of a visualization)</t>
  </si>
  <si>
    <t>"However, engagement can also be considered from an emotional perspective as an aesthetic experience, as is done with certain casual information visualizations [Pousman 2007, Wood and Isenbergs sketchy rendering 2012]."
"Hullamn &amp; Diakoplous define narrative information visualizations as “a style of visualization that often explores the interplay between aspects of both explorative and communicative visualization. They typically rely on a combination of persuasive, rhetorical techniques to convey an intended story to users as well as exploratory, dialectic strategies aimed at providing the user with control over the insights she gains from interaction” [15]. This interplay raises a tension previously identified by Segel &amp; Heer between author-driven and reader-driven scenarios [24]. Author-driven scenarios follow a linear structure intended by the author. In their most extreme incarnation, they provide no interaction. On the contrary, reader-driven scenarios give control to the person receiving the information by providing an open system, and allowing free interaction. Note that interactive narrative visualizations rarely fall directly into either of these categories, but rather somewhere along a spectrum between the two. In this article, we investigate whether author-driven scenarios can help initiate reader-driven ones.</t>
  </si>
  <si>
    <t>user's investment in the explration of a visualization</t>
  </si>
  <si>
    <t>NA</t>
  </si>
  <si>
    <t>only thing mentioned is in conclusion: "engagement can also be considered from an emotional perspective as an aesthetic experience, as is done with certain casual information visualizations"</t>
  </si>
  <si>
    <t>- people have a short attention span on the internet - if they read through an introductory narrative component, they will not spend extra time exploring a vis</t>
  </si>
  <si>
    <t>same reasoning as these other articles published in 2015- engagement is limited to 'draw a viewer's attention to this particular visualization' but has little to do with eliciting emotion. Only in the conclusion of this study was an 'emotional dimension' of engagement mentioned...so I think it has to be excluded. what still may be relevant is mention of narrative storytelling techniques that are often rhetorical or persuasive - but other studies explore this more explicitly, I think</t>
  </si>
  <si>
    <t>A078</t>
  </si>
  <si>
    <t>Haroz, Steve; Kosara, Robert; Franconeri, Steven L.</t>
  </si>
  <si>
    <t>ISOTYPE Visualization: Working Memory, Performance, and Engagement with Pictographs</t>
  </si>
  <si>
    <t>https://dl.acm.org/doi/10.1145/2702123.2702275</t>
  </si>
  <si>
    <t>10.1145/2702123.2702275</t>
  </si>
  <si>
    <t>Although the infographic and design communities have used simple pictographic representations for decades, it is still unclear whether they can make visualizations more effective. Using simple charts, we tested how pictographic representations impact (1) memory for information just viewed, as well as under the load of additional information, (2) speed of finding information, and (3) engagement and preference in seeking out these visualizations. We find that superfluous images can distract. But we find no user costs -- and some intriguing benefits -- when pictographs are used to represent the data.</t>
  </si>
  <si>
    <t>ISOTYPE Visualization</t>
  </si>
  <si>
    <t>To see how ISOTYPE-style embellishment affects memory, speed, and engagement with simple visualizations.</t>
  </si>
  <si>
    <t>ISOTYPE use in the design community has been embraced, but vis and HCI tend to regard pictographs as 'chart junk'
- pictographs are thought to draw attention of a reader</t>
  </si>
  <si>
    <t>engagement and preference in seeking out visualizations (that use isotypes/pictographics)
"make people pause and look"</t>
  </si>
  <si>
    <t>emotion not really mentioned</t>
  </si>
  <si>
    <t>pictographs</t>
  </si>
  <si>
    <t>- pictographs used to represent data are fine, but superfluous pictographs/background images are a distraction and may divert attention away from the data
- replacing text labels with pictographs makes encoding less efficient
- redundantly code length and small numbers - Tufte-style gridlines can help break up long lines for clarity
- pictographs are helpful for demanding tasks/when working memory is under load - in this data in ISOTYPE visualizations is recalled more accurately than with simple barcharts
- ISOTYPE engages readers - since visualizations are usually embedded in other content (text, other vis that compete for a viewer's attention), ISOTYPE vis can help engage a potential viewer as it may draw attention more quickly/readily than a simple chart or text
- using pictographs doesn't necessarily hurt performance on the tasks given in the study - therefore not all kinds of 'chart junk' are detrimental necessarily</t>
  </si>
  <si>
    <t>- unclear if ISOTYPE visualization would be useful for tasks such as search or group segmentation, which are common in exploration (VA)</t>
  </si>
  <si>
    <t>none, per se</t>
  </si>
  <si>
    <t>possible exclude: doesn't really talk about emotional engagement
both this paper and the Harrison paper were presented in the same CHI paper session 'I like what I see- interface aesthetics'. Both papers focus on aesthetics in some way and in part as this relates to increasing user engagement, but effect on engagement appears to be a secondary aim for both, and, moreover, neither specifically talks about emotional engagement.</t>
  </si>
  <si>
    <t>A079</t>
  </si>
  <si>
    <t>Harrison, Lane; Reinecke, Katharina; Chang, Remco</t>
  </si>
  <si>
    <t>Infographic Aesthetics: Designing for the First Impression</t>
  </si>
  <si>
    <t>https://dl.acm.org/doi/10.1145/2702123.2702545</t>
  </si>
  <si>
    <t>10.1145/2702123.2702545</t>
  </si>
  <si>
    <t>Information graphics, or infographics, combine elements of data visualization with design and have become an increasingly popular means for disseminating data. While several studies have suggested that aesthetics in visualization and infographics relate to desirable outcomes like engagement and memorability, it remains unknown how quickly aesthetic impressions are formed, and what it is that makes an infographic appealing. We address these questions by analyzing 1,278 participants’ ratings on appeal after seeing infographics for 500ms. Our results establish that: 1) people form a reliable first impression of the appeal of an infographic based on a mere exposure effect, 2) this first impression is largely based on colorfulness and visual complexity, and 3) age, gender, and education level influence the preferred level of colorfulness and complexity. More generally, these findings suggest that outcomes such as engagement and memorability might be determined much earlier than previously thought</t>
  </si>
  <si>
    <t>Infographic Aesthetics</t>
  </si>
  <si>
    <t>To evaluate how quickly aesthetic impressions (which can lead to increased engagement) toward visualizations are formed.</t>
  </si>
  <si>
    <t>Increasing engagement (and by extrapolation emotional response) appears to be a secondary effect of catching attention by visual aesthetic judgment. Emotion not really mentioned, actually.</t>
  </si>
  <si>
    <t>they randomly chose a sample of 2000 infographics and screened them for representativeness (ensuring they were datavis), avoiding controversial topics (specifically called out I/P..)
- colourfulness and visual complexity explain roughly half of variance in people's judgments on appeal of websites (Reinecke et al 2013)</t>
  </si>
  <si>
    <t>As determined by catching attention with visual appeal, engagement can be increased if a viewer finds a visualization visually appealing and is therefore more likely to engage (spend time) with the visual. No def given really except that aesthetics can have positive effect on engagement (Cawthon 2007)</t>
  </si>
  <si>
    <t>emotion not mentioned</t>
  </si>
  <si>
    <t>infographics</t>
  </si>
  <si>
    <t>- participants formed a reliable opinion of infographic appeal within 500ms
- variance in appeal for an individual was wide (across 6pts on avg), which indicates that people did actually find infographics to vary in aesthetic appeal - stresses importance of exploring what it is that makes an infographic appealing
- only a few infographics of the 330 were found to be universally appealing; most infographics had a high range of responses across participants, meaning that what might be very appealing to some can be very unappealing to others
- followed Reinecke's process for computationally modeling colourfulness and visual complexity of the chosen infographics, found a range. They then looked at effects of demographics on preference for these visual aspects of infographics. Age, gender, education, country were modeled to test for interactions against colourfulness and complexity. gender, age, and education were variables that determined how people rated visual appeal of infographics based on colourfulness and complexity.
- Colourfulness determines appeal more than visual complexity - CONTRAST to Reinecke et al- who found that complexity of a website was more important as a predictor. Colourfulness had a slight positive correlation with appeal. some of the most highly rated infographics used more, and more saturated, colours, as compared to those with lowest appeal ratings. Men disliked highly saturated, colourful infographcis while women tended to like them more. 
- Female participants tended to rate more complex infographics lower, while male participants weren't really affected by complexity. According to this, men seem to not mind more text areas, where women tend to prefer more images.
- age significantly affected participants' preference for visual complexity - preference for complexity went down as participant age increased
- higher education level was negatively correlated with colourful and complex infographics, but was less strong an effect than gender and age</t>
  </si>
  <si>
    <t>chose infographics from Visually</t>
  </si>
  <si>
    <t>6-80</t>
  </si>
  <si>
    <t>77.5% F</t>
  </si>
  <si>
    <t>41.8% enrolled in college
71 countries (60% from USA)
8% worked in creative occupation</t>
  </si>
  <si>
    <t>infographics flashed for 500ms on-screen before 9-pt Likert scale was presented
30 infographics per participant</t>
  </si>
  <si>
    <t>9pt Likert scale (how appealing the user judged the infographic to be)</t>
  </si>
  <si>
    <t>IRB/IC</t>
  </si>
  <si>
    <t>online "Do you have the eye of a designer?"</t>
  </si>
  <si>
    <t>summary stats
mixed-effects models using R lme4 package; dem. variables added or excluded based on Akaikes Information Criteria to determine which variables signfiicantly improved the model fit
independent t-test (M v F responses)</t>
  </si>
  <si>
    <t>Main take-away is that different audiences/demographics may have, on average, different preferences for visual appeal (focused on colour and complexity), but these can also be highly individual (as indicated by the wide range in ratings most infographics received).
- how country/cultural background may influence judgment of visual appeal in infographics</t>
  </si>
  <si>
    <t>possible exclude: doesn't really talk about emotional engagement beyond aesthetic appeal
Visual.ly doesn't seem to exist(?) or website just doesn't load
- I have many questions about this study, and also a number of 'wish to see' things. Their main reference against which they compare findings is a study that doesn't look at datavis or infographics but rather visual appeal of websites (which is more a UI/interaction thing rather than presenting information visually through infographics) - so they say their findings contrast Reinecke et al but I feel like these are two different things...
- it would have been nice to create a matrix of colour and complexity, and how infographics were generally rated - like which ones had more consistent responses than others, which had more variability, and to see, visually, if there were trends.
- Why would a 6yo participate???
- 'Do you have the eye of a designer' is a weird hook given people tend to make very poor design choices (like using tons of saturated colours, and thinking that's 'visually appealing') but actually goes against recommended design practices.</t>
  </si>
  <si>
    <t>A011</t>
  </si>
  <si>
    <t>Stephens, MH; Grey, A; Fernandez, J; Kalluru, R; Faasse, K; Horne, A; Petrie, KJ</t>
  </si>
  <si>
    <t>3-D bone models to improve treatment initiation among patients with osteoporosis: A randomised controlled pilot trial</t>
  </si>
  <si>
    <t>10.1080/08870446.2015.1112389","http://dx.doi.org/10.1080/08870446.2015.1112389")</t>
  </si>
  <si>
    <t>New Zealand</t>
  </si>
  <si>
    <t>Objective: To investigate the efficacy of 3-D printed bone models as a tool to facilitate initiation of bisphosphonate treatment among individuals who were newly diagnosed with osteoporosis. Design: Fifty eight participants with estimated fracture risk above that at which guidelines recommend pharmacological intervention were randomised to receive either a standard physician interview or an interview augmented by the presentation of 3-D bone models. Main outcome measures: Participants' beliefs about osteoporosis and bisphosphonate treatment, initiation of bisphosphonate therapy assessed at two months using self-report and pharmacy dispensing data. Results: Individuals in the 3-D bone model intervention condition were more emotionally affected by osteoporosis immediately after the interview (p=.04) and reported a greater understanding of osteoporosis at follow-up (p=.04), than the control group. While a greater proportion of the intervention group initiated an oral bisphosphonate regimen (alendronate) (52%) in comparison with the control group (21%), the overall initiation of medication for osteoporosis, including infusion (zoledronate), did not differ significantly (intervention group 62%, control group 45%, p=.19). Conclusion: The presentation of 3-D bone models during a medical consultation can modify cognitive and emotional representations relevant to treatment initiation among people with osteoporosis and might facilitate commencement of bisphosphonate treatment.</t>
  </si>
  <si>
    <t>3D bone models for osteoporosis</t>
  </si>
  <si>
    <t>Health Communication/Medicine</t>
  </si>
  <si>
    <t>Patient Education</t>
  </si>
  <si>
    <t>To investigate the efficacy of 3D printed bone models as a tool to facilitate patient adherence to medication to manage osteoporosis.</t>
  </si>
  <si>
    <t>Stronger emotional response may influence patients' likelihood of following recommended treatment against osteoporosis</t>
  </si>
  <si>
    <t>only to see emotional effects (anxiety) from the 9-item brief illness perception questionnaire (2006)</t>
  </si>
  <si>
    <t>9-item brief illness perception questionnaire (2006)</t>
  </si>
  <si>
    <t>based on health questionnaire, and question specifically asking to rate anxiety after the consultation</t>
  </si>
  <si>
    <t>Mixed</t>
  </si>
  <si>
    <t>Anxiety</t>
  </si>
  <si>
    <t>biomedical</t>
  </si>
  <si>
    <t>3D model</t>
  </si>
  <si>
    <t>- immediately following the consultation, participants in the 3D bone group were significantly more emotionally affected by osteoporosis, compared to the control. Two-month follow-up showed difference in perceived understanding of the disease (3D bone group reported greater understanding), but no difference between groups in terms of beliefs about osteop. or perceptions of the medication. 
- viewing the models changed their motivation for taking treatment, and moderately increased anxiety about the disease
- models were helpful in incrasing understanding about the disease and for altering motivation to initiate treatment. "Although it is not clear frmo the way this question was framed whether this was necessarily in a positive direction, but given the heightened emotional response and enhanced understanding [because of the 3D models], it seems they helped in motivating patients to initiate oral medication." 
- speculate that increased anxiety may have prompted patients to choose the more familiar treatment modality of medication, rather than novel infusion treatment, which may have increased anxiety further</t>
  </si>
  <si>
    <t>3D model or just verbal discussion</t>
  </si>
  <si>
    <t>Yes (can hold the 3D model)</t>
  </si>
  <si>
    <t>3D-printed/tangible</t>
  </si>
  <si>
    <t>The models were based on human biopsy specimens from the iliac crest of a healthy individual and an individual with osteoporosis. The models were printed at the Auckland Bioengineering Institute using a Dimension Elite 3-D printer (Stratasys, Minnesota).</t>
  </si>
  <si>
    <t>controlled experiment (RCT)</t>
  </si>
  <si>
    <t>adult patients referred for osteop.</t>
  </si>
  <si>
    <t>73y avg</t>
  </si>
  <si>
    <t>91% F</t>
  </si>
  <si>
    <t>29 control, 29 intervention
76% unemployed
48% greater than HS level
various Q about understanding and beliefs about osteop.
excluded patients with poor English</t>
  </si>
  <si>
    <t>Adapted Questionnaire</t>
  </si>
  <si>
    <t>RCT - standard medical interview or one augmented with 3D models</t>
  </si>
  <si>
    <t>9-item Brief Illness Perception Questionnaire (2006) - modified for osteop.
11pt scale to report on 3D models: how helpful were they to understand osteop., did seeing them change motivation for treatment, did seeing bone models make you more anxious about osteop.?</t>
  </si>
  <si>
    <t>patients at the clinic screened; eligible participants were mailed information about the study two weeks prior to bone mineral density measurement appointment. certain eligibility criteria (risk factors) had to be met</t>
  </si>
  <si>
    <t>normality, non-parametric testing 
independent sample t-test, Mann Whitney U test, and chi-share to assess differences in demographic variables between groups</t>
  </si>
  <si>
    <t>- small sample size: replication with larger participant group is needed, effect of similar magnitude but in a larger trial would be clinically meaningful
- time between intervention (learning about the condition with 3D models) and actually starting treatment was delayed 
- would other forms of visualization like pictures be effective</t>
  </si>
  <si>
    <t>none mentioned, but relevant to think about increasing a negative emotion (anxiety) to encourage behavioural change (in this case, starting treatment to manage disease). Can think of this in other contexts like, using disturbing images on cigarette packages to dissuade people from smoking</t>
  </si>
  <si>
    <t>Edge case because the 3D model is not compared to any standard chart. The control is a standard interview which they do not state includes visuals of any sort. Therefore the 3D model intervention group is the only visual. This can be an edge, and point to many other studies in the medical/health domain that have looked at similar things (use of 3D models, other types of visual aids like illustrations, animations, etc., to improve patient understanding, and perhaps evaluate emotional response as well). It's not possible to include all those studies, and besides there are such survey papers already (e.g., Brown 2022). So it's possible this is an edge case example of the kind of work in this area, but might have to be it.</t>
  </si>
  <si>
    <t>Edge</t>
  </si>
  <si>
    <t>A085</t>
  </si>
  <si>
    <t>Byrne, Lydia; Angus, Daniel; Wiles, Janet</t>
  </si>
  <si>
    <t>Acquired Codes of Meaning in Data Visualization and Infographics: Beyond Perceptual Primitives</t>
  </si>
  <si>
    <t>https://ieeexplore.ieee.org/document/7192636?denied=</t>
  </si>
  <si>
    <t>While information visualization frameworks and heuristics have traditionally been reluctant to include acquired codes of meaning, designers are making use of them in a wide variety of ways. Acquired codes leverage a user's experience to understand the meaning of a visualization. They range from figurative visualizations which rely on the reader's recognition of shapes, to conventional arrangements of graphic elements which represent particular subjects. In this study, we used content analysis to codify acquired meaning in visualization. We applied the content analysis to a set of infographics and data visualizations which are exemplars of innovative and effective design. 88% of the infographics and 71% of data visualizations in the sample contain at least one use of figurative visualization. Conventions on the arrangement of graphics are also widespread in the sample. In particular, a comparison of representations of time and other quantitative data showed that conventions can be specific to a subject. These results suggest that there is a need for information visualization research to expand its scope beyond perceptual channels, to include social and culturally constructed meaning. Our paper demonstrates a viable method for identifying figurative techniques and graphic conventions and integrating them into heuristics for visualization design.</t>
  </si>
  <si>
    <t>Also a theory paper (they use content analysis to analyze visualizations). This will rather be good reference for related work - perhaps a framework for how to analyze datavis (using similar method/elements), and especially in connection to themes around sociocultural meaning-making of visualizations (Depending on the themes that come up in the STAR). Will also probably be useful to reference for the fMRI study.
Actually not sure how this made it into the last since it wasn't clearly connected with emotional engagement (or engagement in general) and not seeing the coding history...so assigned it as RW</t>
  </si>
  <si>
    <t>A087</t>
  </si>
  <si>
    <t>Saket, Bahador; Endert, Alex; Stasko, John</t>
  </si>
  <si>
    <t>Beyond Usability and Performance: A Review of User Experience-focused Evaluations in Visualization</t>
  </si>
  <si>
    <t>https://dl.acm.org/doi/10.1145/2993901.2993903</t>
  </si>
  <si>
    <t>10.1145/2993901.2993903</t>
  </si>
  <si>
    <t>Traditionally, studies of data visualization techniques and systems have evaluated visualizations with respect to usability goals such as effectiveness and efficiency. These studies assess performance-related metrics such as time and correctness of participants completing analytic tasks. Alternatively, several studies in InfoVis recently have evaluated visualizations by investigating user experience goals such as memorability, engagement, enjoyment and fun. These studies employ somewhat different evaluation methodologies to assess these other goals. The growing number of these studies, their alternative methodologies, and disagreements concerning their importance have motivated us to more carefully examine them. In this article, we review this growing collection of visualization evaluations that examine user experience goals and we discuss multiple issues regarding the studies including questions about their motivation and utility. Our aim is to provide a resource for future work that plans to evaluate visualizations using these goals.</t>
  </si>
  <si>
    <t>REVIEW/SURVEY</t>
  </si>
  <si>
    <t>A093</t>
  </si>
  <si>
    <t>Cheong, Lisa; Bleisch, Susanne; Kealy, Allison; Tolhurst, Kevin; Wilkening, Tom; Duckham, Matt</t>
  </si>
  <si>
    <t>Evaluating the impact of visualization of wildfire hazard upon decision-making under uncertainty</t>
  </si>
  <si>
    <t>https://www.tandfonline.com/doi/full/10.1080/13658816.2015.1131829</t>
  </si>
  <si>
    <t>10.1080/13658816.2015.1131829</t>
  </si>
  <si>
    <t>The paper investigates whether the methods chosen for representing uncertain geographic information aid or impair decision-making in the context of wildfire hazard. Through a series of three human subject experiments, utilizing 180 subjects and employing increasingly difficult tasks, this research evaluates the effect of five different visualizations and a text-based representation on decision-making under uncertainty. Our quantitative experiments focus specifically on the task of decision-making under uncertainty, rather than the task of reading levels of uncertainty from the map. To guard against the potential for generosity and risk seeking in decision-making under uncertainty, the experimental design uses performance-based incentives. The experiments showed that the choice of representation makes little difference to performance in cases where subjects are allowed the time and focus to consider their decisions. However, with the increasing difficulty of time pressure, subjects performed best using a spectral color hue-based representation, rather than more carefully designed cartographic representations. Text-based and simplified boundary encodings were among the worst performers. The results have implications for the performance of decision-making under uncertainty using static maps, especially in the stressful environments surrounding an emergency.</t>
  </si>
  <si>
    <t>GIS</t>
  </si>
  <si>
    <t>To investigate which and whether methods for representing uncertain geographic information aid or impair decision-making for wildfire harard</t>
  </si>
  <si>
    <t>They are intersted in understanding situations for risk assessment in which emotional affect is likely to be high</t>
  </si>
  <si>
    <t>Mason et al (2014) argued that evaluating the effect of a visualization on a user should include an evaluation of the emotional responses (e.g., trust, confidence, worry, anxiety). 
- under uncertainty, decision-makers must face the 'right decision, wrong outcome' problem: a rational decision may sometimes still lead to an adverse outcome (and vice versa)
- Severtson and Myers (2013) assessed participants' emotional respones to uncertainty displayed on cancer risk maps
- performance-based incentive payments can have large effects on subject behaviour when compared with zero incentive payments, particularly when it comes to risk. In particular, the authors want to mimic a real situation in which high risk and high stress (and therefore higher emotional effect) are likely to impact decision-making. Overall, this makes "the experimental environment more representative of the types of decisions that users of the visualization platform are likely to face." (increase external validity?). Adopted from experimental economics for experimental study design.</t>
  </si>
  <si>
    <t>I wonder if this is also an edge case or should be excluded? Maybe come back to this one... Because it seems it was more about simulating a real-world risky decision-making scenario rather than how a vis actually elicits a response. But it's an interesting point that the contexts/situations people are in (whether in a study or in the real world) necessarily impact how they interact with a vis, so this should be a point to consider/discuss. 
But also, the thing that was modulating the emotional response in this study seems to be the performance-based incentive structure, rather than the design of the vis. The vis designs were created to show uncertainty in different ways, but the main thing they were measuring was decision-making.
As far as I can tell, they did not measure emotional response/engagement.
interesting: "In terms of outcomes, participants performed best when allowed time and focus to consider the decision. In this case, the purely text-based representation outperformed all the map-based representations. In this respect, our results accord with Ware (2008), indicating that text may be superior to graphics for presenting abstract information about uncertainty. This concept draws parallels with work on positional uncertainty by Hope and Hunter (2007) who also found quicker decisions were made with probability represented textually/numerically than with color value or a representation similar to our boundary representation. 
However, as the difficulty of the task was increased, with time pressure introduced, this pattern was reversed with time- and attention-consuming textual information leading to among the worst outcomes. Under time pressure, the best outcome was achieved with a spectral color hue representation. Such a representation is among the most inelegant tested, and acknowledged to be inappropriate for use with quantitative data. Research by Gehlenborg and Wong (Citation2012) on using heat maps reported that ‘color can be unreliable when used to represent discrete values’ because there is a ‘discordance between what we “should” see and what we “actually” see.’ However, in our case of time-pressured decision-making under uncertainty, the stark differences in regions of uncertainty, perhaps combined with users’ preferences, led to the most rapid and high-accuracy decisions of any representation tested."</t>
  </si>
  <si>
    <t>A105</t>
  </si>
  <si>
    <t>Hogan, Trevor; Hinrichs, Uta; Hornecker, Eva</t>
  </si>
  <si>
    <t>The Elicitation Interview Technique: Capturing People's Experiences of Data Representations</t>
  </si>
  <si>
    <t>https://ieeexplore.ieee.org/document/7369991</t>
  </si>
  <si>
    <t>Ireland, Germany</t>
  </si>
  <si>
    <t>Information visualization has become a popular tool to facilitate sense-making, discovery and communication in a large range of professional and casual contexts. However, evaluating visualizations is still a challenge. In particular, we lack techniques to help understand how visualizations are experienced by people. In this paper we discuss the potential of the Elicitation Interview technique to be applied in the context of visualization. The Elicitation Interview is a method for gathering detailed and precise accounts of human experience. We argue that it can be applied to help understand how people experience and interpret visualizations as part of exploration and data analysis processes. We describe the key characteristics of this interview technique and present a study we conducted to exemplify how it can be applied to evaluate data representations. Our study illustrates the types of insights this technique can bring to the fore, for example, evidence for deep interpretation of visual representations and the formation of interpretations and stories beyond the represented data. We discuss general visualization evaluation scenarios where the Elicitation Interview technique may be beneficial and specify what needs to be considered when applying this technique in a visualization context specifically.</t>
  </si>
  <si>
    <t>Elicitation Interview Technique</t>
  </si>
  <si>
    <t>Social/Civic</t>
  </si>
  <si>
    <t>Various</t>
  </si>
  <si>
    <t>To demonstrate the efficacy of the elicitation interview technique to uncover deeper reflections and insights from individuals regarding their experience with data visualizations.</t>
  </si>
  <si>
    <t>This study is primarily about demonstrating how the study method works, which includes a focus on capturing emotional states and responses from participants, that other studies that look at usability don't offer.</t>
  </si>
  <si>
    <t>capturing attention, interacting with, interpreting</t>
  </si>
  <si>
    <t>what came out during the interviews</t>
  </si>
  <si>
    <t>Positive / Negative</t>
  </si>
  <si>
    <t>Positive/Negative Affect, Surprise, Trust</t>
  </si>
  <si>
    <t>Line, Bar, Pie</t>
  </si>
  <si>
    <t>in-the-wild examples</t>
  </si>
  <si>
    <t>"During the reduction phase we removed all participant statements that indicated some sort of rationalization." This left us with accounts that described what the participant was seeing, hearing, feeling, and thinking at the time when they read the data visualization. "
Personal data affect: the personal affect of the visualization, how it makes them feel A sense that the representation has engendered positive or negative feelings and whether they trust what is being represented.
"Even a simple graph may trigger vivid connections and imaginative thought processes that, in turn, may lead to interpretations that go far beyond the depicted data."
Elicitation interview technique can uncover experiences and opinions about visualizations other than usability. Includes hedonistic, emotional, and sensory reactions. can help inform interaction and visual design, but also foster our understanding of internal thought processes as part of casual or professional data analysis and exploration.
Should consider the environmental contexts people are in, work/non-work related scenarios in order to understand the potential rolse of visualizations. 
the elicitation technique guides participants into a mental state where they re-enact ceratin experiences, and can help to gather details about types of activities people engage in, but also how these are conducted and how participants experience them. insights generated this way could help guide new application areas for visualization.
"No matter how (plain) a vis is designed, it can trigger personal memories, associations, rich emotions."</t>
  </si>
  <si>
    <t>in-the-wild</t>
  </si>
  <si>
    <t>national, international</t>
  </si>
  <si>
    <t>interview</t>
  </si>
  <si>
    <t>22–62</t>
  </si>
  <si>
    <t>diverse professional backgrounds, generally Bachelors degree or higher</t>
  </si>
  <si>
    <t>in-depth interview</t>
  </si>
  <si>
    <t>Elicitation Interview Technique Protocol (Pierre Vermersch)</t>
  </si>
  <si>
    <t>ICF</t>
  </si>
  <si>
    <t>no mention</t>
  </si>
  <si>
    <t>qualitative thematic analysis (Braun &amp; Clarke 2006)</t>
  </si>
  <si>
    <t xml:space="preserve">weigh limitations of this technique against other common qualitative methods like think-aloud, regular post-session interviews, or video-guided interviews. </t>
  </si>
  <si>
    <t>"Some people may feel uncomfortable with the style in which the Elicitation Interview is conducted, as it involves in depth questions about emotional aspects of the experience. In extreme cases, such an interview can trigger unexpected or strong emotions in participants which may require the discontinuation of the interview. For instance, during our pre-study we encountered a difficult situation where a participant became extremely distressed when recounting her experience of reading a visualization that evoked an emotional event in her life. This potential for strong emotional reactions has to be considered during the study design, in particular when recruiting participants. Also, participants have to be informed about this as a potential risk of their participation."</t>
  </si>
  <si>
    <t>This paper is more method-heavy, and demonstrates how the Elicitation interview technique can uncover deeper insights about the emotional experiences people have with visualizations, rather than anything specific. The themes can be referenced in discussion.
 A sort of 'a-ha' about datavis and qual analysis methods...everyone says 'themes emerged' or something like this, and B&amp;C warn against this as a sign that such researchers don't understand the proper process of qual thematic analysis (and how to communicate it). Thematic coding is inherently a subjective process but can be done meticulously. The same can be said for data visualization - we agree that data cleaning, processing, and visualization are all choices made by designers- and yet we don't say data visualizations "emerged" - they were developed or created (by someone). So are themes in thematic analysis. But I suppose we can say that patterns in data can be discovered...and themes can be considered as patterns in qual data - which these authors here state.
Additional material website not available.</t>
  </si>
  <si>
    <t>A103</t>
  </si>
  <si>
    <t>Boy, Jeremy; Pandey, Anshul Vikram; Emerson, John; Satterthwaite, Margaret; Nov, Oded; Bertini, Enrico</t>
  </si>
  <si>
    <t>Showing People Behind Data: Does Anthropomorphizing Visualizations Elicit More Empathy for Human Rights Data?</t>
  </si>
  <si>
    <t>https://dl.acm.org/doi/10.1145/3025453.3025512</t>
  </si>
  <si>
    <t>10.1145/3025453.3025512</t>
  </si>
  <si>
    <t>We investigate the impact of using anthropomorphized data graphics over standard charts on viewers' empathy for, and prosocial behavior toward suffering populations, in the context of human rights narratives. We present a series of experiments conducted on Amazon Mechanical Turk, in which we compare various forms of anthropomorphized data graphics-ranging from a single human figure that "fills up" to show proportional data, to separated groups of individual human beings-with a standard chart baseline. Each experiment uses two carefully crafted human rights data-driven stories to present the graphics. Contrary to our expectations, we consistently find that anthropomorphized data graphics and standard charts have very similar effects on empathy and prosocial behavior.</t>
  </si>
  <si>
    <t>Showing People Behind the Data</t>
  </si>
  <si>
    <t>Human Rights</t>
  </si>
  <si>
    <t>Visualization but these researchers seem based in Law</t>
  </si>
  <si>
    <t>To understand if/what anthropomorphization techniques in datavis elicit stronger empathy for human rights data</t>
  </si>
  <si>
    <t>Visualization design that elicits stronger emotional responses (empathy) may subsequently promote prosocial behaviour and drive intention to act on human rights topics</t>
  </si>
  <si>
    <t>"Many Human Rights practitioners are concerned that describing large scale atrocities using abstract data might create “compassion fatigue” [28, 60] by distancing readers from the reality of human suffering.  HR-related data are often very sensitive regarding e.g., the privacy, security, or safety of entire populations, and can seldom be presented publicly without some amount of aggregation. This makes it impossible for HR advocates to use re-identifiable information like portrait photos to humanize the data—even thought photos are known to elicit affective responses [30]—and forces them to seek out other strategies for illustrating the “human dimension” [28] of abstract data."
Lester et al 1997- lifelike characters in interactive learning environments have a strong positive effect on students' affect, motivation, and perception of experience
identifiable victim effect Genevsky 2013</t>
  </si>
  <si>
    <t>none given; cite Borkin for memorability and recognition; Borgo that visual embellishments helping viewers understand concepts more effectively</t>
  </si>
  <si>
    <t>capturing attention, increasing memorability</t>
  </si>
  <si>
    <t>Borkin et al. 2013</t>
  </si>
  <si>
    <t>Empathy-altruism hypothesis, empathy-arousal</t>
  </si>
  <si>
    <t>Batson 1987, Hoffman 2001</t>
  </si>
  <si>
    <t>Affective empathy and cognitive empathy
mimicry, classical conditioning, direct assocation, verbally mediated association and perspective-taking
moral, responsibility, justice biases focused in the study, as well as topic availability (engagement measure?)</t>
  </si>
  <si>
    <t>Perception of protagonists' responsibility, 
Perception of justice of donating</t>
  </si>
  <si>
    <t>investigating the growing assumption that visually connecting abstract data with iconic represnetation of people can elicit empathy for, and encourage prosocial behaviour toward, those people- they follow the anthropographic assumption - that such visual elements can elicit greater empathy than standard charts</t>
  </si>
  <si>
    <t>Empathy, Distress</t>
  </si>
  <si>
    <t>Empathetic concern (sympathetic, moved, compassionate, tender, warm, softhearted), 
Personal distress (alarmed, grieved, upset, worried, disturbed, perturbed, distressed, troubled)</t>
  </si>
  <si>
    <t>tabular, demographic</t>
  </si>
  <si>
    <t>Choropleth, Pie, Pictograph</t>
  </si>
  <si>
    <t>Map, Set, Pictograph</t>
  </si>
  <si>
    <t>pictograph, text</t>
  </si>
  <si>
    <t>Vis Design:
-individual pictograph did not increase empathy compared to standard dots
-no difference in likelihood to donate between chart conditions; unique individuals design attracted less donations than pie chart (but weakly)
Vis Metadata:
-extra contextual information and wording may have influenced higher levels of empathy
Participants:
-women generally more empathetic than men, likely some individual differences in dispositional empathy
Topic:
-a tragic HR narrative simply is tragic; people will simply feel for the story regardless; graphics part of an emotive narrative can afford to be abstract.</t>
  </si>
  <si>
    <t>unique individual design failed to reproduce the persona and/or identifiable victim effect. Therefore, this design and the standard pie chart had similar effects on empathic concern and personal distress; no interaction between gender, chart type, empathy, though women generally more empathetic than men. Women generally more empathetic than men, empathetic concern and personal distress are related, likely some individual differences in dispositional empathy. 
no difference in likelihood to donate between chart conditions; unique individuals design attracted less donations than pie chart (but weakly)
Exp 2+3 still had similar results - may be a result of people's general empathic disposition; no interaction between gender or topic availability, chart type /empathy. Donation likelihood also similar between chart types
iconic individuals design might have attracted less donations than pie chart, and no evidence that iconic statistic design attracted more. 
Exp 4+5 failed to lower the the baseline level of empathy, meaning neither the topics nor the standard pie chart were responsible - all other responses very similar, donation allocations showed no real evidence of an effect of chart conditions
Exp 6+7 did lower baseline, suggesting extra contextual information and wording were likely responsible for the higher levels of empathy. it's a very slight trend in favour of the anthropographic, evidence is weak however and not confirmed in fig 14. donation allocation may have been influenced by anthropomographic carry-over
Lack of faces might result in lower persona/identifiable victim effect, familiarity bias and out-group effect of Arabic names. Empathy levels still high in all 3 experiments (greater than 5), but may be due to other factors. 
abstract silhouettes and names may have a lesser effect than photos on viewers' tendency to donate.
a tragic HR narrative simple is tragic. people will simply feel for the story regardless. graphics part of an emotive narrative can afford to be abstract.
while no significant positive effect of anthropographics, no negative effect either, so they could still be used without negative impact. may still be useful in realistic settings for attracting attention and drawing people into a narrative, and ultimately for eliciting empathy</t>
  </si>
  <si>
    <t>Humanizing data: -while no significant positive effect of anthropographics, no negative effect either, so they could still be used without negative impact. may still be useful in realistic settings for attracting attention and drawing people into a narrative, and ultimately for eliciting empathy</t>
  </si>
  <si>
    <t>anthropographics: unit vs aggregate visualizations; realism vs expressiveness, labelling: generic, iconic, unique</t>
  </si>
  <si>
    <t>anthropographics; custom story made</t>
  </si>
  <si>
    <t>international</t>
  </si>
  <si>
    <t>four conditions originally created, used only two
did a pre-test before the actual experiment with 50 participants
focused on children in Syria, which also mitigates the responsibility and justice biases, since children cannot be held accountable for their situation. amplify the moral bias- helping children is seen to at least as morally important as helping adults, if not more</t>
  </si>
  <si>
    <t>all had the same 5-step narrative structure to avoid possible narrative structure related confounds
anthropographics as a type of visual embellishment in information visualization (per the last line in the paper)</t>
  </si>
  <si>
    <t>Exp 1 48
Exp 2 46
Exp 3 45
Exp 4 49
Exp 5 40
Exp 6 47
Exp 7 46</t>
  </si>
  <si>
    <t>25F
27F
26F
27F
16F
22F
26F</t>
  </si>
  <si>
    <t>2 main conditions all following 5-step narrative structure: anthropographic (variable), standard chart (baseline), and a text only (Exp4). all set in data stories (increase ecological validitiy)</t>
  </si>
  <si>
    <t>self-report (7-point likert scale on: empathic concern, personal distress) 
perception of responsibility, perception of justice from Lee et al 2014
qualitative feedback through free-form text input
donation likelihood (7-point scale) - as did the sexual harrassment study</t>
  </si>
  <si>
    <t>statistical analysis of Likert responses
qual analysis of open-ended responses</t>
  </si>
  <si>
    <t>95% CI</t>
  </si>
  <si>
    <t>-could expand design space to more detailed drawings, eg. with faces, or photos (when possible), may facilitate reproducing the persona and/or identifiable victim effect - more lifelike renderings should have a stronger positive effect on viewers' affect
-could investigate animation
-metaphors or motionscapes could tap deeper into viewers' experiential knowledge, which may further facilitate empathy-arousal through mimicry and direct assocation
-adding cinematographic and sound effects, like dramatic zoom in-out, and voice-over narration, could increase affective responses
-lower data granularity may contribute to further reducing the semantic incongruence, which amy positively impact vewiers' prception of the uniqueness of units.
-show more concrete scales through absolute values rather than normalized values
-a different, between-subjects procedure may remove the possible confounds of the donation allocation, and changing the fictional allocation to a real donation may incite participants to think differently about how they allocate money</t>
  </si>
  <si>
    <t>"when graphics are part of a broader emotive narrative, they can afford to be abstract."
while they are not explicitly beneficial, they are also not detrimental
use of donation likelihood as a measurement/proxy of swaying individuals toward prosocial behaviours following interacting with a visualization about a sensitive topic?</t>
  </si>
  <si>
    <t>A088</t>
  </si>
  <si>
    <t>Correll, Michael; Heer, Jeffrey</t>
  </si>
  <si>
    <t>Black hat visualization</t>
  </si>
  <si>
    <t>http://idl.cs.washington.edu/files/2017-BlackHatVis-DECISIVe.pdf</t>
  </si>
  <si>
    <t>People lie, mislead, and bullshit in a myriad of ways. Visualizations, as a form of communication, are no exception to these tendencies. Yet, the language we use to describe how people can use visualizations to mislead can be relatively sparse. For instance, one can be “lying with vis” or using “deceptive visualizations.” In this paper, we use the language of computer security to expand the space of ways that unscrupulous people (black hats) can manipulate visualizations for nefarious ends. In addition to forms of deception well-covered in the visualization literature, we also focus on visualizations which have fidelity to the underlying data (and so may not be considered deceptive in the ordinary use of the term in visualization), but still have negative impact on how data are perceived. We encourage designers to think defensively and comprehensively about how their visual designs can result in data being misinterpreted.</t>
  </si>
  <si>
    <t>Theory/review - good for citing strategies mentioned here</t>
  </si>
  <si>
    <t>A035</t>
  </si>
  <si>
    <t>Hakone, A; Harrison, L; Ottley, A; Winters, N; Gutheil, C; Han, PKJ; Chang, R</t>
  </si>
  <si>
    <t>PROACT: Iterative Design of a Patient-Centered Visualization for Effective Prostate Cancer Health Risk Communication</t>
  </si>
  <si>
    <t>Prostate cancer is the most common cancer among men in the US, and yet most cases represent localized cancer for which the optimal treatment is unclear. Accumulating evidence suggests that the available treatment options, including surgery and conservative treatment, result in a similar prognosis for most men with localized prostate cancer. However, approximately 90% of patients choose surgery over conservative treatment, despite the risk of severe side effects like erectile dysfunction and incontinence. Recent medical research suggests that a key reason is the lack of patient-centered tools that can effectively communicate personalized risk information and enable them to make better health decisions. In this paper, we report the iterative design process and results of developing the PROgnosis Assessment for Conservative Treatment (PROACT) tool, a personalized health risk communication tool for localized prostate cancer patients. PROACT utilizes two published clinical prediction models to communicate the patients' personalized risk estimates and compare treatment options. In collaboration with the Maine Medical Center, we conducted two rounds of evaluations with prostate cancer survivors and urologists to identify the design elements and narrative structure that effectively facilitate patient comprehension under emotional distress. Our results indicate that visualization can be an effective means to communicate complex risk information to patients with low numeracy and visual literacy. However, the visualizations need to be carefully chosen to balance readability with ease of comprehension. In addition, due to patients' charged emotional state, an intuitive narrative structure that considers the patients' information need is critical to aid the patients' comprehension of their risk information.</t>
  </si>
  <si>
    <t>PROACT</t>
  </si>
  <si>
    <t>To use design study to develop a health (risk) communication tool to help communicate treatment options to patients in a way to mitigate heightened emotional state and increased anxiety, and help with shared patient-physician decision-making</t>
  </si>
  <si>
    <t>High stress and emotional state can impact decision-making for patients- the authors sought to use visualizations and narrative structures to effectively communicate risks and survival rates in a way that also reduced stress and anxiety</t>
  </si>
  <si>
    <t>designs have to be made keeping in mind low visual/data literacy of patients, generally- how best to support this is still an open research question</t>
  </si>
  <si>
    <t>in this case would be in the sense of facilitating better shared decision-making between physicians and patients, and improve comprehension while mitigating negative emotional state</t>
  </si>
  <si>
    <t>increasing awareness, facilitating decision-making</t>
  </si>
  <si>
    <t>they were focused on comprehension of information, but results from the study revealed emotional state was a much more important factor than they initially accounted for</t>
  </si>
  <si>
    <t>Neutral–Negative</t>
  </si>
  <si>
    <t>Anxiety, Stress, Calm, High Arousal</t>
  </si>
  <si>
    <t>Anxiety, Stress, Calm, Heightened emotional states</t>
  </si>
  <si>
    <t>Bar, Pie, Area</t>
  </si>
  <si>
    <t>Chart, Set</t>
  </si>
  <si>
    <t>vis type(s), narrative element(s)</t>
  </si>
  <si>
    <t>chart type, narrative elements</t>
  </si>
  <si>
    <t>-general utility was deemed good, personalized risk estimates were presented in an engaging and structured form. "I wish I had a tool like this when I was going through it"
-headings framed as questions was helpful for patients
-all thought this was important research as not enough support exists online or in hospitals for patients
-narrative sequence (flow of information) could be strengthened
-heightened emotional state impacted ability to process information - need to calm down and this isn't necessarily something a vis can help with- PROACT needs to help patients "get off the ledge"
-information about disease (how big is the threat) and treatment (how effective are diff treatments for me) should be presented separately to allow time for the patient to focus on one
-visualization of disease progression timeline was crucial, but confusing - the temporal area chart was not easily comprehended, and inconsistent across time periods
-consistency in wording and use of colours are important in order to connect related information
-narrative sequence must match flow of conversation physicians have with patients
-patients expressed frustration and feeling of overwhelm in trying to do research online, not having adequate resources
-the prototype was revised based on feedback:
-narrative sequence was adjusted - presenting information about mortality/survival rate earlier to ease patient's anxiety and emotional state
-remove interaction because it was confusing for most patients (consider older patients)
-answering question of time/threat upfront was comforting for patients
-simplify visualizations
"“How big of a threat is my prostate cancer?” (year 1) (Figure 2(a)) - Addressing RV1, using a pie chart, this page shows the patient's 1-year survival rate vs. mortality rate from prostate cancer vs. mortality rate from comorbidities. The goal of this page to reduce the patient's anxiety level and emotional state by showing that their survival rate from prostate cancer in the first year is likely to be high because prostate cancer is a slow-progressing disease."</t>
  </si>
  <si>
    <t>narrative structures</t>
  </si>
  <si>
    <t>uncategorized</t>
  </si>
  <si>
    <t>patients (cancer patients, physicians)</t>
  </si>
  <si>
    <t>6 patients 2 physicians Pt1
6 new pts 2 same MDs Pt2</t>
  </si>
  <si>
    <t>65+</t>
  </si>
  <si>
    <t>100% M</t>
  </si>
  <si>
    <t>all were prostate cancer survivors, physicians were urologists</t>
  </si>
  <si>
    <t>Think-aloud, Custom Questionnaire, Custom Semi-structured interview protocol</t>
  </si>
  <si>
    <t>Experimental - 4 hypothetical scenarios for newly diagnosed prostate cancer</t>
  </si>
  <si>
    <t>semi-structured interviews
screen recording, audio recording</t>
  </si>
  <si>
    <t>patient advocacy organization</t>
  </si>
  <si>
    <t>-how to communicate uncertainty
-more attention paid to narrative flow of visualization and its information content, and account for users' heightened emotional state by first trying to 'calm the user down' before presenting more info
-further research to understand appropriate narrative structures to mitigate emotional state and stress/anxiety for other contexts (e.g. more aggressive, faster-developing cancers) or other diseases. Further research of techniques that can reduce the users' anxiety level and lower their emotional state would be very useful in designing future health risk communication tools.
"All patients mentioned the difficulties they had conducting their own research online and feeling overwhelmed by the amount of dubious and conflicting information. These personal accounts were particularly somber, and they served as a reminder that more tools are needed to help these older patients comprehend their own health risk information and make decisions that are appropriate for them."
Accounting for emotional state in the design process, and how the iterative design nature of the project helped them build this into the updated prototype. "From a design standpoint, we would not have been able to predict that designing for the patient's emotional state would be such an important factor nor that visualization interactions would be difficult with those with low visual literacy had we just one evaluation or the evaluations been conducted with any group of users other than prostate cancer survivors."</t>
  </si>
  <si>
    <t>"Most importantly, our results indicate that tools like PROACT that help patients understand their personalized health risk information are greatly needed, and visualization is integral to effectively communicate complex risk information to patients. However, the design of these tools needs to be done with a great deal of care. As many of these patients have low numeracy, visual literacy, and heightened emotional states, careful narrative structure and visualization designs are necessary to help the patients reduce their anxiety and increase comprehension."</t>
  </si>
  <si>
    <t>codesign or rapid iteration design process with target population was very effective (necessary, even) to uncover blind spots: emotional state was very important and needed to be designed for through narrative structure (in conjunction with feedback from physicians), and interactivity was actually not a useful feature in this resource because of low numeracy/data/visual literacy amongst target pop (men over 65yo)</t>
  </si>
  <si>
    <t>A076</t>
  </si>
  <si>
    <t>Allen, William L.</t>
  </si>
  <si>
    <t>Visual brokerage: Communicating data and research through visualisation</t>
  </si>
  <si>
    <t>https://doi.org/10.1177/0963662518756853</t>
  </si>
  <si>
    <t>10.1177/0963662518756853</t>
  </si>
  <si>
    <t>Science and Public</t>
  </si>
  <si>
    <t>Researchers increasingly use visualisation to make sense of their data and communicate findings more widely. But these are not necessarily straightforward processes. Theories of knowledge brokerage show how sociopolitical contexts and intermediary organisations that translate research for public audiences shape how users engage with evidence. Applying these ideas to data visualisation, I argue that several kinds of brokers (such as data collectors, designers and intermediaries) link researchers and audiences, contributing to the ways that people engage with visualisations. To do this, I draw on qualitative focus groups that elicited non-academic viewers’ reactions to visualisations of data about UK migration. The results reveal two important features of engagement: perceptions of brokers’ credibility and feelings of surprise arising from visualisations’ content and design. I conclude by arguing that researchers, knowledge brokers and the public produce – as well as operate within – a complex visualisation space characterised by mutual, bi-directional connections.</t>
  </si>
  <si>
    <t>Visual brokerage</t>
  </si>
  <si>
    <t>Migration</t>
  </si>
  <si>
    <t>Science Communication</t>
  </si>
  <si>
    <t>Qualitative study to understand how design (with interaction) of data visualizations about migration data evokes sense of credibility and surprise in viewers.</t>
  </si>
  <si>
    <t>Emotional response to visualizations (and information in general), particularly new info, influences how people engage with and respond to that info.</t>
  </si>
  <si>
    <t>Theories of knowledge brokerage show how sociopolitical contexts and intermediary organisations that translate research for public audiences shape how users engage with evidence.
"Since visualisations communicate messages or viewpoints through their graphical elements (Kennedy et al., 2016a; Locke, 2011; Welles and Meirelles, 2015), they can impact users’ perceptions or generate emotional responses (Bucchi and Saracino, 2016; Herring et al., 2017; Kennedy and Hill, 2017)."
"Moreover, the fact that they are often ‘re-presented in different contexts that invest them with different meanings’ (Locke, 2011: 304) further complicates their status as objects that are ‘multifaceted and “multitruthed”’ (Welles and Meirelles, 2015: 37)."
"roles that graphical journalists played in visually communicating key aspects of the 2014–2016 Ebola epidemic in Spanish press outlets, arguing that they negotiate between norms of factual reporting and aesthetic attractiveness as they attempt to ‘make visible what is not’ (p. 1)."
"The processes of conceiving, creating, interpreting and responding to data visualisations as they occur within social, political and cultural contexts are what I call ‘visual brokerage’."
"Emotions ‘trigger a set of responses (physiology, behavior, experience, and communication) that enable the individual to deal quickly with encountered problems or opportunities’ (Lerner and Keltner, 2000: 476). These responses lead to actions or preferences that tend to fit with the triggered emotion. Previous research in political psychology and communication studies shows how emotions such as sympathy, anxiety and fear mediate whether certain kinds of frames have effects (Brader et al., 2008; Gross, 2008)."</t>
  </si>
  <si>
    <t>capturing attention, interact with, reflect on. Appeal to the mind and the heart</t>
  </si>
  <si>
    <t>sense-making, decision-making</t>
  </si>
  <si>
    <t>emotions mediate how people evaluated information by suggesting appropriate actions</t>
  </si>
  <si>
    <t>Lerner and Keltner 2000</t>
  </si>
  <si>
    <t>engagement as how people use, perceive, and act based on visualizations</t>
  </si>
  <si>
    <t>prior works, particularly surprise</t>
  </si>
  <si>
    <t>Neutral</t>
  </si>
  <si>
    <t>Surprise, Affective Trust</t>
  </si>
  <si>
    <t>Surprise, Trust (credibility)</t>
  </si>
  <si>
    <t>Geospatial map, Force-directed network, Area</t>
  </si>
  <si>
    <t>Map, Graph</t>
  </si>
  <si>
    <t>vis type(s), interactivity</t>
  </si>
  <si>
    <t>chart type, interactivity</t>
  </si>
  <si>
    <t>-interaction between source credibility and surprise as people evaluate new information, e.g., 'even though I was surprised this information didn't match my prior knowledge/understanding, I was willing to accept it as true because it came from a university'
-source of datavis garners credibility amongst audiences
-perception of poor design can provoke disinterest, confusion, and possibly doubt in the information
-"Participants also engaged with underlying research design choices as they evaluated whether to trust what they were seeing", e.g., frequent mention of political parties was questionable, raises question of bias. Situational factors matter - what is going on politically at the time, where are people living that influences how they interpret datavis.
-people will react to infromation in a way that fits with the emotion they experience when encountering that information. visualizations present information in particular ways, intentionally or not, that may elicit emotions.
-surprise from what viewers saw about places they were familiar with, relative to what they perceived about the issue. 
-"from a participant: It was like Christmas had come early for me, wow here’s all this information! Because there’s quite a few similar sort of data visualisations representing that type of information, but that was one that somehow I hadn’t seen before." The search function as well as its interactive comparison function seemed to facilitate this process (of wanting to get more in-depth into the data).
-"Surprise interrupts a pre-existing activity or thought with something novel. Then, people evaluate their ability to handle this new information, which can lead to paying more attention to whatever caused the surprise in the first place (Noordewier and Breugelmans, 2013).'
-roles in the brokerage model can shift depending on circumstance. e.g, individuals/orgs may be data collectors in one situation, while in another they are intermediaries, or public users.
-The relationship between intermediaries and data collectors is also subject to criticism: why did these intermediaries choose a given source or topic in the first place? What motivates their choices? Similar questions arise as intermediaries or design professionals produce and engage with visualisations. Are there agendas or biases in the visualisation? Were the data and presentational choices selected to give particular impressions? Finally, recalling that visualisations do rhetorical and persuasive work (Kennedy et al., 2016a), users sometimes use the perceived quality and usefulness of visual designs as signals for believability. These factors are specific to visual modes of communication, rather than conventional text-based modes.
-Second, both the content within and design (including interactive elements) of the visualisations themselves elicited surprise, which also influenced how people engaged with the content.</t>
  </si>
  <si>
    <t>first focus group was a pilot</t>
  </si>
  <si>
    <t>wide ranging (rural to urban, British, immigrant, varying levels of interest or experience with art, datavis)</t>
  </si>
  <si>
    <t>focus groups</t>
  </si>
  <si>
    <t>facilitated focus group discussion</t>
  </si>
  <si>
    <t>not stated.</t>
  </si>
  <si>
    <t>through community organizations</t>
  </si>
  <si>
    <t>qualitative analysis</t>
  </si>
  <si>
    <t>-researchs and brokers should recognize how visualizations exist in social, political, and cultural contexts, which in turn may influence users' engagement.
-users bring prior feelings, assumptions, and beliefs into the act of viewing - explore how individual-level attitudes, self-perceived numeracy and demographcis contribute to user engagement
-(how) do these effects, mediated by credibility and emotions, make an appreciable difference to outcomes such as public trust in sciecne or perceptions of issues beyond migration?
-the study design did not aim to test for effects of datavis on change in attitudes about migration
-Third, researchers and intermediaries intending to use or create visualisations should consider how their audiences will perceive the data sources, intermediaries, research and aesthetic designs, and execution steps presented in – or indeed, left out of – the final product. e.g., through explanatory text accompanying the vis.</t>
  </si>
  <si>
    <t>-increased use of datavis, as a form of brokered communication with users, raises timely questions about scientists' public engagement practices - especially when knowledge gained through research is used for many purposes, in new ways, and public trust in expertise is arguably declining - these questions are urgent.</t>
  </si>
  <si>
    <t>Wish there was more information on the data collection and analysis. 46 participants, few quotes, no analysis of trends. But related work to Kennedy so highly relevant for some of the ideas explained here.</t>
  </si>
  <si>
    <t>A037</t>
  </si>
  <si>
    <t>Kennedy, H; Hill, RL</t>
  </si>
  <si>
    <t>The Feeling of Numbers: Emotions in Everyday Engagements with Data and Their Visualisation</t>
  </si>
  <si>
    <t>This article highlights the role that emotions play in engagements with data and their visualisation. To date, the relationship between data and emotions has rarely been noted, in part because data studies have not attended to everyday engagements with data. We draw on an empirical study to show a wide range of emotional engagements with diverse aspects of data and their visualisation, and so demonstrate the importance of emotions as vital components of making sense of data. We nuance the argument that regimes of datafication, in which numbers, metrics and statistics dominate, are characterised by a renewed faith in objectivity and rationality, arguing that in datafied times, it is not only numbers but also the feeling of numbers that is important. We build on the sociology of (a) emotions and (b) the everyday to do this, and in so doing, we contribute to the development of a sociology of data.</t>
  </si>
  <si>
    <t>The Feeling of Numbers</t>
  </si>
  <si>
    <t>Culture/Various</t>
  </si>
  <si>
    <t>to demonstrate the way people engage emotionally with data visualizations, challenging the notion that data is objective</t>
  </si>
  <si>
    <t>"It's not just the numbers but also the feeling of numbers that is important" - emotions play a bigger role in engaging with data visualizations than custom/tradition has said</t>
  </si>
  <si>
    <t>Could not find a formal model, probably in their seeingdata.org study, but quote: "Given our findings, we argue that everyday engagements with data through visualisations evoke emotional responses that nuance the proposal that numbers alone are central to the logic of datafication" - everyday use, capturing attention, interacting with, making decisions</t>
  </si>
  <si>
    <t>capturing attention, looking at, interacting with, consuming</t>
  </si>
  <si>
    <t>cites Turner 2000, 2009. Jaggar 1989: emotion is an 'epistemic resource', a way of knowing that helps us undersatnd the world. Damasio 2006 says emotions are necessary to make rational decisions
Grosser 2014 on the emotional dimensions of numbers and metrics; Norman 2004 on emotional design; sociological focus</t>
  </si>
  <si>
    <t>cites Norman's emotional design</t>
  </si>
  <si>
    <t>Looking at the emotions that emerged in response to: data themselves, visual style, subject matter, source/original location, and datavis literacy</t>
  </si>
  <si>
    <t>Pleasure, Frustration, Confusion, Anger, Sadness, Guilt, Anxiety, Relief, Love, Empathy, Excitement, Offence</t>
  </si>
  <si>
    <t>Pleasure, Frustration, Confusion, Anger, Sadness, guilt, Relief, Worry, Love, Empathy, Excitement, Offence (related to subject matter)</t>
  </si>
  <si>
    <t>Stream, Donut, Iconography</t>
  </si>
  <si>
    <t>Chart, Set, Pictograph</t>
  </si>
  <si>
    <t>in-the-wild example(s)</t>
  </si>
  <si>
    <t>emotional response to the data itself (the content or subject matter, e.g. migration data, could be pleasure, anger, guilt, shame, relif, empathy, excitement)
emotional response to perception of visualization strategy and style (e.g. simplicity, aesthetics) could be pleasure, frustration, dislike
emotional response to source or original location of vis that they encountered elsewhere (e.g. 'media is out to confuse you' and therefore distrusted all vis shown)
confidence in 'skills to decode' visualizations impacted engagement
Bigger takeaway: "the raw material of visualisations does not exist in a perceptually available form outside of their design. Data come into being through visual design; that is, through the visual elements chosen to present them. This means that visualised data’s appearance is, on the whole and especially for ordinary people, the same as their substance (Aiello, 2007). Because in everyday encounters with data, data only exist visually, there is almost always an emotional component to engaging with data. Acknowledging the visual dimensions of engaging with data means acknowledging the emotional dimensions of seeing data. In so doing, we can see that it is therefore not only numbers but also the feeling of numbers, or how numbers feel, that is important in times of datafication."</t>
  </si>
  <si>
    <t>both</t>
  </si>
  <si>
    <t>paper</t>
  </si>
  <si>
    <t>No, but the visualiazations were chosen to "represent a cross-section that might be encountered in the everyday, primarily in the media"</t>
  </si>
  <si>
    <t>real-world examples were chosen for  were diverse subject matter, chart types, original media sources, print and online sources, degrees of interactivity</t>
  </si>
  <si>
    <t>focus group, diary, longitudinal</t>
  </si>
  <si>
    <t>11-70y</t>
  </si>
  <si>
    <t>27F</t>
  </si>
  <si>
    <t>varied backgrounds (rural/urban setting, high/low migration - all combinations), education, not experts but were assumed to be interested in data, visual, or migration, and so "'already engaged' i none of the issues"
the focus groups were: an art class, open data group, two Eastern European community groups, Asian/British Asian group, civil society group, young farmers' group, rural community group, and then a pilot group with reps from each of the above
diverse employment, diverse education, nationalities</t>
  </si>
  <si>
    <t>Diary study, custom semi-structured interview protocol</t>
  </si>
  <si>
    <t>social semiotic analysis, focus groups, interview, diary-keeping</t>
  </si>
  <si>
    <t>9 focus groups, interviews, diaries (7 participants)</t>
  </si>
  <si>
    <t>pre-existing groups or communities, "believing that homogeneity may result in understanding of others' lifestyles and situations and so facilitate discussion"</t>
  </si>
  <si>
    <t>"In our research, alongside such widespread lack of confidence in statistical literacy, we saw emotional relating to data, or feeling numbers. Because of these two findings, and because, as we suggest above, privileging the rational excludes certain groups, we might need to re-think existing cognitive approaches to statistical education and consider what feelings-based approaches to this field might contribute to developing skills for relating to data. Because emotions play a part in the process of engaging with data visualisations, we need to consider what it means for those emotions to be acknowledged, and for the potential benefits of emotional engagement with data to be recognised. Our research has shown that while visualisations are powerful tools for informing minds, they also have the power to affect hearts. This matters because enabling successful emotional engagements with data, for example by changing how we do statistical education, might mean including previously excluded groups in understandings of data and in engagements in data-driven conversations and decision making."</t>
  </si>
  <si>
    <t>A083</t>
  </si>
  <si>
    <t>O’Brien, Heather L.; Cairns, Paul; Hall, Mark</t>
  </si>
  <si>
    <t>A practical approach to measuring user engagement with the refined user engagement scale (UES) and new UES short form</t>
  </si>
  <si>
    <t>https://www.sciencedirect.com/science/article/pii/S1071581918300041</t>
  </si>
  <si>
    <t>Canada, UK, Germany</t>
  </si>
  <si>
    <t>User engagement (UE) and its measurement have been of increasing interest in human-computer interaction (HCI). The User Engagement Scale (UES) is one tool developed to measure UE, and has been used in a variety of digital domains. The original UES consisted of 31-items and purported to measure six dimensions of engagement: aesthetic appeal, focused attention, novelty, perceived usability, felt involvement, and endurability. A recent synthesis of the literature questioned the original six-factors. Further, the ways in which the UES has been implemented in studies suggests there may be a need for a briefer version of the questionnaire and more effective documentation to guide its use and analysis. This research investigated and verified a four-factor structure of the UES and proposed a Short Form (SF). We employed contemporary statistical tools that were unavailable during the UES’ development to re-analyze the original data, consisting of 427 and 779 valid responses across two studies, and examined new data (N=344) gathered as part of a three-year digital library project. In this paper we detail our analyses, present a revised long and short form (SF) version of the UES, and offer guidance for researchers interested in adopting the UES and UES-SF in their own studies.</t>
  </si>
  <si>
    <t>UES</t>
  </si>
  <si>
    <t>To re-validate the UES, and introduce UES-SF (short version).</t>
  </si>
  <si>
    <t xml:space="preserve">Excluded: not a datavis empirical study. This paper appears to be more a focus on statistically validating this study instrument, but might be good as a reference for talking about engagement and measuring it. </t>
  </si>
  <si>
    <t>A095</t>
  </si>
  <si>
    <t>Oh, Jeeyun; Lim, Hayoung Sally; Copple, Jacob G.; Chadraba, Emily K.</t>
  </si>
  <si>
    <t>Harnessing the persuasive potential of data: The combinatory effects of data visualization and interactive narratives on obesity perceptions and policy attitudes</t>
  </si>
  <si>
    <t>https://www.sciencedirect.com/science/article/pii/S0736585317308730</t>
  </si>
  <si>
    <t>Data visualization has become a useful tool for website designers to effectively present complicated statistical information. In the context of health communication, however, the collective nature of aggregated data may hinder users from empathizing with individuals who suffer from a health issue. This study attempts to provide a solution to the limitation, by adding an interactive personal narrative to visualization of obesity data. Given the lack of empirical research that investigates why data visualization influences user engagement, the current study examines interactivity as an underlying mechanism. The level of interactivity in data visualization (low vs. high) was varied, along with the level of interactivity in a narrative of an obese character (low vs. high) in a 2 × 2 factorial-design experiment with 385 valid participants. Results showed that increased message interactivity for the narrative, presented with increased modality interactivity for data visualization, led to a greater empathic perception of obese individuals’ hardships and greater perceived severity of obesity, and less defensive responses to the website. As a result, high interactivity in data visualization showed significant indirect effects on participants’ attitudes toward policy change, only when presented with the highly interactive narrative.</t>
  </si>
  <si>
    <t>Harnessing the persuasive potential of data</t>
  </si>
  <si>
    <t>Obesity</t>
  </si>
  <si>
    <t>Marketing</t>
  </si>
  <si>
    <t>To investigate the role of interaction and narrative in datavis (on a website) to provide information about obesity.
"Given the lack of empirical research that investigates why data visualization influences user engagement, the current study examines interactivity as an underlying mechanism."</t>
  </si>
  <si>
    <t>increased emotional engagement as a result of interaction with datavis affects user perceptions and attitudes about the messages that "data visualization is designed to deliver". They refer to this as modality interactivity, a high level of medium-based interactivity to enable content engagement.
Adding narrative can drive emotional engagement (Green 2006, De Wit 2008)
Reduce negative psychological responses, i.e., defensive avoidance, reactance, denial, due to health message and perceived threat to freedom of choice, and instead promote acceptance and attitude change, intention, or behaviour</t>
  </si>
  <si>
    <t>ref NYT data journalism on sociopolitical and climate issues.
ref Wojdynski 2015 - engaging experiences with data content
The authors address the possible issue that interactive datavis strategies for news stories may not work as well for delivering health messages. "A health promotion message becomes more effective as the issue is perceived to be more serious and threatening (Janz and Becker 1984), which often requires users to vividly imagine negative health consequences (De Wit et al. 2008)"
Datavis is also used to present a summary of collective data, as opposed to concrete individual cases (that can better demonstrate the severity of health issues) - aggregated vs individual points
"Often referred to as “choose your own adventure,” interactive narratives challenge the traditional narrative format by enabling the reader to control the content. In doing so, the reader may be transported into a more immersive experience, effectively driving the plotline from start to finish and exerting control over the character’s fate (Green and Jenkins, 2014). Despite of the potential of interactive narratives, very few studies have empirically examined the effect of interactive narratives in the context of health communications."</t>
  </si>
  <si>
    <t>transportation (Green 2004, Green and Brock 2000, 2002) - emotionally and cognitively engaging readers into a story world. Affected by quality of the narrative, format, perceived realism in the narrative, readers' ability to create vivid mental images, propensity for absorption. Increased persuasiveness of narratives that feature characters and situations that are plausible to readers, and easy to identify with. Increasing empathy increases persuasive impact of narrative (Cohen 2001, Slater and Rouner 2002). Particularly relevant for health communication, presenting real people with personal hardships. Readers may feel a sense of responsibility for the character, which may leed to deeper message processing andg reater empathy (Rothman et al 1993). But not conclusive e.g., Steinemann et al 2017.
user engagement mentioned throughout but does not explicitly define it, cites Wang and Sundar 2017
talks about modality interaction (manipulating how to access information through click, slide, drag, zoom, mouseover) and message interaction (choosing what content to read, degree to which the interface can address users' unique input) as increasing engagement, which in turn may shape positive perceptions and positive attitudes toward information shown.
Interactivity defined as degree to which users can modify the form and content of a mediated content in real-time (McMillan and Hwang 2002, Sohn and Choi 2014, Steuer 1992).</t>
  </si>
  <si>
    <t>Transportation</t>
  </si>
  <si>
    <t>Wang &amp; Sundar 2017, Green 2004, Green &amp; Brock 2000/2002</t>
  </si>
  <si>
    <t>Empathetic perception</t>
  </si>
  <si>
    <t>Gibson et al. 2011</t>
  </si>
  <si>
    <t>link between narrative elements and increasing engagement: "Increasing empathy increases persuasive impact of narrative (Cohen 2001, Slater and Rouner 2002). Particularly relevant for health communication," fostering empathy and sense of personal responsibility for the character. 
link between interaction and engagement - ability to explore, shape the form - and increase positive feelings toward information being presented.</t>
  </si>
  <si>
    <t xml:space="preserve">(Bachen et al., 2012, Campbell and Babrow, 2004, Niederdeppe et al., 2008).
through citing literature on increasing user engagement via modality interactivty and interactive narrative techniques - increasing empathetic perception, decreasing defensive response, increasing positive attitude toward proposed policy change </t>
  </si>
  <si>
    <t>Empathy, Defensiveness</t>
  </si>
  <si>
    <t>tabular, time series</t>
  </si>
  <si>
    <t>Line, Heatmap, Choropleth</t>
  </si>
  <si>
    <t>interactivity, narrative element(s)</t>
  </si>
  <si>
    <t>interactivity, narrative elements</t>
  </si>
  <si>
    <t>Summary: Increased interactivity of data visualization led to less defensive responses toward the obesity website. In combination with the increased interactivity of the narrative, increased interactivity of the data visualization also contributed to greater empathic perceptions towards obese individuals’ hardships and greater perceived severity of obesity. As a result, highly interactive data visualization indirectly enhanced participants’ agreement with policy change, only when it was presented with the highly interactive narrative.-interactivity significantly reduced participants' defensive responses to website; perceived obesity-related info to be less distorted, overblown, exaggerated, manipulative in high-interactivity condition compared to low-interactivity condition
-presence of interactive narrative helped further decrease defensive responses (sig interaction effect between datavis interactivity and narrative interactivity)
-lowest defensive responses and perception of information distortion in high int+high narr condition
-empathetic perception: no significant effect of including obese individual to int datavis, but was a significant interaction effect between datavis int and narrative int. "Only when the narrative was highly interactive, participants were more empathetic to the hardships of obese individuals in the high interactivity datavis condition than in the low interactivity datavis condition." Between the low narrative component conditions, individuals were less empathetic in high datavis interactivity condition than in low datavis interactivity cond.
-sig. interaction effect between datavis and narr interactivity - increased perception of severity of the disease 
-high interactive datavis indirectly predicted greater agreement with policy change only if also with highly inter. narr.
-"Prior interactivity research has shown consistent findings such that interactivity elicits orienting responses that require a higher level of cognitive engagement, thereby reducing cognitive resources allocated to other aspects of the task (Macias, 2003, Liu and Shrum, 2009, Xu and Sundar, 2016)."
From discussion: -"Also, given that the low-low condition showed the highest empathy score among all four groups, future studies may benefit from testing a possible negative effect of interactivity on emotional engagement that may have distracted users from linearly processing the coherent narrative." -- this is contradictory to what they say in the results so now I'm confused
-"In other words, high interactivity in data visualization may have visually emphasized the collective nature of aggregated data, which would not be an effective strategy to enhance empathic perception about an obese individual’s struggles. In fact, statistical information was found to be effective in enhancing message elaboration only when supported by a narrative focused on an individual’s hardship, rather than community-level hardship (Niederdeppe et al., 2016). "
"Thus, results suggest that public health websites addressing obesity could benefit from simultaneously enhancing interactivity in data visualization and narratives. In order to maximize its effect, data visualization needs to be equipped with ample opportunities for users to control its visual aspects, and the data has to be supported by a concrete narrative where users can be engaged in deciding the character’s behavior. Previous studies have pointed out that emotional consequences in narratives are more effective than physical consequences for persuading audience, and the degree to which the story emphasizes environmental causes and solutions enhances their support for policy change to prevent obesity (Graaf et al., 2016, Niederdeppe et al., 2014). Thus, a type of narrative that focuses on emotional hardships that the character experiences, suggesting the societal causes of obesity, could be the best format of story to be presented with data visualization. "</t>
  </si>
  <si>
    <t>low, medium, high</t>
  </si>
  <si>
    <t>narrative (low to high), interactivity (low to high)</t>
  </si>
  <si>
    <t>Based on The State of Obesity website</t>
  </si>
  <si>
    <t>Interaction changed (low to high) - slider bar for time, clickable heat map, interactive line graph to click-through/mouseover</t>
  </si>
  <si>
    <t>general linear model analyses</t>
  </si>
  <si>
    <t>422 responses, 385 completed and included</t>
  </si>
  <si>
    <t>19-85 (avg 39.82)</t>
  </si>
  <si>
    <t>65.5% F</t>
  </si>
  <si>
    <t>79.4% Caucasian
136 some college, 216 Bachelor or higher
40-49K median household income</t>
  </si>
  <si>
    <t>Experimental 2x2 (low int, low narr, high int, high narr)</t>
  </si>
  <si>
    <t>custom Likert questionnaire post-stimulus, comprised of items adapted from other scalaes to measure e.g., Sundar et al 2016, empathetic perception from Gison et al 2011, perceived severity from Gibson and Zillman 1994, defensive responses from Shen et al 2009.
Also measured health efficacy (Lee et al 2008), self-efficacy (Bandura 1977) and familiarty with data visualization (Sundar et al 2014)</t>
  </si>
  <si>
    <t>statistical analysis</t>
  </si>
  <si>
    <t>summary statistics (mean, SD), one-tailed
General linear model analyses, bootstrapping method</t>
  </si>
  <si>
    <t>-Conceptualization and operalization of modality and message interactivty are not completely orthogonal - confounding nature of two types of interactivity should be addressed in future studies
-differences between conditions were significant but small. most observed effect sizes also very small - practical importance of findings diminished
-study does not address curvilinear effect of interactivity (e.g., Xu and Sundar 2014)
-participant demographics - mostly white, avg BMI in overweight category - effect of interactivity minimized as personal relevance to the issue increases? Macias 2003, Liu and Shrum 2009) - can test with broader audiences</t>
  </si>
  <si>
    <t>No mention of responsibility, per se, but the idea that emotional response/increasing empathy and decreasing defensive responses can also influence attitude toward policy change is interesting. No mention of consequent behaviour change (how to address/study it)
"Using modality and message interactivity features for effectively presenting narratives and numerical data regarding obesity could be especially important in influencing individuals who are prone to have defensive responses."</t>
  </si>
  <si>
    <t>What is the effect of interaction on processing in other ways? When you are more passively consuming information vs taking time to explore it and dive in deeper, doesn't that give the opportunity to reflect more and get more personal with it, rather than resources being used just for interaction?</t>
  </si>
  <si>
    <t>A099</t>
  </si>
  <si>
    <t>Mujtaba, Tamjid; Lawrence, Martin; Oliver, Mary; Reiss, Michael J.</t>
  </si>
  <si>
    <t>Learning and engagement through natural history museums</t>
  </si>
  <si>
    <t>https://www.tandfonline.com/doi/full/10.1080/03057267.2018.1442820</t>
  </si>
  <si>
    <t>10.1080/03057267.2018.1442820</t>
  </si>
  <si>
    <t xml:space="preserve">This review examines how natural history museums (NHMs) can enhance learning and engagement in science, particularly for school-age students. First, we describe the learning potential of informal science learning institutions in general, then we focus on NHMs. We review the possible benefits of interactions between schools and NHMs, and the potential for NHMs to teach about challenging issues such as evolution and climate change and to use digital technologies to augment more traditional artefacts. We conclude that NHMs can provide students with new knowledge and perspectives, with impacts that can last for years. Through visits and their on-line presence, NHMs can help students see science in ways that the school classroom rarely can, with opportunities to meet scientists, explore whole topic exhibitions, engage with interactive displays and employ digital technologies both in situ and to support learning in the school science classroom. Although these interactions have the potential to foster positive cognitive, affective and social outcomes for students, there is a lack of reliable measures of the impact of NHM experiences for students. Opportunities to foster relationships between NHM staff and teachers through professional development can help articulate shared goals to support students’ learning and engagement.
</t>
  </si>
  <si>
    <t xml:space="preserve">A survey about learning and engagement in informal learning settings (museums, specifically). </t>
  </si>
  <si>
    <t>Some interesting background about affective engagement and learning, but not relevant for this corpus, after all.</t>
  </si>
  <si>
    <t>A102</t>
  </si>
  <si>
    <t>Wang, Susie; Corner, Adam; Chapman, Daniel; Markowitz, Ezra</t>
  </si>
  <si>
    <t>Public engagement with climate imagery in a changing digital landscape</t>
  </si>
  <si>
    <t>https://onlinelibrary.wiley.com/doi/abs/10.1002/wcc.509</t>
  </si>
  <si>
    <t>10.1002/wcc.509</t>
  </si>
  <si>
    <t>Australia, UK, US</t>
  </si>
  <si>
    <t>Despite extensive exploration into the use of language in climate change communication, our understanding of the use of visual images, and how they relate to public perceptions of climate change, is less developed. A limited set of images have come to represent climate change, but rapid changes in the digital landscape, in the way media and information are created, conveyed, and consumed has changed the way climate change is visualized. We review the use of climate imagery in digital media (news and social media, art, video and visualizations), and synthesize public perceptions research on factors that are important for engaging with climate imagery. We then compare how key research findings and recommendations align with the practical strategies of campaigners and communicators, highlighting opportunities for greater congruence. Finally, we outline key challenges and recommendations for future directions in research. The increasingly image-focused digital landscape signals that images of climate change have a pivotal role in building public engagement, both now, and in future. A better understanding of how these images are being used and understood by the public is crucial for communicating climate change in an engaging way. This article is categorized under: Perceptions, Behavior, and Communication of Climate Change &gt; Perceptions of Climate Change</t>
  </si>
  <si>
    <t>Excluded because it is a review paper and focuses on photos and videos. Some good discussion about imagery that tends to not show the impact on humans, feels distant - an absense of human stories, which can impede engaging wider audiences. "Photographs and videos have dominated the portrayal of climate change in digital media, in online news media, social media, and other areas, and for this reason, will be the focus of the present review."</t>
  </si>
  <si>
    <t>A008</t>
  </si>
  <si>
    <t>Calvillo, N; Garnett, E</t>
  </si>
  <si>
    <t>Data intimacies: Building infrastructures for intensified embodied encounters with air pollution</t>
  </si>
  <si>
    <t>10.1177/0038026119830575","http://dx.doi.org/10.1177/0038026119830575")</t>
  </si>
  <si>
    <t>UK, study conducted in Korea</t>
  </si>
  <si>
    <t>The air is, in many urban contexts, polluted. Governments and institutions monitor particles and gas concentrations to better understand how they perform in the light of air quality guidance and legislation, and to make predictions in terms of future environmental health targets. The visibility of these data is considered crucial for citizens to manage their own health, and a proliferation of new informational forms and apps have been created to achieve this. And yet, beyond everyday decisions (when to use a mask or when to do sports outdoors), it is not clear whether current methods of engaging citizens produce behavioural change or stronger citizen engagement with air pollution. Drawing on the design, construction and ethnography of an urban infrastructure to measure, make visible and remediate particulate matter (PM2.5) through a water vapour cloud that we installed at the Seoul Biennale of Architecture and Urbanism 2017, we examined the effects and affects of producing a public space that allows for physical interaction with data. In Yellow Dust, data from PM2.5 were translated into mist, the density of which was responsive to the number of particles suspended in the air. Data were made sense/ible by the changing conditions of the air surrounding the infrastructure, which can be experienced in embodied, collective and relational ways: what we call 'molecular intimacies'. By reflecting on how the infrastructure facilitated new modes of sensing data, we consider how 'data intimacies' can re-specify action by producing different forms of engagement with air pollution.</t>
  </si>
  <si>
    <t>Data intimacies</t>
  </si>
  <si>
    <t>Climate (air pollution)</t>
  </si>
  <si>
    <t>Interdisciplinary methodologies, environmental science</t>
  </si>
  <si>
    <t>To see how a public art installation and experience of embodied data impacts people's affect and engagement with air pollution.</t>
  </si>
  <si>
    <t>Focus on data physicalization (although 'visual' obviously captures people's attention first), but they emphasized the physical dimensions of interacting with the data installation. Cool project though and may have some useful/interesting tidbits about other forms of engaging with public audiences. Might be something to mention as an edge case/further exploration in data physicalization and affect.</t>
  </si>
  <si>
    <t>A009</t>
  </si>
  <si>
    <t>Moss, KE</t>
  </si>
  <si>
    <t>A beacon for broader impact: illuminating science</t>
  </si>
  <si>
    <t>10.1080/17453054.2019.1591158","http://dx.doi.org/10.1080/17453054.2019.1591158")</t>
  </si>
  <si>
    <t>Biomedical art has a role to play in combating low health literacy and negative affect associated with complex and critical issues. The Landscapes Within is an installation that endeavours to draw a viewer into understanding mechanisms of healing and disease by encouraging a positive mindset, or positive affect, opportunities for self-reflection, for decision making, and to motivate positive change. Pleasing aesthetics link to positive affect, which has been shown to promote flexible thinking, comprehension, and conflict resolution.</t>
  </si>
  <si>
    <t>Bridging science and fine art to engage audiences through positive emotion about personal health and lifestyle choices</t>
  </si>
  <si>
    <t>Would have been so nice to include, but the evaluation with participants wasn't done at the time of this publication. Really nice installation though, and her introduction and ideas throughout echo a lot (quite closely) of what I want to say in this STAR as well. Kind of a funny coincidence...</t>
  </si>
  <si>
    <t>A010</t>
  </si>
  <si>
    <t>Ring, M; Brahm, T; Randler, C</t>
  </si>
  <si>
    <t>Do difficulty levels matter for graphical literacy? A performance assessment study with authentic graphs</t>
  </si>
  <si>
    <t>10.1080/09500693.2019.1640915","http://dx.doi.org/10.1080/09500693.2019.1640915")</t>
  </si>
  <si>
    <t>Germany</t>
  </si>
  <si>
    <t>In science, graphs are used to visualise data, relationships and scientific principles. Basic graph reading operations, i.e. reading single data points, recognising trends as well as conducting small extrapolations from the data are important skills for pupils and lay the groundwork for a comprehensive understanding of data visualisations across all disciplines. To explore the relationship between question level and item difficulty, we analysed the graph reading skills of eight-grade pupils in German Grammar Schools (N = 198) with Item Response Theory. In this study, pupils were asked to identify data points, trends and make small extrapolation from realistic descriptive graphs, used as teaching material. Furthermore, we examined the relationship between graph reading skills and motivational/emotional factors as well as academic achievement. Results show that the eight-graders mastered the basic abilities well and - contrary to our expectation - are as well able to extrapolate as they are to read trends or data points. We also find some relationship between graph reading skill and academic achievement and motivational/emotional factors as well as content knowledge.</t>
  </si>
  <si>
    <t>Graphical literacy</t>
  </si>
  <si>
    <t>Epistemic emotions related to graph reading ability</t>
  </si>
  <si>
    <t>This study dealt with motivation and emotional factors related to students' abilities to read graphs in different subjects. Didn't have to do with the graph design and eliciting particular emotions.</t>
  </si>
  <si>
    <t>A075</t>
  </si>
  <si>
    <t>Bloodhart, Brittany; Swim, Janet K.; Dicicco, Elaine</t>
  </si>
  <si>
    <t>“Be Worried, be VERY Worried:” Preferences for and Impacts of Negative Emotional Climate Change Communication</t>
  </si>
  <si>
    <t>https://www.frontiersin.org/journals/communication/articles/10.3389/fcomm.2018.00063/full</t>
  </si>
  <si>
    <t>10.3389/fcomm.2018.00063/full</t>
  </si>
  <si>
    <t>While communication experts largely recommend avoiding climate change messages that create negative emotional states, little is known regarding how members of the public use emotions in their own communication about climate change. Given the important role individuals can play in addressing climate change via their interpersonal communication, it is important to understand preferences for using or avoiding communication framed with negative emotions, and their ultimate impact on taking action to address climate change. Further, social expectations about the use of emotions may influence whether individuals' gender and political identity impacts their preference for using specific types of emotions. Three studies tested preferences for and impacts of three negative emotions common to climate change responses: fear, sadness, and anger, in comparison to messages framed without emotion. Findings indicate that people generally prefer messages framed without emotion, although in line with predictions, women, and Democrats are more apt to prefer emotional messages than men and Republicans. Although participants say they prefer messages framed without emotion, climate change messages framed with negative emotions are more likely than messages framed without emotion to match participants' feelings on climate change, while messages framed with specific types of negative emotions are more likely than messages framed without emotion to convey impressions of the speaker as rational, strong, and caring, which in turn predict greater preference for emotional over non-emotional messages. Further, results from a petition-signing study indicate that communicating with negative emotions does not promote nor hinder behavioral engagement.&lt;/p&gt;</t>
  </si>
  <si>
    <t>Be Worried, be VERY Worried</t>
  </si>
  <si>
    <t>To understand how individuals prefer the use of emotions (or not), particularly negative emotions, in communicating about climate change, and how this impacts others' willingness to also communicate and take action on CC. Furthermore, to understand demographic/identity and social expectations about use of emotion.</t>
  </si>
  <si>
    <t>Emotions play role in attitudes, beliefs, and decision-making. Emphasis on negative emotions risks the communication piece lacking logic, exhausting emotional resources amongst audiences, or rendering them feeling helpless to act.</t>
  </si>
  <si>
    <t>"While recommendations about using negative emotions in climate change communication are usually made under the assumption that they are less persuasive, we specifically found that participants perceived that the emotional messages were more persuasive and the speakers that used sadness and fear in their messages were perceived as more rational, caring, and strong than a message without emotion and speakers that used anger in their messages were perceived as more caring and strong than a message without emotion. Additionally, perceived persuasiveness, strength, and rationality of the speaker, as well as the degree to which emotions matched those felt by participants, contributed favorably to preference for using emotional messages. Thus, there may continue to be reasons to use negative emotions in climate change communication."
"Across three studies of climate change communications framed with or without negative emotions, it appears that the American public largely prefers messages that are framed without emotion, but that the use of negative emotions do not actually dissuade individuals from supporting action on climate change. Further, emotional communications are seen as more persuasive, more likely to reflect the feelings of individuals, and more likely to create impressions about a speaker's caring (except in the case of anger), strength and rationality, all of which also contribute to preferences for using negative emotions. Thus, the larger debate about avoiding negative emotions in climate change communications may be a product of concerns about the impressions negative emotions create about the speaker than about the actual effectiveness of the message on the audience."
"Finally, the results across three studies support prior research on the influence of political identity on emotions and engagement related to climate change. Democrats were more likely than Independents or Republicans to indicate that negative emotional messages matched their feelings about climate change, to prefer messages framed with negative emotions, and to support and sign the petition to address climate change."</t>
  </si>
  <si>
    <t>"The primary limitation of the current research is that we tested communications framed with negative emotions (i.e., language that expressed negative emotional feelings by the author) as opposed to messages that are intended to invoke negative emotions in the reader. We did not attempt to manipulate, nor did we measure, whether the framing of the message changed the emotional state of the participants."
" Thus, the type and strength of emotions felt by the public regarding climate change may be different under the current presidential administration, and future research may illuminate the degree to which current political discourse shapes whether and how negative emotions are used to communicate about climate change and influence individuals to take action."</t>
  </si>
  <si>
    <t>Did not involve datavis, after all. But a good RW to reference in discussion about studying negative emotions, maybe also for the MRI project. Also, they did not measure emotional response per se - they tested communications with language framed to express negative emotions by the author, rather than messages intended to invoke negative emotions in the reader. We did not attempt to manipulate, nor did we measure, whether the framing of the message changed the emotional state of the participants.</t>
  </si>
  <si>
    <t>A084</t>
  </si>
  <si>
    <t>Howe, Lauren C.; MacInnis, Bo; Krosnick, Jon A.; Markowitz, Ezra M.; Socolow, Robert</t>
  </si>
  <si>
    <t>Acknowledging uncertainty impacts public acceptance of climate scientists’ predictions</t>
  </si>
  <si>
    <t>https://www.nature.com/articles/s41558-019-0587-5</t>
  </si>
  <si>
    <t>Switzerland, USA</t>
  </si>
  <si>
    <t>Predictions about the effects of climate change cannot be made with complete certainty, so acknowledging uncertainty may increase trust in scientists and public acceptance of their messages. Here we show that this is true regarding expressions of uncertainty, unless they are also accompanied by acknowledgements of irreducible uncertainty. A representative national sample of Americans read predictions about effects of global warming on sea level that included either a worst-case scenario (high partially bounded uncertainty) or the best and worst cases (fully bounded uncertainty). Compared to a control condition, expressing fully bounded but not high partially bounded uncertainty increased trust in scientists and message acceptance. However, these effects were eliminated when fully bounded uncertainty was accompanied by an acknowledgement that the full effects of sea-level rise cannot be quantified because of unpredictable storm surges. Thus, expressions of fully bounded uncertainty alone may enhance confidence in scientists and their assertions but not when the full extent of inevitable uncertainty is acknowledged.</t>
  </si>
  <si>
    <t>Did not deal with emotional engagement on keyword search</t>
  </si>
  <si>
    <t>A090</t>
  </si>
  <si>
    <t>Wang, Zezhong; Wang, Shunming; Farinella, Matteo; Murray-Rust, Dave; Henry Riche, Nathalie; Bach, Benjamin</t>
  </si>
  <si>
    <t>Comparing Effectiveness and Engagement of Data Comics and Infographics</t>
  </si>
  <si>
    <t>https://dl.acm.org/doi/10.1145/3290605.3300483</t>
  </si>
  <si>
    <t>10.1145/3290605.3300483</t>
  </si>
  <si>
    <t>Scotland, China, USA</t>
  </si>
  <si>
    <t>This paper compares the effectiveness of data comics and infographics for data-driven storytelling. While infographics are widely used, comics are increasingly popular for explaining complex and scientific concepts. However, empirical evidence comparing the effectiveness and engagement of infographics, comics and illustrated texts is still lacking. We report on the results of two complementary studies, one in a controlled setting and one in the wild. Our results suggest participants largely prefer data comics in terms of enjoyment, focus, and overall engagement and that comics improve understanding and recall of information in the stories. Our findings help to understand the respective roles of the investigated formats as well as inform the design of more effective data comics and infographics.</t>
  </si>
  <si>
    <t>Climate, civic</t>
  </si>
  <si>
    <t>To compare the effectiveness and engagement level of data comics (a newer format for explaining complex and scientific topics) and infographics for data-driven storytelling.</t>
  </si>
  <si>
    <t>Participants largely prefer data comics in terms of enjoyment, focus, and overall engagement, and that comics improve understanding and recall of information presented in data stories.</t>
  </si>
  <si>
    <t>Not screen-based, which is part of the criteria (which means some other studies like 3D printing, if not compared to screen-based resources for e.g., patient education) must also be excluded. But maybe the more important reason is that engagement was not really defined beyond 'enjoyment and willingness to spend more time exploring the material' rather than to specifically evoke certain emotions. Does this matter?</t>
  </si>
  <si>
    <t>Exclude?</t>
  </si>
  <si>
    <t>A109</t>
  </si>
  <si>
    <t>Kong, Ha-Kyung; Liu, Zhicheng; Karahalios, Karrie</t>
  </si>
  <si>
    <t>Trust and Recall of Information across Varying Degrees of Title-Visualization Misalignment</t>
  </si>
  <si>
    <t>https://dl.acm.org/doi/10.1145/3290605.3300576</t>
  </si>
  <si>
    <t>10.1145/3290605.3300576</t>
  </si>
  <si>
    <t>Visualizations are emerging as a means of spreading digital misinformation. Prior work has shown that visualization interpretation can be manipulated through slanted titles that favor only one side of the visual story, yet people still think the visualization is impartial. In this work, we study whether such effects continue to exist when titles and visualizations exhibit greater degrees of misalignment: titles whose message differs from the visually cued message in the visualization, and titles whose message contradicts the visualization. We found that although titles with a contradictory slant triggered more people to identify bias compared to titles with a miscued slant, visualizations were persistently perceived as impartial by the majority. Further, people's recall of the visualization's message more frequently aligned with the titles than the visualization. Based on these results, we discuss the potential of leveraging textual components to detect and combat visual-based misinformation with text-based slants.</t>
  </si>
  <si>
    <t>Title-Vis Misalignment</t>
  </si>
  <si>
    <t>To understand the effect of title-vis misalignment on recall and trust.</t>
  </si>
  <si>
    <t>Affective Cues of the Data
Affective cues are specific characteristics of the data that can influence emotions [58]. For instance, these may include the perceived objectivity or believability of the data or the extent to which the data seems unbiased and credible. Negative affective trust in the data may also originate from a negative characteristic of the data source. “The visualization was presented with information from the CDC. I trust the CDC.” “I just do not believe vaccinated vs. unvaccinated has any difference in cases.”
Benevolence and Ethics Regarding the Data
Benevolence and ethics regarding the data refer to the responsible practices and soundness of the data collection, the responsible use of data, and the appropriate citation of the data sources. The lack of information regarding these details may evoke a negative affect toward the data. “I have no idea how the data was gathered, if this is a ‘dishonest’ research study, etc. Where did the visualization come from? Who provided the data? How was it collected?”
Aesthetic Cues of the Visualization
Aesthetic cues of the visualization are specific characteristics of the visualization that can trigger an emotional response [58]. These may involve specific use of colors, sizes, images, etc. “It looks scientific and seems professional.” “I don't really believe it, but I like that it's colorful.”
Benevolence and Ethics Regarding the Visualization
Benevolence and ethics regarding the visualization refer to the responsible practices and accuracy of the visualization, the extent to which the visualization provides an appropriate presentation of the data, free of any intention to mislead the trustor. “I believe that charts like this misrepresent the truth and present things in an oversimplified way in order to mislead the viewer.”</t>
  </si>
  <si>
    <t>titles as a visualization antecedent/cue for affective trust- if the title is misaligned, then the viewer may conclude the data is being misrepresented/shows bias, and therefore the viewer is being manipulated</t>
  </si>
  <si>
    <t>I think this is possible to come back to, but need to read the Vistrust paper maybe to apply the framework to pull out affective trust aspects.</t>
  </si>
  <si>
    <t>A112</t>
  </si>
  <si>
    <t>Peck, Evan; Ayuso, Sofia; El-Etr, Omar</t>
  </si>
  <si>
    <t>Data is Personal: Attitudes and Perceptions of Data Visualization in Rural Pennsylvania</t>
  </si>
  <si>
    <t>https://dl.acm.org/doi/pdf/10.1145/3290605.3300474</t>
  </si>
  <si>
    <t>10.1145/3290605.3300474</t>
  </si>
  <si>
    <t>Many of the guidelines that inform how designers create data visualizations originate in studies that unintentionally exclude populations that are most likely to be among the 'data poor'. In this paper, we explore which factors may drive attention and trust in rural populations with diverse economic and educational backgrounds - a segment that is largely underrepresented in the data visualization literature. In 42 semi-structured interviews in rural Pennsylvania (USA), we find that a complex set of factors intermix to inform attitudes and perceptions about data visualization - including educational background, political affiliation, and personal experience. The data and materials for this research can be found at https://osf.io/uxwts/.</t>
  </si>
  <si>
    <t>Data is Personal</t>
  </si>
  <si>
    <t>Public Health</t>
  </si>
  <si>
    <t>Drug Use/Overdose</t>
  </si>
  <si>
    <t>To explore which factors may drive attention and trust in rural populations with diverse economic and educational backgrounds (a segment that is largely underrepresented in the data visualization literature).</t>
  </si>
  <si>
    <t>Many factors including emotional response can impact how people engage with and make sense of data visualizations.</t>
  </si>
  <si>
    <t>Access to data can provide insight into our political, social, and physical environment.
The 'information poor' are disadvntaged in many dimensions that can fundamentally alter their engagement with society - lack of economic resources, basic literacy and skills, necessary service infrastructure, among others. Rural people are particularly affected by this, including digital inequality in rural regions that is fundamentally a matter of exclusion [Burrell]. the digital divide.
"A balance is needed, however, to avoid skewing data, as biases that have been well-studied in the psychology literature are increasingly found to play a role in how people understand data in visualizations [4, 36, 42, 44, 55, 58]."</t>
  </si>
  <si>
    <t>secondary?</t>
  </si>
  <si>
    <t>capturing attention</t>
  </si>
  <si>
    <t>based on coding of interview responses</t>
  </si>
  <si>
    <t>Compassion</t>
  </si>
  <si>
    <t>Trust</t>
  </si>
  <si>
    <t>tabular, temporal, geographic</t>
  </si>
  <si>
    <t>Bar, Line, Isotype, Map, Heatmap, Infographic</t>
  </si>
  <si>
    <t>in-the-wild examples, metadata</t>
  </si>
  <si>
    <t xml:space="preserve">HIGH LEVEL TAKE AWAYS:
-first exposures to data matter - problematic when people can be manipulated even by the title of a vis.
"How can platforms ensure that the first data visualization a person sees is a reliable one? How can we design data visualizations that are capable of altering previously formed impressions?"
-broad themes of simplicity, clarity, and aesthetics. Tensions between highly stylized visualizatins that emphasize engagement and minimal designs that prioritize understanding (minimize 'chart junk'), we observed trends among our participants that suggest they gravitate toward straightforward visual encodings. Simple bar graphs and line graphs were most highly ranked charts.
-perceptions of clarity typically did not refer to deep understanding of the data, but rather an ability to quickly extract the gist of the data, which often involved factors independent of the visual encoding. Clarity was topical in nature.
DATA IS PERSONAL: data can be intimate and personal, those ties may supersede many other dimensions of design. More than 20 instances where participants referenced a relatable component of the graph's content. Personal experiences also shaped perceptions of graphs that did not reference opioids (it was a graph showing something else and the participant related personal experience that those other drugs are not as bad an issue).
geographical information - where am I in the data: looking for 'home' or previous residence. finding a personal connection to a visualization made a dramatic impact on ranking. 
social framing: will this help other people?: some participants were more concerned about how the chart could be effective for other people, e.g., a participant likes infographics but thinks others don't take this format seriously. ranking based on finding them useful for other people - I trust them, would want to show my kids/parents. the visual aspect will engage them
Infographics: clarity and novelty - 
but those who didn't like: However, participants that were critical of infographics were more diverse in their rationales, often struggling to articulate why they placed it so low in their rankings. Those participants called them “boring”, “bizarre like a science fiction comic book”, “childlike”, and “not serious” (among others). Something you would see in a magazine and not necessarily a science article. "like someone had access to pictures and didn't know when to stop"
-infographics often rated lower by older people
After source was revealed, 25/42 participants kept their rankings:
-source was irrelevant, ranked on other criteria (visuals, interest) which had not changed, no reason (could not, or not willing to) articulate reason for keeping; all sources trusted (equally trustworthy sources)
-decision not to change ranking appeared to be tied to education- of 25 who did not change, 52% never received post-secondary education. only 1 of the other 17 participants who changed their rankings did not go past high school; hesitant to draw conclusions here but shows that studies sampling educated participants may not generalize to other populations.
Objectivity of data - information is information, doesn't matter where it comes from.
a possible anchoring effect - the first information people see dramatically impacts later answers. even though some felt the source of the data was important, they didn't change.
"with social media, the way it is today, it's hard to trust a lot of information because you could put anything on anything, and just because it's there doesn't mean it's accurate or truthful"
changing rankings: some charts improved in positive ranking after source was shown to be academic or government. Locality of source played a significant factor for one participant
Trust and political identity: some didn't trust the CDC.
political leaning influenced ranking of sources that were not politically-congruent (e.g., liberal participants more likely to drop ranking of datavis from Breitbart, Agrimed). noteably- participants provided political information after the interview. "While these results are not surprising, we must consider how political biases and beliefs may negate the impact of even the most lauded institutions for data visualization design and implementation, eg NYT."
-resist sharing over-aggregated data because it could hide nuances.
</t>
  </si>
  <si>
    <t>metadata: source of the vis</t>
  </si>
  <si>
    <t>print</t>
  </si>
  <si>
    <t>10 stimuli from real news sources, selected to represent a diverse set of features (form, visual appeal, source - where the chart was discovered, not origin of the data)</t>
  </si>
  <si>
    <t>general, rural</t>
  </si>
  <si>
    <t>18+</t>
  </si>
  <si>
    <t>some college, mostly middle, skewed left-learning, middle-high personal impact of drug use</t>
  </si>
  <si>
    <t>semi-structured interviews</t>
  </si>
  <si>
    <t>semi-structured interview protocol</t>
  </si>
  <si>
    <t>grounded theory, inductive thematic analysis</t>
  </si>
  <si>
    <t>"Our 42 interviews revealed a complex tapestry of motivations, preferences, and beliefs that impacted the way that
participants prioritized data visualizations. We saw that participants valued clarity and simplicity, at times gravitating
towards simple bar graphs and line charts. Other participants assigned high value to color and visual appeal. We found thathighly educated people were more likely to value the source of a data visualization, and that trust can align with political identity. Each of these factors warrant more investigation, but here we will focus on the most dominant theme in our analysis - the impact of personal experience." 
"Accounting for these factors will likely be critical in order to educate the general public through data visualizations, begging the question how can we design systems that align with the personal experiences of our audience? There has been recent work in information visualization that paints with a broad stroke in this direction - from using more concrete analogies of distance [30, 32] to equipping interactive visualizations with search bars to enable the pursuit of personal goals [16]."</t>
  </si>
  <si>
    <t>Their concluding broader impact statement: We have motivated this paper with the goal of communicating data to groups that are underrepresented in the visualization literature. However, research that articulates methods of communication to underrepresented groups also has the danger of providing a road map for manipulation through misinformation. We find this potential outcome deeply unsettling, but also one that is already steeped in reality through the infrastructure and incentive-structures of our online systems. For example, people may first see a visualization in social media or search results that are devoid of clear source information, or recommended based on our political affiliations. Our hope is that this research can be used to rethink the design of our information systems to combat misinformation rather than amplify it.
"A balance is needed, however, to avoid skewing data, as biases that have been well-studied in the psychology literature
are increasingly found to play a role in how people understand
data in visualizations [bunch of citations]. It is an important step to articulate how these biases manifest themselves not just at a broad, generalized level, but alos with underrepresented populations, which may differ in their educational and socioeconomic profiles."
How datavis is situated within the web's attention economy. Presenting data in a personal, familiar manner may yield positive benefits to more diverse web audiences.</t>
  </si>
  <si>
    <t>This isn't strictly a study on emotional engagement, but highly relevant and also highly cited. So, either related work or edge case? 
Echo their broader impact statement in the STAR. A roadmap for AV for good, not bad!</t>
  </si>
  <si>
    <t>A005</t>
  </si>
  <si>
    <t>Errickson, D; Fawcett, H; Thompson, TJU; Campbell, A</t>
  </si>
  <si>
    <t>The effect of different imaging techniques for the visualisation of evidence in court on jury comprehension</t>
  </si>
  <si>
    <t>10.1007/s00414-019-02221-y","http://dx.doi.org/10.1007/s00414-019-02221-y")</t>
  </si>
  <si>
    <t>Evidence presented within a courtroom should be clear so that the members of the jury can understand it. The presentation of distressing images, such as human remains, can have a negative effect on the jury since photographic images may evoke emotional responses. Therefore, it is important to understand how other visual mediums may improve comprehension, bias, or distress individuals. For this study, 91 individuals were randomly assigned one of three visual evidence formats in a mock courtroom exercise. These included photographs, 3D visualisations, or a 3D-printed model. The results show that the use of 3D imaging improves the juror's understanding of technical language used within a courtroom, which in turn better informs the juror's in their decision-making.</t>
  </si>
  <si>
    <t>Stress, Anxiety, Grief, Depression</t>
  </si>
  <si>
    <t>Exclude: did not specifically measure emotional engagement/response, focused more on comprehension and decision-making. Only in-passing mention of emotional responses evoked by seeing 3D models. But unclear how they would have measured this in the results. Can be mentioned in '3D model/physicalization' offshoot in discussion as a case where sensitive subject matter/context it's important to consider this.</t>
  </si>
  <si>
    <t>A006</t>
  </si>
  <si>
    <t>Hurtienne, J; Maas, F; Carolus, A; Reinhardt, D; Baur, C; Wienrich, C</t>
  </si>
  <si>
    <t>Move&amp;Find: The Value of Kinaesthetic Experience in a Casual Data Representation</t>
  </si>
  <si>
    <t>10.1109/MCG.2020.3025385","http://dx.doi.org/10.1109/MCG.2020.3025385")</t>
  </si>
  <si>
    <t>The value of a data representation is traditionally judged based on aspects like effectiveness and efficiency that are important in utilitarian or work-related contexts. Most multisensory data representations, however, are employed in casual contexts where creativity, affective, physical, intellectual, and social engagement might be of greater value. We introduce Move&amp;Find, a multisensory data representation in which people pedalled on a bicycle to exert the energy required to power a search query on Google's servers. To evaluate Move&amp;Find, we operationalized a framework suitable to evaluate the value of data representations in casual contexts and experimentally compared Move&amp;Find to a corresponding visualization. With Move&amp;Find, participants achieved a higher understanding of the data. Move&amp;Find was judged to be more creative and encouraged more physical and social engagement-components of value that would have been missed using more traditional evaluation frameworks.</t>
  </si>
  <si>
    <t>Hope, Interest, Curiosity</t>
  </si>
  <si>
    <t>Exclude: data physicalization primary modality for emotional engagement (as stated in the paper). But an interesting premise and can be mentioned in a 'physicalization' offshoot section?</t>
  </si>
  <si>
    <t>A007</t>
  </si>
  <si>
    <t>Chang, YS; Hu, KJ</t>
  </si>
  <si>
    <t>Usability Evaluation for the Integration of Library Data Analysis and an Interactive Artwork by Sensing Technology</t>
  </si>
  <si>
    <t>10.3390/app10217499","http://dx.doi.org/10.3390/app10217499")</t>
  </si>
  <si>
    <t>In this research, we propose innovative ideas for digital art combined with educational applications for the library. It also presents the library's information services to be more humane and interesting. By taking interactive devices as the basis, this research integrates college library borrowing data and an interactive artwork in order to perform an information visualization service for a user in the library by using their own smart phone. This research uses an instant data operation to carry out the information inquiry applications to present three years of library borrowing data, from 2013 to 2015, obtained from the Hsih Shin University library Data Access Protocol. Finally, a usability evaluation for the interactive art is conducted. To testify that this interactive art design meets the principle of user acceptance, a questionnaire survey is used for the statistical verification. The research findings show that a positive explanation value was achieved for user acceptance. The research model proposed by this research acts as a usability evaluation of the integrated application of an interactive artwork and library information service. The research model also corresponded to the user's emotional feedback in the HCI research field. The value of this research is that we provide usability-verified models for cross-domain applications.</t>
  </si>
  <si>
    <t>Exclude: focus on interactive art/infovis, not a clear datavis..</t>
  </si>
  <si>
    <t>A021</t>
  </si>
  <si>
    <t>Lor, M</t>
  </si>
  <si>
    <t>Color-encoding visualizations as a tool to assist a nonliterate population in completing health survey responses</t>
  </si>
  <si>
    <t>10.1080/17538157.2018.1540422","http://dx.doi.org/10.1080/17538157.2018.1540422")</t>
  </si>
  <si>
    <t>Visual representations of data have increasingly included color-encodings to help engage participants in health research. However, there is limited information on the way in which participants interpret color or on the influence of embedded cultural interpretations of color on survey responses. This study examines the interpretation of color-encodings used to indicate survey response options and their impact on participants' responses. Using a descriptive, cross-sectional design, interviews were conducted with 30 older Hmong adults from one Midwestern city in the United States. A survey data collection method was developed using: (a) an Audio-Computer-Assisted Self-Interviewing tool with (b) text-based and color-encoded response options and (c) assistance from a familiar helper. We analyzed the responses using directed content analysis. Findings reveal that some colors (red, black, and white) have strong cultural connotations; such colors were strongly correlated with specific emotions, while others (green, blue, purple, and pink) had no cultural meaning. Early in the survey, some older Hmong were distracted by response options indicated in red and black, influencing their response choices. However, with repeated instructions from the helpers, all participants overcame the color-related distractions and completed the survey. The findings highlight the importance of using colors cautiously and purposively in visualization development.</t>
  </si>
  <si>
    <t>Public health</t>
  </si>
  <si>
    <t>"The purpose of this study is to examine the interpretation of color-encodings used to indicate survey response options and the impact of color-encodings on participants’ responses."</t>
  </si>
  <si>
    <t>Emotional response to colour in survey design can be culturally-specific, and may influence responses to surveys depending on the culture, particularly among groups with low English proficiency (LEP). Colour-encoding related more to accessibility</t>
  </si>
  <si>
    <t>Culture as 'software of the mind' - the collective programming of the ind which distinguishes the members of one group or category of people from another. (Hofstede 1984)
-Hmong have an oral tradition - no written language existed before 1951</t>
  </si>
  <si>
    <t>N/A - they were interested if colours evoked specific emotions or culturally-relevant meanings</t>
  </si>
  <si>
    <t>tabular (survey)</t>
  </si>
  <si>
    <t>colour - brighter for positive connotations and darker colours (Except red) for negative connotations</t>
  </si>
  <si>
    <t>-colours did not really link to emotions for participants, they were able to respond to survey questions appropriately. "They focused on the cultural meaning of the color rather than the content of the response options that the colors encoded, which influenced their responses. This finding is consistent with the existing literature’s suggestion that colors can affect pattern recognition, recall, and memory,Citation24,Citation31 as well as attention and decision-making."
-helpers themselves did not attach much meaning to the colours because they grew up in the US - may suggest that colour-encodings for response categories may be more effective with people who grew up in the US, but more is needed to examine this</t>
  </si>
  <si>
    <t>pilot testing to determine appropriate colour/response category associations</t>
  </si>
  <si>
    <t>Hmong (south-east Asian immigrant community in US)</t>
  </si>
  <si>
    <t>descriptive cross-sectional design</t>
  </si>
  <si>
    <t>survey, video-recorded, interview</t>
  </si>
  <si>
    <t>IRB, participants compensated</t>
  </si>
  <si>
    <t>two community centres with high proportion of Hmong (target audience)</t>
  </si>
  <si>
    <t xml:space="preserve">-how to consider other factors and cultural norms, like having a helper. generalizability to other cultural groups
-how to consider colour blindness
</t>
  </si>
  <si>
    <t>Depending on the questions and associated response items, colors that do not have a strong cultural meaning might be considered and used to avoid bias in the responses due to colors.</t>
  </si>
  <si>
    <t>A071</t>
  </si>
  <si>
    <t>Concannon, Shauna; Rajan, Natasha; Shah, Parthiv; Smith, Davy; Ursu, Marian; Hook, Jonathan</t>
  </si>
  <si>
    <t>Brooke Leave Home: Designing a Personalized Film to Support Public Engagement with Open Data</t>
  </si>
  <si>
    <t>https://dl.acm.org/doi/10.1145/3313831.3376462</t>
  </si>
  <si>
    <t>10.1145/3313831.3376462</t>
  </si>
  <si>
    <t>Brooke Leave Home is a personalized film designed to engage a non-expert audience with open data about the support young adults receive when leaving the care system in England. The film draws upon a range of video-based data storytelling techniques to present each viewer with a personalized perspective on the topic based on data from their own local area. We present the film's design and describe how its storytelling techniques were developed to support viewers in understanding, and fostering empathic connections with, the data sources featured and the implications they have for care leavers. We also present a study with 47 viewers, which explores how these techniques were experienced and how effective they were in aiding engagement with the data included and its meaning.</t>
  </si>
  <si>
    <t>Brooke Leave Home</t>
  </si>
  <si>
    <t>Healthcare Support</t>
  </si>
  <si>
    <t>To understand how personalized data-driven videos can increase non-expert viewers' understanding of young adults' support when leaving care system in England, using techniques like narration, locality (proximity), and emotional closeness.</t>
  </si>
  <si>
    <t>Would increased (emotional) engagement improve viewers' understanding of the challenges young adults in England face when leaving the care system.</t>
  </si>
  <si>
    <t>"Human manipulation, analysis, and sense-making of data, delivering personalized, context-aware, and understandable data from big datasets, and providing access and understandings of data that is about individuals and how it affects them" Crabtree &amp; Mortier 2015</t>
  </si>
  <si>
    <t>analysing, sense-making, empathizing</t>
  </si>
  <si>
    <t>Crabtree &amp; Mortier 2015</t>
  </si>
  <si>
    <t>Empathy</t>
  </si>
  <si>
    <t>narrative</t>
  </si>
  <si>
    <t>Video, Geospatial map</t>
  </si>
  <si>
    <t>Video, Map</t>
  </si>
  <si>
    <t>narrative element(s), presentation format</t>
  </si>
  <si>
    <t>narrative elements, presentation format</t>
  </si>
  <si>
    <t xml:space="preserve">Narrative/Rhetoric:
-strong emotional response to character-driven story; made data more 'human' and relatable. "Can help viewers understand the human implications of data. Can be important for sense-making."
-however, empathy ratings were not vastly different between conditions
-risk of oversimplifying something complex, cannot represent all the people in the data, even though it is customizable to some extent. These kinds of issues are influenced in large part through personal, unique lived experiences and cannot all be represented, attempting to do so may be reductive.
Proximity:
-participants did not find the video as relevant to their local community
Emotional Response:
-rates of empathy for Brooke did not differ significantly across conditions, or ratings for how relevant audiences found the video to their local commnity (reject H)
-made data more 'human' and relatedable, able to empathize with it: "can help viewers understand the human implications of data, and evoke heightened empathy with the people data affects. Can be important for sense-making"
-potential issue of oversimplifying something complex, and cannot represent all the people the data represents, even though it is customizable to an extent. "Prioritizing certain eventualities in the narrative over other possibilities was identified as a reductive limitation- it assumes that certain factors effect people's thinking in the same way, people are different with varid life experience based on many factors".
-the format may not be as nuanced or detailed as e.g., an aticle or data visualization, limited ability to explore the data and the diversity 'of provision across the country'
</t>
  </si>
  <si>
    <t xml:space="preserve">-a strong emotional response based on film format, and in particular in response to character-driven representation of the data; in general promoted empathy for the character, and fostering an overall better understanding of the lived experiences of care leavers
-rates of empathy for Brooke did not differ significantly across conditions, or ratings for how relevant audiences found the video to their local commnity (reject H)
-made data more 'human' and relatedable, able to empathize with it: "can help viewers understand the human implications of data, and evoke heightened empathy with the people data affects. Can be important for sense-making"
-potential issue of oversimplifying something complex, and cannot represent all the people the data represents, even though it is customizable to an extent. "Prioritizing certain eventualities in the narrative over other possibilities was identified as a reductive limitation- it assumes that certain factors effect people's thinking in the same way, people are different with varid life experience based on many factors".
-the format may not be as nuanced or detailed as e.g., an aticle or data visualization, limited ability to explore the data and the diversity 'of provision across the country'
-oversimplification could lead to lower trust - although the video was more engaging, it was perceived as less factual. could make it harder for people to trust info about broad, national trends. "Most viewers reported that the integration of data and fictioanl account boosted the authenticity of the story, but for others it undermined perceived objectivity"
-give a face or voice to the actual experience makes the point more and connects with you emotionally"
-the rewatch feature was beneficial, especially in other locations to contextualize and draw comparisons, however it was time-consuming to rewatch several times, not as much novelty, people didn't finish on second round
-interest in local data, and real local initiatives that would be relevant to the character in the local context
</t>
  </si>
  <si>
    <t>Visual complexity: -have to balance visual and narrative complexity and how the data are represented.
Personalization, community-focused design: -RZ: more personal context and individual stories that can accompany the data, helps people connect more and also understand nuance (this was mentioned in the Black community paper)</t>
  </si>
  <si>
    <t>location</t>
  </si>
  <si>
    <t>3-act storytelling, location proximity</t>
  </si>
  <si>
    <t>local, national</t>
  </si>
  <si>
    <t>online</t>
  </si>
  <si>
    <t>38% 18-24
36% 25-34</t>
  </si>
  <si>
    <t>variety of ages, residences in England</t>
  </si>
  <si>
    <t>randomly assigned to 1 of 4 conditions: local, re-watch; local, no re-watch; NLR, NLNR</t>
  </si>
  <si>
    <t>pre-study survey, post-study questionnaire about experience (Likert scales, open-ended questions)</t>
  </si>
  <si>
    <t>not mentioned</t>
  </si>
  <si>
    <t>multiple channels</t>
  </si>
  <si>
    <t>qualitative thematic analysis</t>
  </si>
  <si>
    <t>descriptive stats
non-parametric tests for independent samples, with post-hoc pairwise comparisons
-independent samples Kruskall Wallist test</t>
  </si>
  <si>
    <t>-did not compare to some 'standard' information sharing method or presentation, e.g., a website? or not character-driven?
-used the same character for all the stories, which can limit engagement
-rewatch feature did not yield significant differences in empathy, may not be a necessary feature
-awareness alone does not lead to behaviour change; needs to be followed by mechanisms for empowerment, otherwise it leads just to 'tokenism' - how might data videos be situated within broader structures to enable citizens to change situations? e.g., charity campaigns, or to scaffold activitist communities</t>
  </si>
  <si>
    <t>"We believe that – like in traditional documentary film, where the dialectic between objective truth and representation is a well acknowledged concern [14] – this challenge can be negotiated by reflective and ethical practice by authors in respect to their intentions, viewpoints and potential biases."
"However, we also believe our findings show that negotiating such issues may prove especially complex for content that draws attention to being data-driven, in particular due to the well-established status of data as an objective thing in our society"
"However, on the other, it highlights an amplified risk of misleading audiences about the objectivity of views, either intentionally or not, when using design techniques that present data prominently in videos."</t>
  </si>
  <si>
    <t>Thoughts - when data visualizations are highly personalized, do people understand and experience the same reality anymore?
Balance between 'fiction' and 'fact' in data-driven storytelling to increase emotional engagement and understanding- how and when should emotional engagement be leveraged?</t>
  </si>
  <si>
    <t>A072</t>
  </si>
  <si>
    <t>Liem, J.; Perin, C.; Wood, J.</t>
  </si>
  <si>
    <t>Structure and Empathy in Visual Data Storytelling: Evaluating their Influence on Attitude</t>
  </si>
  <si>
    <t>https://onlinelibrary.wiley.com/doi/abs/10.1111/cgf.13980</t>
  </si>
  <si>
    <t>10.1111/cgf.13980</t>
  </si>
  <si>
    <t>In the visualization community, it is often assumed that visual data storytelling increases memorability and engagement, making it more effective at communicating information. However, many assumptions about the efficacy of storytelling in visualization lack empirical evaluation. Contributing to an emerging body of work, we study whether selected techniques commonly used in visual data storytelling influence people's attitudes towards immigration. We compare (a) personal visual narratives designed to generate empathy; (b) structured visual narratives of aggregates of people; and (c) an exploratory visualization without narrative acting as a control condition. We conducted two crowdsourced between-subject studies comparing the three conditions, each with 300 participants. To assess the differences in attitudes between conditions, we adopted established scales from the social sciences used in the European Social Survey (ESS). Although we found some differences between conditions, the effects on people's attitudes are smaller than we expected. Our findings suggest that we need to be more careful when it comes to our expectations about the effects visual data storytelling can have on attitudes. Additional material: https://flowstory.github.io/attitudes/.</t>
  </si>
  <si>
    <t>Structure and Empathy in Visual Data Storytelling</t>
  </si>
  <si>
    <t>Immigration</t>
  </si>
  <si>
    <t>To understand how storytelling techniques (specifically, personal visual narratives, structured narratives of aggregates) in visualization influence people's attitudes toward immigration (increased empathy?)
They do 2 experiments: a pre-post questionnaire, and only a post-questionnaire, in part reflecting on the role of priming.</t>
  </si>
  <si>
    <t>To see if and how empathy might be enhanced or influenced by use of specific visual storytelling techniques (use of first-person characters).</t>
  </si>
  <si>
    <t>-focus on visual data storytelling from the authoring perspective, but little has been done regarding the audience perspective.
"We chose a topic that it is close to life and for which people tend to have strongly held attitudes, intending to obtain more meaningful results than if we were to use a topic for which people tend to have weak attitudes. "</t>
  </si>
  <si>
    <t>capturing attention, interacting with, feeling motivated to use</t>
  </si>
  <si>
    <t>European Social Survey</t>
  </si>
  <si>
    <t>Jowell &amp; Fitzgerald 2007</t>
  </si>
  <si>
    <t>referencing engagement studied in other work, but no definition</t>
  </si>
  <si>
    <t>To explain why and how we looked at the effect visual data storytelling can have on attitude towards a sensitive topic, and why we looked at immigration in particular, we first describe human values and attitude. Human values are general principles in life, or basic broadly immutable beliefs, that inform more mutable attitudes and opinions [DM12, O'K16]. Attitude refers to an individual's evaluative judgment about a stimulus object, which can be anything that is liked or disliked (e.g., individuals, groups, events, products and abstract concepts) [MH15]. While values are quite stable over time, attitudes can be influenced in various contexts and situations [DM12]. This makes attitude a good measure to study, given that it is more influenceable.</t>
  </si>
  <si>
    <t>Network flow</t>
  </si>
  <si>
    <t>Graph, Map</t>
  </si>
  <si>
    <t>narrative element(s)</t>
  </si>
  <si>
    <t>narrative elements</t>
  </si>
  <si>
    <t>-statistically significant findings, but the effect size was small, i.e., not a signiciant influence on participants' attitudes
'Findings, which do not support common assumptions, are important contributions, as they prevent us from relying on plausible but unchallenged expectations.'
-participants in the pre-post experiment perceived immigration as less of a threat after seeing the stimulus
-more significant attitude change, in general, amongst participants that are female, middle-aged, comfortably live on income, centre-left political orientation, or are relatively more religious
-empathy may not necessarily change people's attitudes toward immigration
-structured vis participants perceived immigration on average as more of a threat than the empathy and explore conditions
-possible that the author-driven approach in the structure condition might play a role in participants' responses; the explore condition lets people look through data on their own, might be perceived as less patronizing.
When assessing attitudes that tend to be strongly held, priming participants through pre-stimulus assessments is likely to be problematic as it might introduce conservatism bias.</t>
  </si>
  <si>
    <t>narrative storytelling - We created diverging visual narratives with respect to two categories of visual-narrative techniques (empathy and structure) to isolate the effect of each technique. For example, while the empathy design (see Figure 2) has a first-person perspective and an unstructured story flow, the structure design (see Figure 3) uses a third-person perspective and a structured story flow.</t>
  </si>
  <si>
    <t>13 vis and cartography experts</t>
  </si>
  <si>
    <t>empathy and structure</t>
  </si>
  <si>
    <t>600 (300 for each condition)</t>
  </si>
  <si>
    <t>18+ residents of UK, English first language (to match the context of the vis)
captured attitudes toward immigration, values and attitudes</t>
  </si>
  <si>
    <t>3 conditions: empathy, structure, exloration</t>
  </si>
  <si>
    <t>custom questionnaire of 28 questions, adapted from ESS (measuring human values and attitudes - related to immigration). self-transcendence/self-enhancement, openness/conservative views
pre-post or just post-questionnaire, 8 minutes of map viewing</t>
  </si>
  <si>
    <t>Prolific</t>
  </si>
  <si>
    <t>pairwise, CI, boostrap replicates</t>
  </si>
  <si>
    <t>-potential experimenter bias: content bias (migration from eastern countries); stimuli have to be complex enough to imitate realistic settings, which could lead to biased complexities across stimuli, which influences understanding.
-how to measure the effects of storytelling - isolating individual elements makes it less realistic/reduce relevance of results.
-size of differences in attitude cahgne should be put in context.
"In a wider context, the authoring, and the perception, of visual narratives are subjective [TPWC17]. The same data, observations, and facts often allow different interpretations and yield different narratives [CM11, Phi12] in the form of different designs or in the form of different mental images. This is fully acceptable and can be seen as a strength of narrative approaches and as an advantage to visualization designers; but it also makes it difficult to quantify effects in experimental setups, and even more to generalize results."
"Since it is difficult in practice to isolate the impact of visual narratives from the context around them, we, as a community, need to consider developing alternative approaches when assessing attitudes and beliefs in narrative visualization to the widely employed designs borrowed from highly controlled perceptual studies. For example, recent work [NBS18] struck a new path by conducting micro-phenomenological interviews, to target experience in visual data storytelling. The application of such or similar qualitative evaluation approaches (e.g., case studies, focus group discussions, the use of additional media and narratives on the same topic) to the visual narratives presented, which include techniques such as anthropomorphic elements or structured sequential revelations, can be a next valuable research contribution."
"When assessing attitudes that tend to be strongly held, priming participants through pre-stimulus assessments is likely to be problematic as it might introduce conservatism bias."</t>
  </si>
  <si>
    <t xml:space="preserve">"Data and (narrative) visualization can be used to communicate information in a biased way trying to influence people's attitudes. This is problematic if happening wittingly. Providing credits, the provenance of the data and details of the design process can allow one to form one's own opinion. New design approaches like Literate Visualization [WKD18] might help to communicate design decisions effectively. "
These findings help to better anticipate the effects of narrative techniques used in visualization over people's attitudes towards topics regarded as contentious and strongly held. </t>
  </si>
  <si>
    <t>Seems more rigorous and thoughtful in method than the Pirani paper - they address the fact that empirical studies are (at this point) limited and not well designed.
adapted gender of participant if disclosed, or defaulted to female if not</t>
  </si>
  <si>
    <t>A073</t>
  </si>
  <si>
    <t>Pirani, N.; Ricker, B. A.; Kraak, M. J.</t>
  </si>
  <si>
    <t>Feminist cartography and the United Nations Sustainable Development Goal on gender equality: Emotional responses to three thematic maps</t>
  </si>
  <si>
    <t>https://onlinelibrary.wiley.com/doi/abs/10.1111/cag.12575</t>
  </si>
  <si>
    <t>10.1111/cag.12575</t>
  </si>
  <si>
    <t>Netherlands</t>
  </si>
  <si>
    <t>Thematic maps facilitate spatial understanding of patterns and exceptions. Cognitive ability, spatial cognition, and emotional state are related, yet there is little research about map readers’ emotions. Feminist critiques of cartography recognize emotion and affect as legitimate experiences on par with quantitative ways of knowing. We conducted an online survey to measure users’ affective states before and after engaging with three thematic map types. The maps showed data from the United Nations Sustainable Development Goal to achieve gender equality, on the proportion of girls and women aged 15 to 49 who have undergone female genital mutilation/cutting. Participants viewed a choropleth, a cartogram, and a repeating icon tile map; completed map-related tasks; rated certain map qualities; rated their affective states before and after engaging with the maps; and answered open-ended questions. The maps piqued curiosity and evoked emotions for most users, while some users perceived the thematic maps as clinical or neutral despite the sensitive topic. After viewing the maps, female participants who were affected expressed deeper engagement in their open-ended comments than males. Traditionally, cartography construes the human experience as male experience and denies or trivializes women's experiences. Our findings corroborate feminist critiques of this disembodiment and entrenched rational rhetoric of maps.</t>
  </si>
  <si>
    <t>Feminist cartography and the SDGs</t>
  </si>
  <si>
    <t>Gender Equality</t>
  </si>
  <si>
    <t>To measure and understand the role of emotional response to cartographic map styles representing a sensitive social topic.
"Do users' affective states change by engaging with thematic maps portraying UNSDG data about FGM/C?</t>
  </si>
  <si>
    <t>Emotion is under-valued in map reading, per feminist critique, and the authors therefore want to demonstrate its central role in map reading, especially as related to a sensitive topic.</t>
  </si>
  <si>
    <t>-feminist critiques of cartography, GIS, and datavis recognize emotion and affect as legitimate experiences, on par with quantitative ways of knowing; rational responses are insufficent to describe everyday engagement with data.
-specific focus on SDG 5, which aims for gender equality and to empower all girls and women. 5.3 aims to eliminate all harmful practices including FGM/C - 5.3.2. is a measure of how many girls and women 15-49 have undergone FGM/C.
Döll(2017) writes that cartograms trigger emotion, increase viewer attention, and may augment knowl-edge transfer as a result. For example, the visualization of human exposure to climate change in acartogram might trigger compassion for peoplewho are negatively affected. Barford (2017) foundthat world cartograms and visualizations depictinginequality can influence emotional responses to,and perceptions of, inequality. Users may experi-ence lower emotional involvement with places onmaps when distances appear greater because of theworld map projection (Gilmartin and Lloyd 1991).
-phenomena viewing from afar - seeing everything from nowhere (Haraway 1988). Can distance viewers from sensitive and awareness of hte people or concepts to whom the data refer, and without whom the data would not be. But visualizations may also reduce distance and evoke emotions that connect viewers with the subjects of the data.</t>
  </si>
  <si>
    <t>no formal definition, referred to as paying attention to and interacting with data</t>
  </si>
  <si>
    <t>interacting with, paying attention to</t>
  </si>
  <si>
    <t>PANAS</t>
  </si>
  <si>
    <t>Watson et al 1988</t>
  </si>
  <si>
    <t>"based on the topic, the term indicates brutality and sex discrimination; social injustice on maps can trigger emotions, such as anger and injustice, which is why we decided to map reactions to this indicator."</t>
  </si>
  <si>
    <t>Sadness, Anger, Annoyance, Distress, Curiosity, Surprise, Shock</t>
  </si>
  <si>
    <t>Choropleth, Cartogram, Icon tile</t>
  </si>
  <si>
    <t>Map</t>
  </si>
  <si>
    <t>vis type(s)</t>
  </si>
  <si>
    <t>map type</t>
  </si>
  <si>
    <t>-thematic maps evoke emotional responses in most users, but some lacked emotional engagement - findings report on responses that indicate emotional reticence or denial, despite data and visualiation choices.
-4 participants were nationals or current residents of African countries (Egypt, S.A.)
-subjective and geographic distances may have influenced lower emotional involvment - people are less concerned with events in distant places (not true), cartographic choices can influence perceptions of distance
-one participant, "the issue itself is highly emotional. none of the maps however transported this feeling to me. I was rather de-emotionalized by the maps."
-concentrating on completing tasks correctly took away from the emotional experience. less familiar map types increased attention and emotion slightly, due to novelty.
-emotion linked to colour in choropleth map. Was easiest to understand, but also least interesting and emotional.
-negative emotion related to content rather than difficulty in reading cartogram.
-pictograph of scissors was effective in conveying seriousness of issue (one participant: "I like the scissors. A knife may havebeen even more effective, as a knife is more brutal”(P23). Others commented ambiguously: “symbolsmay be less precise but may allow a directer [sic]connection to the displayed data (if chosen well)”(P10). "The scissor icons make it emotional” (P44) and “the symbols chosen to represent the percentage of women is shocking and illicits [sic] and a strong negative emotional response” (P51).
-tile map appeared to be more neutral than the other maps - equal weight to all countries
-Two said the tile map was unemotional.For example: “this map is completely unemotionalbut it forces its reader to involve into contentreading and understanding” (P33). This commentmakes a distinction between the map itself and theissue presented; this participant also said inanother comment, “I’m very annoyed with howwomen are treated at some parts of the world and Ithink that there should be way more maps” to raisemore awareness."
-Four participants noted a discrepancy betweenthe emotional “value” of the map topic and theactual maps. For example: “it’s a sad topic but themaps just show the data” (P10); and “No differentemotions from when I started. Although it is a veryemotive issue it feels far away … while clear, themaps themselves are quite clinical …” (P11). Onenoted, “I am not familiar with the topic, I think thatis why it didn’t give me an emotion … I just feelemotions looking at the map (design choices).
-overall mood decreased by the end. sadness, anger, annoyance, distress.
-no significant difference in gender responses, but the quality of responses from those who expressed emotion did differ - female participants were more expressive in their responses
-participant who was not familiar with the topic didn't feel anything</t>
  </si>
  <si>
    <t>general, academic/GIS</t>
  </si>
  <si>
    <t>50% F</t>
  </si>
  <si>
    <t>experience with maps</t>
  </si>
  <si>
    <t>PANAS, Custom Questionnaire</t>
  </si>
  <si>
    <t>all participants shown all map types, but in different order. asked to rate all at the end</t>
  </si>
  <si>
    <t>online survey (SurveyMonkey)
PANAS - baseline for self-report on affect, then post-map exposure
open-ended questions ('looking back at your thoughts and feelings, what emotions did you experience while viewing these maps and the issue they portray? Looking back at your thought sand feelings during the study, what questions do you have from the maps?')</t>
  </si>
  <si>
    <t>convenience: social media, email to faculty and students, members of Commissions of the International Cartographic Association</t>
  </si>
  <si>
    <t>qualitative thematic coding (of open-ended responses)</t>
  </si>
  <si>
    <t>-timing for study was limited due to running during a Master student's summer field season
-limitations with the survey tool (not recording the order of maps each participant saw) - took only first and last PANAS rating.
-Asmost of the participants were experts in a geo‐related field, they may have doubted the validityor truthfulness of emotional experiences evokedby maps. Perhaps the study should not have beenexplicitly titled “maps and emotions” to avoidbiasing perspectives.
-This research did not engage with the womenwhose experiences are portrayed in the data, andit is unknown if any of the participants in the studyhave been involved with FGM/C. Few participantswere from Africa, and familiarity or lack thereofwith the continent’s topography may have alsoaffected task results.
-different datasets that are more and less emo-tional. Physiological, “objective” data such aselectrodermal activity from wearable biosensors might supplement, complement, or contradict self‐reported affect from the PANAS. Semi‐structured interviews with participants might solicit moredetailed information to supplement users’ comments and ratings. It could be valuable to investigate how interactivity and linked maps could invoke emotional responses in users through additional data, information, or design.
"We found that participants examined the re-peating icon tile map and the cartogram morecarefully, which are less commonly used map typesthan the choropleth, with less familiar views of theworld. More research is needed to distinguish howmultiple factors might influence affective andemotional responses and attitudes, includingusers’ prior knowledge and experience with theissue; data quality and completeness; cartographic and design conventions and decisions; subjectiveand geographic distance; indicator issue; andthematic map types and users’ familiarity withthem and the geographic areas represented. Future research could benefit from the study of whichfactors increase or detract from emotional involve-ment with maps, place, and data."</t>
  </si>
  <si>
    <t>Our findings corroborate feminist critiques of this disembodiment and entrenched rational rhetoric of maps.
"Preston (2008) differentiates between mappingtechniques that intentionally and unintentionallyevoke emotional responses; the latter shift power from the map author to the map reader. Sui andHolt (2008) argue that it is necessary to understandthematic maps from more than one dimension. In particular, several researchers point to cartograms’potential for deeper engagement, to elicit moralemotions (Sui and Holt 2008; Döll 2017), and to draw attention to how maps are thought experi-ments (Sui and Holt 2008)."
-McCleary (2003, 1827)expresses concern in grappling with how to visulize human suffering or injury, because “there is no mechanical, no manufactured cartographic solution that will convey the horror of catastrophe and calamity … how does one create displays thatcapture the minds and emotions of the map user?”
-Asmost of the participants were experts in a geo‐related field, they may have doubted the validityor truthfulness of emotional experiences evokedby maps. Perhaps the study should not have beenexplicitly titled “maps and emotions” to avoid biasing perspectives.
Traditional geography construes male as synonymous with human, denying women’s experience. What are alternate solutions to traditional cartographic practices and thematic maps that trivialize and distort women’s experiences, reducing them to data represented as colours, numbers, and symbols? How can we convey and evoke emotion and empathy while also portraying the spatial distribution of a larger and widespread phenomenon?</t>
  </si>
  <si>
    <t>How is research impacted by trying to fit into a grad program course of study/research?
The study logistics seem flawed throughout...? Several mentions of it here
How do you get people who don't know or care about a topic to do so? And do you do so through trying to evoke emotions, or through 'fact'? What of people who already care about a topic and are deeply emotional about it - do you remove emotional sway from the content of a vis (make it more 'neutral' or 'sterile') or do you lean into some kind of emotion for those people?
Engaging with the community that the data represents - letting them tell their own story
Talking about different ways of measuring emotions to understand responses (different quant/qual instruments). Other subject matter.</t>
  </si>
  <si>
    <t>A074</t>
  </si>
  <si>
    <t>Romat, Hugo; Henry Riche, Nathalie; Hurter, Christophe; Drucker, Steven; Amini, Fereshteh; Hinckley, Ken</t>
  </si>
  <si>
    <t>Dear Pictograph: Investigating the Role of Personalization and Immersion for Consuming and Enjoying Visualizations</t>
  </si>
  <si>
    <t>https://dl.acm.org/doi/10.1145/3313831.3376348</t>
  </si>
  <si>
    <t>10.1145/3313831.3376348</t>
  </si>
  <si>
    <t>USA, France</t>
  </si>
  <si>
    <t>Much of the visualization literature focuses on assessment of visual representations with regard to their effectiveness for understanding data. In the present work, we instead focus on making data visualization experiences more enjoyable, to foster deeper engagement with data. We investigate two strategies to make visualization experiences more enjoyable and engaging: personalization, and immersion. We selected pictographs (composed of multiple data glyphs) as this representation affords creative freedom, allowing people to craft symbolic or whimsical shapes of personal significance to represent data. We present the results of a qualitative study with 12 participants crafting pictographs using a large pen-enabled device and while immersed within a VR environment. Our results indicate that personalization and immersion both have positive impact on making visualizations more enjoyable experiences.</t>
  </si>
  <si>
    <t>Dear Pictograph</t>
  </si>
  <si>
    <t>Personal</t>
  </si>
  <si>
    <t>To investigate how personalization and immersion can enhance engagement and enjoyment of data visualizations.</t>
  </si>
  <si>
    <t>Enjoyment may deepen engagement with data visualizations beyond just understanding.</t>
  </si>
  <si>
    <t>-HCI focus, linking engagement generally to a positive user experience, associated with being captivated and motivated to use an interface.
-key metric in videogame research
-Boy et al (2015) storytelling; Amini et al 2018 viewer engagement, modified?</t>
  </si>
  <si>
    <t>Amini et al. 2018, Boy et al. 2015</t>
  </si>
  <si>
    <t>enjoyment in visualizing data</t>
  </si>
  <si>
    <t>Brehmer &amp; Munzner 2013</t>
  </si>
  <si>
    <t>engagement (using an interface) linked with positive user experience</t>
  </si>
  <si>
    <t>Brehmer and Munzner - enjoy, discover, present in taxonomy of visualization tasks
"no established measures to assess enjoyment" the authors therefore use a mixed methods approach</t>
  </si>
  <si>
    <t>Enjoyment</t>
  </si>
  <si>
    <t>Pictographs</t>
  </si>
  <si>
    <t>Pictograph</t>
  </si>
  <si>
    <t>design element(s), presentation format</t>
  </si>
  <si>
    <t>pictograph, immersion</t>
  </si>
  <si>
    <t>Vis Design:
-being able to choose or draw own icons enhanced enjoyment and feeling of connecting with the data (what it means for them)
Format:
-personalization and immersive experience make quantity estimation more difficult, but do not negatively impact
-increases enjoyment through personalization, making data personally relatable, encourages deeper reflection
-novelty was a big part of enjoyment, seeing and working in 3D
-enhances feeling of creativity (participating in data visualization authoring), in this case drawing</t>
  </si>
  <si>
    <t>-personalization and immersion do not have a negative impact on estimation of quantities, but do make it difficult. They do contribute to multiple aspects of enjoyment, by fostering a deeper though process about what the data means for people, how best to represent it for themselves.
-novelty was a major factor in people enjoying the experience, but also may trigger deeper reflection (relate data to life experience and real-world objects); can also enhance feeling of creativity working in 2/3-dimension
-selecting a more personalized option (drawing) Was more fun and engaging, also made them think more about the data and what it represents for them</t>
  </si>
  <si>
    <t>Balancing emotional and cognitive processes, they should support each other: -RZ: balance emotional engagement (via experiencing datavis in new ways) with cognitive tasks like understanding the data (in this case, quantities)</t>
  </si>
  <si>
    <t>VR or not</t>
  </si>
  <si>
    <t>Personalization</t>
  </si>
  <si>
    <t>screen, VR</t>
  </si>
  <si>
    <t>general/convenience</t>
  </si>
  <si>
    <t>35 avg</t>
  </si>
  <si>
    <t>5 F</t>
  </si>
  <si>
    <t>past experiences with immersive environments, self-tracking activities, affinity with drawing</t>
  </si>
  <si>
    <t>Observation, Think Aloud, Adapted Questionnaire</t>
  </si>
  <si>
    <t>3 (levels of personalization) x 2 (immersion level)</t>
  </si>
  <si>
    <t>pre-defined objective measures, subjective self-raitings, open-coding of study observations and think-aloud transcripts</t>
  </si>
  <si>
    <t>mailing lists in a large corporation (Microsoft?)</t>
  </si>
  <si>
    <t>-general research to look more at the role of personalization and immersion in 'crafting visualization experiences that are highly enjoyable' - which 'may prove more important than making them perceptually accurate and efficient.'</t>
  </si>
  <si>
    <t>interesting concluding point - that making enjoyable experiences may be more important than accuracy or efficiency in reading/interpreting/understanding a datavis
unimportant aside...this paper has so many typos, it's annoying</t>
  </si>
  <si>
    <t>A004</t>
  </si>
  <si>
    <t>Harrington, MCR; Bledsoe, Z; Jones, C; Miller, J; Pring, T</t>
  </si>
  <si>
    <t>Designing a Virtual Arboretum as an Immersive, Multimodal, Interactive, Data Visualization Virtual Field Trip</t>
  </si>
  <si>
    <t>10.3390/mti5040018","http://dx.doi.org/10.3390/mti5040018")</t>
  </si>
  <si>
    <t>This paper describes a virtual field trip application as a new type of immersive, multimodal, interactive, data visualization of a virtual arboretum. Deployed in a game engine, it is a large, open-world simulation, representing 100 hectares and ideal for use when free choice in navigation and high fidelity are required. Although the computer graphics are photorealistic, it is different and unique from other applications that use game art or 2D 360-degree video, because it reflects high information fidelity as a result of the domain expert review, and the integration of geographic information system (GIS) data with drone images. Combined in-game as a data visualization, it is ideal for generating past or future worlds, in addition to representations of the present. Fusing information from many data sources-terrain data, waterbody data, plant inventory, population density data, accurate plant models, bioacoustics, and drone images-its design process and methods could be repeated and used in a wide range of augmented reality (AR) and virtual reality (VR) applications and devices. Results on presence, embodiment, emotions, engagement, and learning are summarized from prior pilot studies for context on use, and are relevant to schools, museums, arboretums, and botanical gardens interested in developing immersive informal learning applications.</t>
  </si>
  <si>
    <t>Exclude: data visualization is limited to a few maps, the main experience here is immersive environments and some information presented like an atlas, or something like this... datavis not the main visual stimulus for (emotional) engagement</t>
  </si>
  <si>
    <t>A116</t>
  </si>
  <si>
    <t>Lan, Xingyu and Shi, Yang and Zhang, Yueyao and Cao, Nan</t>
  </si>
  <si>
    <t>Smile or Scowl? Looking at Infographic Design Through the Affective Lens</t>
  </si>
  <si>
    <t>10.1109/TVCG.2021.3074582</t>
  </si>
  <si>
    <t>China</t>
  </si>
  <si>
    <t>Infographics are frequently promoted for their ability to communicate data to audiences affectively. To facilitate the creation of affect-stirring infographics, it is important to characterize and understand people's affective responses to infographics and derive practical design guidelines for designers. To address these research questions, we first conducted two crowdsourcing studies to identify 12 infographic-associated affective responses and collect user feedback explaining what triggered affective responses in infographics. Then, by coding the user feedback, we present a taxonomy of design heuristics that exemplifies the affect-related design factors in infographics. We evaluated the design heuristics with 15 designers. The results showed that our work supports assessing the affective design in infographics and facilitates the ideation and creation of affective infographics.</t>
  </si>
  <si>
    <t>Smile or Scowl?</t>
  </si>
  <si>
    <t>To understand how design choices in infographics can elicit affective response, and to devise a set of affective design heuristics for infographics.</t>
  </si>
  <si>
    <t>Emotions play a role in information receptivity and decision-making. Understanding what design choices play a role in eliciting emotional response will help in designing more impactful infographics.</t>
  </si>
  <si>
    <t>capturing attention, interacting with, sense-making</t>
  </si>
  <si>
    <t>Kennedy &amp; Hill 2018</t>
  </si>
  <si>
    <t>Kahneman 2011- affective responses is a critical intelligence of human beings that drives decision-making more intuitively and swiftly than logic.</t>
  </si>
  <si>
    <t>A015</t>
  </si>
  <si>
    <t>Zhang, YC; Fjeld, M; Fratarcangeli, M; Said, A; Zhao, SD</t>
  </si>
  <si>
    <t>Affective Colormap Design for Accurate Visual Comprehension in Industrial Tomography</t>
  </si>
  <si>
    <t>Sweden</t>
  </si>
  <si>
    <t>The design of colormaps can help tomography operators obtain accurate visual comprehension, thereby assisting safety-critical decisions. The research presented here is about deploying colormaps that promote the best affective responses for industrial microwave tomography (MWT). To answer the two research questions related to our study, we firstly conducted a quantitative analysis of 11 frequently-used colormaps on a segmentation task. Secondly, we presented the same colormaps within a crowdsourced study comprising two parts to verify the quantitative outcomes. The first part encoded affective responses from participants into a prevailing four-quadrant valence-arousal grid; the second part recorded participant ratings towards the accuracy of each colormap on MWT segmentation. We concluded that three colormaps are the best suited in the context of MWT tasks. We also found that the colormaps triggering emotions in the positive-exciting quadrant can facilitate more accurate visual comprehension than other affect-related quadrants. A synthetic colormap design guideline was consequently proposed.</t>
  </si>
  <si>
    <t>Affective Colormap Design for MWT</t>
  </si>
  <si>
    <t>Industry</t>
  </si>
  <si>
    <t>Computer Science</t>
  </si>
  <si>
    <t>To use colourmaps that promote best affective responses for industrial microwave tomography (MWT) and improve visual comprehension and task accuracy.</t>
  </si>
  <si>
    <t>Colour schemes which elicit certain emotions (positive or negative) can enhance or diminish comprehension of MWT- important that images are accurately interpreted in order to balance energy effectiveness, material flow, and safety aspects</t>
  </si>
  <si>
    <t>No clear definition outside of 'engagement with visualizations'
Affect plays a role in infovis, including communicative intention, engagement, and storytelling (Cairo, Hullman)</t>
  </si>
  <si>
    <t>looking at, interacting with, consuming</t>
  </si>
  <si>
    <t>They hypothesize the positive-exciting quadrant is desirable for this application</t>
  </si>
  <si>
    <t>Affect plays a role in infovis, including communicative intention, engagement, and storytelling (Cairo, Hullman)</t>
  </si>
  <si>
    <t>Joy, Happiness</t>
  </si>
  <si>
    <t>spatial</t>
  </si>
  <si>
    <t>MWT segmented image</t>
  </si>
  <si>
    <t>rmANOVA showed tested colourmaps had significant main effect on arousal. The hot colourmap generated more excitement, where greys had more calm responses.
some colourmaps (autumn, parula, viridis, cool, hot) are rated as more accurate than others. Autumn, viridis, and parula colour maps also trigger affect in the positive-exciting quadrant. Spectral, coolwarm, amagma are in the negative-calm area.</t>
  </si>
  <si>
    <t xml:space="preserve"> (11 colour mapping schemes)</t>
  </si>
  <si>
    <t>8 different industrial microwave foam drying processes taken, 11 different colour maps applied, quantitatively analyzed before qual crowdsourced study</t>
  </si>
  <si>
    <t>skilled / non-skilled</t>
  </si>
  <si>
    <t>non-experts. people working in MWT</t>
  </si>
  <si>
    <t>27.5y avg</t>
  </si>
  <si>
    <t>34F</t>
  </si>
  <si>
    <t>39 skilled (had encountered image segmentation or computer vision in the past)</t>
  </si>
  <si>
    <t>Self-Assessment Manikin, Custom Questionnaire</t>
  </si>
  <si>
    <t>online crowdsourced study, SAM eval</t>
  </si>
  <si>
    <t>online questionnaire
9-point SAM (valence and arousal)
accuracy rating of colourmaps by participants</t>
  </si>
  <si>
    <t>convenience sampling</t>
  </si>
  <si>
    <t>colourmaps mapped to the 2D valence-arousal coordinate system, distribution of 11 colourmaps on affective scale</t>
  </si>
  <si>
    <t>rmANOVA, Bonferroni-corrected post hoc test
pairwise comparison</t>
  </si>
  <si>
    <t>choice of colourmaps could be expanded, use of only continuous colour maps and not discrete colour maps. Working environment of participants not controlled (e.g. screen resolution, lighting, etc.)
Generalizability to other forms of tomography (e.g. CT in medicine), where the needs and requirements may also be different</t>
  </si>
  <si>
    <t>this is more of a cognitive outcome, positive-based emotions evoked by certain colourmaps improves visual comprehension accuracy of MWT tasks</t>
  </si>
  <si>
    <t>positive emotions contributing to better comprehension of MWT segmentation visualizations, and subsequent decision-making</t>
  </si>
  <si>
    <t>A070</t>
  </si>
  <si>
    <t>Lin, Chujun; Thornton, Mark Allen</t>
  </si>
  <si>
    <t>Visualization aesthetics bias trust in science, news, and social media</t>
  </si>
  <si>
    <t>https://osf.io/dnr9s</t>
  </si>
  <si>
    <t>Scientists, policymakers, and the public rely on data visualizations to inform important decisions. The aesthetics of graphs may vary independent of data quality. Across five-preregistered studies (3,405 participants, 1,219 graphs), we comprehensively investigate whether the beauty of a graph influences how much people trust it. Results show that graph beauty predicts increased trust using real-world graphs across three important domains: social media, news, and scientific publications (Studies 1-3). This association had real-world correlates: graph beauty predicts increased citation and comment numbers. We next identified visual features that contribute to perceptions of graph beauty (Study 4). Using these features, we digitally manipulated graph beauty and showed that making a graph more beautiful causally increased trust (Study 5). This causal effect was driven by people’s heuristic that beautiful graphs were made by competent people (Study 5b). These findings reveal a novel source of bias and indicate the importance of promoting visualization literacy.</t>
  </si>
  <si>
    <t>Vis aesthetics bias trust in science</t>
  </si>
  <si>
    <t>Civic</t>
  </si>
  <si>
    <t>Exclude: not peer-reviewed..? or can't find the white paper/non-preprint version of this. But I think it would be relevant to read and draw some insights from.</t>
  </si>
  <si>
    <t>A108</t>
  </si>
  <si>
    <t>Franconeri, Steven L.; Padilla, Lace M.; Shah, Priti; Zacks, Jeffrey M.; Hullman, Jessica</t>
  </si>
  <si>
    <t>The Science of Visual Data Communication: What Works</t>
  </si>
  <si>
    <t>https://doi.org/10.1177/15291006211051956</t>
  </si>
  <si>
    <t>10.1177/15291006211051956</t>
  </si>
  <si>
    <t>Effectively designed data visualizations allow viewers to use their powerful visual systems to understand patterns in data across science, education, health, and public policy. But ineffectively designed visualizations can cause confusion, misunderstanding, or even distrust—especially among viewers with low graphical literacy. We review research-backed guidelines for creating effective and intuitive visualizations oriented toward communicating data to students, coworkers, and the general public. We describe how the visual system can quickly extract broad statistics from a display, whereas poorly designed displays can lead to misperceptions and illusions. Extracting global statistics is fast, but comparing between subsets of values is slow. Effective graphics avoid taxing working memory, guide attention, and respect familiar conventions. Data visualizations can play a critical role in teaching and communication, provided that designers tailor those visualizations to their audience.</t>
  </si>
  <si>
    <t>Review / Guidielines paper - no user study. Can be referenced for strategies</t>
  </si>
  <si>
    <t>A113</t>
  </si>
  <si>
    <t>Aragón, Carolina; Jasim, Mahmood; Mahyar, Narges</t>
  </si>
  <si>
    <t>RisingEMOTIONS: Bridging Art and Technology to Visualize Public's Emotions about Climate Change</t>
  </si>
  <si>
    <t>10.1145/3450741.3465259</t>
  </si>
  <si>
    <t>In response to the threat posed by sea-level rise, coastal cities must rapidly adapt and transform vulnerable areas to protect endangered communities. As such, raising awareness and engaging affected communities in planning for adaptation strategies is critical. However, in the US, public engagement with climate change is low, especially among underrepresented populations. To address this challenge, we designed and implemented RisingEMOTIONS, a site-specific collaborative art installation situated in East Boston that combines public art with digital technology. The installation depicts the impacts of sea-level rise by visualizing local projected flood levels and the public’s emotions toward this threat. The community’s engagement with our project demonstrated the potential for public art to create interest and raise awareness of climate change. We discuss the potential for continued growth in the way that digital tools and public art can support equitable resilience planning through increased public engagement.</t>
  </si>
  <si>
    <t>RisingEMOTIONS</t>
  </si>
  <si>
    <t>To explore the potential for art installations to increase community engagement about climate emergency.</t>
  </si>
  <si>
    <t>Emotions central to getting involved and taking action on climate emergency.</t>
  </si>
  <si>
    <t>"Furthermore, art practices present alternative forms of communication about the effects of climate chance, which is usually presented through climate visualization (tables, charts, maps, etc.), aimed at reducing the cognitive challenge of gaining information on complex data sets [24]. However, this information delivery mode may not be best aligned to maximize public understanding [15, 32]. The comprehension of such visualization requires having a certain level of numeracy skills which the general population in the U.S. may not have [16]. A study conducted by Kain and Covi [23] showed that people have difficulty interpreting graphs, maps and photographs, with graphs being the most difficult (almost half of respondents were not able to interpret the information), followed by maps (which were successfully interpreted by 2/3 of the readers), while photographs were most successful as they are the closest form of representation to reality and do not require the same level of interpretation demanded by graphs and maps."
[Digital experiences of] visualizations are detached from the experience of physical place and may not be accessible to underserved populations without access to these technologies [8].
"The use of the term “climate change” has recently evolved to include terms like “climate emergency, crisis or breakdown” to better reflect the urgency of the problem. News media like The Guardian and Scientific American have changed their style recommendations to replace “climate change” to “climate emergency”, because they found the term “climate change” inappropriate to describe the implications of the risk to humanity to [4, 7]. "</t>
  </si>
  <si>
    <t>engagement to increase awareness, get people actively discussing and involved in decision-making processes</t>
  </si>
  <si>
    <t>increasing awareness, talking about, decision-making</t>
  </si>
  <si>
    <t>worked with community representatives to "crystalize" the emotion categories. team anticipated 'concern' would be the most common response</t>
  </si>
  <si>
    <t>Mixed / Negative</t>
  </si>
  <si>
    <t>Concerned, Optimistic, Sad, Angry, Other</t>
  </si>
  <si>
    <t>Bar</t>
  </si>
  <si>
    <t>"While RisingEMOTIONS was on display, we observed people from all age groups engage with the installation in their own unique ways. For instance, the children who came to visit with their parents turned the installation into a playground where they ran around under the frames to play (Fig. 6). Members of the elderly population actively participated in the making process by bringing their own equipment to set up the frames, inscribing the ribbons with quotes from the survey, and engaging with the teenagers and highschool students in conversations around the climate emergency. For many teenagers and high-schoolers, RisingEMOTIONS was their first exposure with the danger of the climate emergency. They showed keen interest in learning more about climate change, sea-level rise, and imminent threat towards their neighbourhood and the world from attentind climate scientists and researchers. Many of them wanted to learn more about the ongoing grassroot efforts and get involved to fight the effect of climate emergency."
"people walking by will be immediately hit with the visual impact that shows sea-level rise is very real for us living in East Boston. They also highlighted how the overwhelming feeling of concerns in people’s emotions can help raise awareness, saying “Some of these writings are very striking. There’s a lot of concerns but one thing is for certain that an art installation like this raises awareness.”
Think --&gt; talk --&gt; action not far behind.
"As such, it provided a tangible, non-threatening point of access to information about sea-level rise, but also an opportunity for residents to reflect on their response to this vulnerability in a public manner. The latter offers not only an opportunity for self-expression in a way that is anonymous and non-judgemental, but that seeks to spark dialogue."
"The overlay of the personal over the scientific (affective and rational) may be an effective tool to create a memorable and relatable experience capable of increasing salience. By visualizing a group of responses, the artwork also provided a unique opportunity for the individual to join a collective, visually representing a dialogue about a very difficult and often elusive subject. To do this in the form of an art installation, is also particularly effective, as installations are per se designed to create environments of heightened sensory awareness. In this case, the experience contains bodily awareness–that of measuring the flood waters against the body), visual awareness of the colors and emotions they represent, and finally emotional connections which may be triggered by reading community member responses."
"While the potential dissonance that results from a visually engaging aesthetic against the grim projections from the effects of the climate emergency is not lost, it was clear that the visual quality of the artwork was perceived in a positive way by most participants, thus suggesting that similar approaches could be implemented in the future. "
"A major aspect to be explored is the potential for a hybrid model involving public art and social computing to provide continuous or real-time visualizations containing public opinion about issues affecting communities, through site-specific, physical displays in public space. Projects using a model similar to RisingEMOTIONS could be utilized to call attention to local issues, engage participants through accessible digital platforms, and translate results into physical representations."</t>
  </si>
  <si>
    <t>physicalization</t>
  </si>
  <si>
    <t>installation</t>
  </si>
  <si>
    <t>survey captured public's emotional responses related to sea level rise risk</t>
  </si>
  <si>
    <t>brainstorming sessions between academic team, bridge academia, art, civic institutions, local residents, youth
-created a website for the survey to engage public with the subject matter and raise awareness</t>
  </si>
  <si>
    <t>observational in-the-wild</t>
  </si>
  <si>
    <t>general, Boston locals</t>
  </si>
  <si>
    <t>165 (respondents for the survey)</t>
  </si>
  <si>
    <t>English and Spanish options, neighbourhood, interest in future involvement for resilience process planning</t>
  </si>
  <si>
    <t>Online Questionnaire, Ethnographic observation</t>
  </si>
  <si>
    <t>observational in-the-wild installation, no formal assessment of emotional response</t>
  </si>
  <si>
    <t>online survey to record emotions for the display</t>
  </si>
  <si>
    <t>2 mo</t>
  </si>
  <si>
    <t>local advertising</t>
  </si>
  <si>
    <t>quant (count), qual (displaying quotes)</t>
  </si>
  <si>
    <t>Trade-off between artistic visualization and accurate data representation: However, aesthetic choices may have minimized the effect of the visualization. The randomized mixing of colored ribbons, purposely chosen to create visual interest, may have minimized the legibility of the information. This would have been more noticeable if the same color fabric strips had been grouped together to better reveal the hierarchy in the responses (Fig. 5). 
"...gaining an in-depth understanding of the impact of various communication modalities in public engagement could benefit from conducting pre and post surveys, as well as longitudinal studies to assess the impact of the projects. Important questions such as the ones listed below could inform future work: (1) how might the combination of social computing methods and public art increase participation? (2) How can we leverage this combination to broaden outreach to marginalized and underrepresented populations? (3) How can we utilize the collected public input to design and develop computational approaches capable of analyzing and understanding qualitative public input to accelerate the decision making process?"</t>
  </si>
  <si>
    <t>"While the affected community’s participation is critical for effective resilience and adaptation planning, engagement with them is still low. .... The aftermath of this multidisciplinary collaborative endeavor between climate scientists, artists, and digital civics researchers suggest the potential value of this hybrid approach towards public engagement. This project showed the potential for public art installations to engage a wide range of community members and the potential for affective data to evoke people’s feelings towards critical issues such as climate emergency."
Implicitly: there is a need (responsibility?) for communication strategies to be accessible to broad audiences/general public. so-called high-end climate art can be elitist and fails to attract audiences, does not engender meaningful dialogue, in ways that preclude it from achieving its purpose. The authors emphasize the value of accessibly and easily interpretable public art, which has a higher potential to be participatory and engaging, support reflection.</t>
  </si>
  <si>
    <t>This is another installation project, so it is hard to disambiguate the 'visual' channel from the embodied (similar to the one with the mist spray).
If physicalization/art installation projects have better potential for engaging audiences emotionally, how do we measure their response? What matters? Emotional response, intention to act, actual action or behaviour or attitude change? A challenge with physicalization projects and measuring emotion through behavioural response... observing behaviour as a proxy for emotion? One of the challenges? Does it matter?
"Additional exploration on the value of in-situ landscape representation of climate change futures, and the role of public art in localizing knowledge and action surrounding climate change should be explored through more robust social science methods." Aragón 2019</t>
  </si>
  <si>
    <t>A016</t>
  </si>
  <si>
    <t>Anderson, CL; Robinson, AC</t>
  </si>
  <si>
    <t>Affective Congruence in Visualization Design: Influences on Reading Categorical Maps</t>
  </si>
  <si>
    <t>Recent work in data visualization has demonstrated that small, perceptually-distinct color palettes-such as those used in categorical mapping-can connote significant affective qualities. Data that are mapped or otherwise visualized are also often emotive in nature, either inherently (e.g., climate change, disease mortality rates), or by design, such as can be found in visual storytelling. However, little is known about how the affective qualities of color interact with those of data context in visualization design. This article describes the results of a crowdsourced study on the influence of affectively congruent versus incongruent color schemes on categorical map-reading response. We report both objective (pattern detection; area comparison) and subjective (affective quality; appropriateness; preference) measures of map-reader response. Our results suggest that affectively congruent colors amplify perceptions of the affective qualities of maps with emotive topics, affective incongruence may cause confusion, and that affective congruence is particularly influential in maps of positive-leaning data topics. Finally, we offer preliminary design recommendations for balancing color congruence with other design factors, and for synthesizing color and affective context in thematic map design.</t>
  </si>
  <si>
    <t>Affective congruence influences on categorical maps</t>
  </si>
  <si>
    <t>To understand how affectively (in)congruent colour and data context interact in visualization design in terms of data retrieval and perceived emotional level of certain topics, to shape how maps are read and perceived (map-reading task speed, perceptions of map affects, map-colour appropriateness, overall reader preferences).</t>
  </si>
  <si>
    <t>Affective colour congruence (when the emotional connotations of a visualization's colour scheme match the visualized data--topic, in this case) can improve map-reading and interpretation.</t>
  </si>
  <si>
    <t>The most effective data graphics reflect the congruence principle, in which “the structure and content of the external representation [corresponds with] the desired structure and content of the internal representation” [7, p. 249].'
affective congruence of colours in marketing (hues, saturation levels associated with different target audiences and topics)</t>
  </si>
  <si>
    <t>Nothing beyond 'recent surge of interest in datavis as a tool for facilitating reader engagement and storytelling' citing Segel &amp; Heer 2010</t>
  </si>
  <si>
    <t>Segel &amp; Heer 2010</t>
  </si>
  <si>
    <t>Core Affect Model (circumplex model)</t>
  </si>
  <si>
    <t>Russell 2003</t>
  </si>
  <si>
    <t>This looks like the valence-arousal model. 
"To create the affective colour schemes, we first used Adobe Color CC to extract color specifications from the social network color models of core affects [15, Fig. 8] developed by Bartram et al."</t>
  </si>
  <si>
    <t>visualizations linked with storytelling/narrative components as a "tool" to communicate data
The Stroop effect - colour-word interference "wherein readers are slower and more error prone when naming the colour of words printed in a colour that conflicts with their meaning"
they also talk about Emotional cartography - studying the relationship between maps and emotions.</t>
  </si>
  <si>
    <t>reference Bartram et al., for choice of emotions, and associated colour palettes. emotional responses linked to colour use, discuseed in context of the core affect model (valence-arousal)</t>
  </si>
  <si>
    <t>Calm, Excitement, Negative emotions (unspecified)</t>
  </si>
  <si>
    <t>Calm / Excited, Positive / Negative emotions</t>
  </si>
  <si>
    <t>tabular, geographic</t>
  </si>
  <si>
    <t>Choropleth - hexplot</t>
  </si>
  <si>
    <t>design element(s), topic(s)</t>
  </si>
  <si>
    <t>colour, topic</t>
  </si>
  <si>
    <t xml:space="preserve">No main effect of affective congruence, but found a main effect of colour scheme affect. No interaction between affective congruence and colour scheme affect
-participants responded to calm colour schemes faster than negative colour schemes, also faster to exciting and positive colour schemes than negative colour schemes
affective congruence had some effect for response speed
positive data topics were rated significantly higher in pleasure when maps had affectively congruent colour schemes, calm colour palettes were rated lower on arousal
appropriateness and preference for AC maps was higher than for AI maps
affective colourmap design can impact affective congruence and reading of maps, that such choices can intensify the perceived affective content of a map, particularly about emotive topics. But designers should not abandon well-established visualization colour conventions in favour of facilitateing affective congruence, though this latter aspect may be one of many aspects to consider.
Also looked at appropriateness and overall preferences (7-point scale reporting)
</t>
  </si>
  <si>
    <t>topic (positive, netagive, calm, exciting)</t>
  </si>
  <si>
    <t>Topics chosen during a workshop on affective cartography at PSU</t>
  </si>
  <si>
    <t>cite Bartram et al. 2017 for colour schemes. extracted colour specifications from the social network colour models of core affects. used mockaroo</t>
  </si>
  <si>
    <t>320
193 did part 2</t>
  </si>
  <si>
    <t>25-34</t>
  </si>
  <si>
    <t>42% F</t>
  </si>
  <si>
    <t>All USA residents
43% bachelor's, 79% no mapping experience</t>
  </si>
  <si>
    <t>Custom Questionnaire, Affective Slider</t>
  </si>
  <si>
    <t>Experimental</t>
  </si>
  <si>
    <t>online questionnaire (Qualtrics), custom to assess comprehension/accuracy, and self-reported emotional response (Affective Slider). Mixed:  (within, between for cluster vs area comparison), within (affective congruence)</t>
  </si>
  <si>
    <t>two-way repeated-measures ANOVA on response time (as a function of map congruence) and colour scheme affect
Pairwise comparisons with Bonferroni corrections</t>
  </si>
  <si>
    <t xml:space="preserve">they suggest further study about visualizing negative data (with affective colour design) to see how these influence negative data interpretation
test negative topics across a range of magnitudes - to shed light on the different processes by which affectie congruence influences affective responses, as affective congruence likely functions as an additve process, and more holistically as an influence on perceived appropriateness and preference
is there a tipping point at which afective incongruence is mediating before it is perceived as distrubing - could provide further guidance for visualization designers
culturally different connotations of colour, all participants are from the US (but could be a range of backgrounds themselves?). No neutral condition, only emotive colours and topics.
</t>
  </si>
  <si>
    <t>not explicitly, but discusses the potential consequences (which must be studied) of affectively incongruent colour schemes on maps about (very) negative topics, which may appear neutral but then perceived as inappropriate/negative by the reader. Is there a point at which aff.congruence is mediating before it is perceived as disturbing?
they excluded participants who did not pass the colour-blindness test. How do we account for those with vision impairments?</t>
  </si>
  <si>
    <t>This study is more about emotional valence and interpretation of line graphs (relating association of good/bad with direction of line) - it's not really about engaging audiences, so this might be a secondary paper. But it has good discussion about when and whether or not to subvert graphical conventions (e.g., inverting y-axis) if supported by other design features (using Stand Your Ground and Iraq's Bloody Toll as examples).</t>
  </si>
  <si>
    <t>A003</t>
  </si>
  <si>
    <t>Lin, ZS; Wang, YT; Ye, XY; Wan, YX; Lu, TJ; Han, Y</t>
  </si>
  <si>
    <t>Effects of Low-Carbon Visualizations in Landscape Design Based on Virtual Eye-Movement Behavior Preference</t>
  </si>
  <si>
    <t>10.3390/land11060782","http://dx.doi.org/10.3390/land11060782")</t>
  </si>
  <si>
    <t>China, USA</t>
  </si>
  <si>
    <t>Three-dimensional geovisualization in landscape design can be used to evaluate the efforts of mitigating CO2 emissions. This study evaluated subjects' emotional preferences for 3D landscape design through an eye movement tracking experiment. In the case that the color of the building materials was positively correlated with low carbon emissions, green, blue, and gray were typical representatives of low carbon emissions. Through the eye movement tracking experiment, subjects' emotional preferences for different building colors were obtained. The results show that the fixation trajectory is consistent with the preset green and energy saving parameters, and the design effect of the architectural landscape can be evaluated by detecting virtual eye movement tracking. There is a coupling relationship between virtual eye movement tracking, expert interviews, and evaluation results, so that it presents a logical relationship between virtual eye movement, the color of low-carbon materials, and carbon emissions. In addition, the affective preference analysis and entropy weight method confirmed their effectiveness in the evaluation of the 3D landscape design effect, which had a positive impact on the CO2 emission reduction of the construction industry. These results will contribute to the development of 3D landscape design in the architecture industry and provide new ideas and methods for the carbon peak project.</t>
  </si>
  <si>
    <t>Low-Carbon Visualizations in LAndscape Design</t>
  </si>
  <si>
    <t>Exclude: does not evaluate data vis</t>
  </si>
  <si>
    <t>A064</t>
  </si>
  <si>
    <t>Campbell, Sarah; Offenhuber, Dietmar</t>
  </si>
  <si>
    <t>Feeling numbers: The emotional impact of proximity techniques in visualization</t>
  </si>
  <si>
    <t>http://www.jbe-platform.com/content/journals/10.1075/idj.25.1.06cam</t>
  </si>
  <si>
    <t>10.1075/idj.25.1.06cam</t>
  </si>
  <si>
    <t>For means of communication, persuasion is a natural and critical part of conveying a message. Data visualizations, being means of communication themselves, are used as rhetorical instruments, but how they persuade has yet to be fully understood. Based on George Campbell’s rhetorical theory, this paper presents the results of an empirical study testing the effectiveness of appeals to emotion through proximity techniques – the contextual framing of a visualization. The findings indicate that people feel greater interest towards a topic when the visualized data are more relevant to them, and that data representing events closer in time are more affecting.</t>
  </si>
  <si>
    <t>Feeling numbers</t>
  </si>
  <si>
    <t>Animal shelters</t>
  </si>
  <si>
    <t>To answer the question, "do proximity techniques increase the emotional impact of a visualization?"</t>
  </si>
  <si>
    <t>To demonstrate that data visualizations cannot be without emotional impact, and they investigate the rhetorical device of proximity to see its influence on emotional response.</t>
  </si>
  <si>
    <t>Paul Watzlawick - one cannot not communicate.
Visualizations are understood not just as symbolic encodings of data, but more broadly as speech acts that signify meaning on many levels and in many contextual frames.
research in psychology has found a barrier on the ability for data to bring about feeling and empathy.
Affective response from experiential system decreases when considering more than one person (I don't think this is true - or, it depends).
"numbers numb"
In his contribution to the contemporary study of rhetoric, philosopher George Campbell identifies seven circumstances that appeal to emotion: probability, plausibility, importance, proximity of time, connection of place, relations to the persons concerned, and interest in the consequences (1776). 
"Within narrative visualizations, Hullman and Diakopoulos (2011) identify four editorial layers where rhetorical decisions are made: data, visual representation, textual annotations, and interactivity."
Animal shelters- can reach a large number of people, relevant to many (many US households have a pet), but not many adopt, which leaves room to raise awareness about this issue.
People are more likely to partake in prosocial behaviour toward a recipient if that recipient is not responsible for their plight (Saerom Lee, Winterich &amp; Ross Jr, 2014). Comprehensive data available at local and national levels.</t>
  </si>
  <si>
    <t>focus on rhetorical theory - pathos</t>
  </si>
  <si>
    <t>Artistotle's persuasive triangle</t>
  </si>
  <si>
    <t>Aristotle modified</t>
  </si>
  <si>
    <t>Geneva Emotion Wheel</t>
  </si>
  <si>
    <t>Scherer 2005</t>
  </si>
  <si>
    <t>20 emotion families arranged around valence (pleasantness) and level of control felt (low to high). for each discrete emotion felt, the participant can rank the intensity from 1-5.
-acknowledge that there is not a single or standard scientific definition. Scherer - 'a process of changes in different components, rather than a homogeneous state' (2001): physiological arousal, motor expression, subjective feeling - the emotional response triad.</t>
  </si>
  <si>
    <t>balance the rhetorical approaches for a good way to 'engage' people with visualizations</t>
  </si>
  <si>
    <t>all emotional responses can be mapped to this valence-arousal model, they say</t>
  </si>
  <si>
    <t>Interest, Disgust, Anger, Sadness</t>
  </si>
  <si>
    <t>Bar (stacked)</t>
  </si>
  <si>
    <t>Narrative Elements - Proximity:
-increased interest across all treatment types, greatest with temporal and topic
-temporal proximity affiliated with: disgust, fear, disappointment, interest; future is more affecting than the past
-topic: greatest interest when topic is more relevant</t>
  </si>
  <si>
    <t>-analysis focused on those with initially weak attitude; only results for temporal treatment were significant
-15 of the 20 emotions were felt at some point by over half the participants, consistent ratings across treatments was verified
-stat sig difference for strength of Interest in all three proximity treatment groups compared to control, greatest effect size.
-temporal treatment: Disgust, Fear, Disappointment, and Interest
-the rest yielded only a small effect.
-future is more affecting than the past; validates the logical assumption that people are more interested in a visualization when the data aligns with their interests (in this case, preference for cats or dogs). Results did not validate taht connection of place is more affecting than relevance of time - limitation potentially from implemtnation of the techniques in the study
-overall: the framing of data matters, people feel greater interest toward a topic when the data are more relevant, and data representing events closer in time are more affecting; design decisions in the data layer of the vis can increase emotive impact. Framing data in such a way leaves data points out, thus not telling the full story of the dataset. But when framing increases relevance to the viewer and increases emotive impact on audience, whlie maintaining truthful connection to the underlying data, the framing is justified.
"Vis practitioners that strive to connect feeling to data will have validated techniques to do so. The validation of pathos techniques leads to established uses and critical approaches, so that the cloudy space that is emotional appeals in visualization today can be clarified, evaluated, and reflected upon."
-in order to reconsider the avlue of pathos in data design, one should not reduce the role of logos and ethos - the combination of these three persuasive modes together creates powerful, effective messages. Emotion may be seen as adversary of reason, the two work better together than apart. Campbell "passion is the mover to action, reason is the guide" - add the human element behind the logic to simultaneously inform and affect.</t>
  </si>
  <si>
    <t>Rhetoric/Framing: design decisions in the data layer of the vis can increase emotive impact. Framing data in such a way leaves data points out, thus not telling the full story of the dataset. But when framing increases relevance to the viewer and increases emotive impact on audience, whlie maintaining truthful connection to the underlying data, the framing is justified.
-in order to reconsider the avlue of pathos in data design, one should not reduce the role of logos and ethos - the combination of these three persuasive modes together creates powerful, effective messages.</t>
  </si>
  <si>
    <t>topic, spatial, temporal proximity - represented by surrounding context (text)</t>
  </si>
  <si>
    <t>proximity technique (topic)</t>
  </si>
  <si>
    <t>25-44</t>
  </si>
  <si>
    <t>60% Bachelor's or higher in interest group;
enjoyment for cats or dogs, being involved in animal shelter or welfare org,</t>
  </si>
  <si>
    <t>Geneva Emotion Wheel, Custom Questionnaire</t>
  </si>
  <si>
    <t>4 conditions (50 part. per cond): baseline (no proximity techniques), control chart with one of the techniques: spatial, temporal, or proximity to interests. Responses in the three proximity treatments were compared to responses from the control treatment- removing emotional impact caused by topic alone, isolate the impact of the techniques themselves (remove potential social desirability bias- tendency to aline with social norms and preferences)</t>
  </si>
  <si>
    <t>Scherer's GEW
-additional questions to measure attitude change (Pandey et al single-item Likert scale), topic involvement, and visualization literacy (test items from Lee, Kim, and Kwon 2017) for question on stacked bar charts</t>
  </si>
  <si>
    <t>consent form</t>
  </si>
  <si>
    <t>t-test, Wilcoxon rank sum test, Cohen's d</t>
  </si>
  <si>
    <t>-participants not necessarily exposed to the same data (Because it was custom/made subset based on participant selection) - control and temporal treatments should represent a 5:1 ratio (but ranged also from 7:1, 2:1, 24:1) meaning different interpretations of the messages - could be possible to see how people respond to different ratios...they care about that clearly in other cases.
-limitations of data source - implemented interest and spatial proximity within restrictions of the data, in an effort to maintain an ethical design and authentic experience for participants. But the data source at the time did not offer potential to implement temporal proximity, this was incorporated without restrictions - but future research should have consistency</t>
  </si>
  <si>
    <t>Pathos techniques in visualization - visual language should avoid appealing to emotoin - persuation has been typically associated with unethical design practices, bias, and decption. In an effort to minimize deception, it is recommended to focus on the data alone (Tufte).
"As Dörk, Feng, Collins, and Carpendale note, “Similar to a photograph’s relationship to reality, visualizations do not capture reality as found in data but rather present a particular angle on it” (2013). The authors advocate for a critical approach that examines the intentions behind visualizations and their possible implications"
"While a designer may not always intend to deceive, the motivation to influence an audience can lead to deceitful decision-making."
-"these proximity techniques can be subjected to unethical use. For instance, if real-world visualizations falsely frame data as more temporally relevant than they actually are, they are trading honesty for affect, thus deceiving the audience. Therefore, as we begin to understand the emotional impact certain design decisions have, we must be equally vigilant in identifying their use for deceiving."</t>
  </si>
  <si>
    <t>This is a really well-written paper with a strong theoretical underpinning, sound study design that is also well explained and justified, and draws clear conclusions about the ethical implications for emotional engagement in data visualization design and practice.</t>
  </si>
  <si>
    <t>future is more affective than past, and proximity of place is more impactful than proximity of time - Campbell 1776</t>
  </si>
  <si>
    <t>A024</t>
  </si>
  <si>
    <t>Woodin, G; Winter, B; Padilla, L</t>
  </si>
  <si>
    <t>Conceptual Metaphor and Graphical Convention Influence the Interpretation of Line Graphs</t>
  </si>
  <si>
    <t>10.1109/TVCG.2021.3088343","http://dx.doi.org/10.1109/TVCG.2021.3088343")</t>
  </si>
  <si>
    <t>Many metaphors in language reflect conceptual metaphors that structure thought. In line with metaphorical expressions such as 'high number', experiments show that people associate larger numbers with upward space. Consistent with this metaphor, high numbers are conventionally depicted in high positions on the y-axis of line graphs. People also associate good and bad (emotional valence) with upward and downward locations, in line with metaphorical expressions such as 'uplifting' and 'down in the dumps'. Graphs depicting good quantities (e.g., vacation days) are consistent with graphical convention and the valence metaphor, because 'more' of the good quantity is represented by higher y-axis positions. In contrast, graphs depicting bad quantities (e.g., murders) are consistent with graphical convention, but not the valence metaphor, because more of the bad quantity is represented by higher (rather than lower) y-axis positions. We conducted two experiments (N = 300 per experiment) where participants answered questions about line graphs depicting good and bad quantities. For some graphs, we inverted the conventional axis ordering of numbers. Line graphs that aligned (versus misaligned) with valence metaphors (up = good) were easier to interpret, but this beneficial effect did not outweigh the adverse effect of inverting the axis numbering. Line graphs depicting good (versus bad) quantities were easier to interpret, as were graphs that depicted quantity using the x-axis (versus y-axis). Our results suggest that conceptual metaphors matter for the interpretation of line graphs. However, designers of line graphs are warned against subverting graphical convention to align with conceptual metaphors.</t>
  </si>
  <si>
    <t>Conceptual Metaphor &amp; Graphical Convention</t>
  </si>
  <si>
    <t>Vacation days, Murders</t>
  </si>
  <si>
    <t>"The principal aim of the experiments reported in this paper was to establish whether conceptual metaphors of emotional valence influence the interpretation of line graphs."
Summarize conceptual metaphors relevant to datavis community (along numerical quantity, time, and emotional valence). Explore effect of subverting graphical conventions on interpretation of graphs. Understand influence between 'good/bad' semantics of direction, and upward/downward trends in charts, and provide design guidelines accordingly.</t>
  </si>
  <si>
    <t>(How) does conceptual metaphor of emotional valence influence interpretation of line graphs?
emotional valence metaphors and understanding/interpreting data correctly</t>
  </si>
  <si>
    <t>they also tested if there was any correlation with valence and handedness</t>
  </si>
  <si>
    <t>Engagement not mentioned. They focus on cognitive fit theory (Vessey 1991), described as people interpreting visualizations according to a mental model of what they expect to see, which informs interpretation - the mental effort required to understand data visualizations. Negativity bias - negatively valenced stimuli contain more information than positive-valence stimuli, which requires greater attention and cognitive processing (therefore there might be a cognitive processing advantage for positively-valenced quantities, e.g. vacation days).</t>
  </si>
  <si>
    <t>Cognitive Fit Theory</t>
  </si>
  <si>
    <t>Vessey 1991</t>
  </si>
  <si>
    <t>Emotional valence - association with good or bad, usually in relation to the topic. example of Gun deaths in Florida - y-axis inverted corresponds to negatively valenced concepts (e.g. more deaths) are associated with lower vertical positions (based on previous experimental studies, Meier &amp; Robinson 2004, Casasanto &amp; Dijkstra, 2010).</t>
  </si>
  <si>
    <t>"negatively valenced stimuli contain more information than positive-valence stimuli, which requires greater attention and cognitive processing (therefore there might be a cognitive processing advantage for positively-valenced quantities"</t>
  </si>
  <si>
    <t>connection between data trend (vertical and horizontal patterns) and valence
used valenced words determined in Warriner et al study: vacation (most positively valenced), murder (7th most negatively valenced)</t>
  </si>
  <si>
    <t>Positive, Negative</t>
  </si>
  <si>
    <t>positive / negative valence</t>
  </si>
  <si>
    <t>Line</t>
  </si>
  <si>
    <t>Data trend (positive or negative), by inverting axis
interpretation of x- vs y-axis.</t>
  </si>
  <si>
    <t>Recommended that line graphs be designed to align with conceptual metaphors of emotional valence only if doing so does not contradict other well-established graphical conventions. Axis orientation is more important than valence alignment.
Line graphs with non-inverted axis easier to interpret than inverted axis (consistent with previous findings). Line graphs that adhere to conceptual metaphors of emotional valence (good=up,right, bad=down/left) easier to interpret than graphs that do not. Line graphs depicting positive emotional valence easier to interpret than negative emotional valence (confirming negativity bias), true for both axes. Line graphs that plot quantity on x-axis easier to interpret than line graphs that plot quantity on y-axis.
Y-axis inversion sometimes successful, e.g. Iraq's Bloody Toll (awarded silver prize at Malofiej), successful if made salient.
Not strictly related to emotional valence: "Participants were more likely to respond accurately to graphs mapping quantity information onto the x-axis compared to graphs mapping quantity information onto the y-axis. This result is surprising because line graphs conventionally represent quantity information using the y-axis, so the subversion of this convention may be expected to result in lower accuracy. However, the plotting of quantity onto the x-axis is a salient design choice that participants are likely to have spotted precisely due to its subversion of convention. The novelty of this design choice may have prompted participants to deliberate for longer when responding to this type of graph to verify that their answer was correct [77], [78]."
Recommend using positive valence for framing data (e.g., instead of '10% less sad' say '10% happier')
There is some subjectivity to what is considered positive or negative (e.g., not all participants may view more vacation days as a good thing)</t>
  </si>
  <si>
    <t>No, but topics selected based on Warriner et al's list of English words normed for emotional valence (vacation is most positively valenced word in dataset, murders seventh most negatively valenced word; the other words potentially too emotionally sensitive or offensive)</t>
  </si>
  <si>
    <t>mixed (between- axis orientation and quantity mapping; within- trend, valence)</t>
  </si>
  <si>
    <t>Exp1 290
Exp2 287</t>
  </si>
  <si>
    <t>39y avg</t>
  </si>
  <si>
    <t>44.8% F
37.6% F</t>
  </si>
  <si>
    <t>all US-based
50.5% RH</t>
  </si>
  <si>
    <t>Experimental
3x2 design according to: axis orientation, quantity mapping</t>
  </si>
  <si>
    <t>online questionnaire (Qualtrics) - MC questions on comprehension (% correctness)</t>
  </si>
  <si>
    <t>Baysian multi-level logistic regression
Exp2- estimates, SE, posterior distributions with 95% CI</t>
  </si>
  <si>
    <t>"cannot disentangle the relative effects of graphical convention and conceptual metaphor where both make identical recommendations for how graphcs should be designed. e.g. Both graphical convention and conceptual metaphor dictate that numbers should increase upward, time should pass from left to right. Conceptual metaphors shaped formation of graphical conventions relating to numerical quantity and time, but this experiment does not test this prediction."
Real-life data often more noisy, more work to be done to see effects of diff types of data, especially data with more variability. How do non-linearities in trend line affect concept of emotional valence?</t>
  </si>
  <si>
    <t>Exploring if conceptual metaphor of emotional valence affects interpretability of line graphs, and if this is enough to justify breaking from graphical convention (i.e. by inverting the axes).
"Our results suggest that conceptual metaphor theory matters for the interpretation of line graphs. However, visualization designers are warned against subverting graphical convention in order to align with conceptual metaphors that are not conventionally instantiated graphically. Otherwise, the resultant visualization may be more liable to mislead than to inform."</t>
  </si>
  <si>
    <t xml:space="preserve">Exclude on second reading: This can be a related work or a separate category related to studies that are interested in relationships between data trends and emotional valence, but this one does not actually measure emotional response (altough it implies emotional response based on measuring accuracy) but does not actually ask participants how they FEEL when looking at the visualizations, only measures timing and accuracy of responses </t>
  </si>
  <si>
    <t>Y</t>
  </si>
  <si>
    <t>A033</t>
  </si>
  <si>
    <t>Lan, XY; Shi, Y; Wu, YQ; Jiao, XH; Cao, N</t>
  </si>
  <si>
    <t>Kineticharts: Augmenting Affective Expressiveness of Charts in Data Stories with Animation Design</t>
  </si>
  <si>
    <t>Data stories often seek to elicit affective feelings from viewers. However, how to design affective data stories remains under-explored. In this work, we investigate one specific design factor, animation, and present Kineticharts, an animation design scheme for creating charts that express five positive affects: joy, amusement, surprise, tenderness, and excitement. These five affects were found to be frequently communicated through animation in data stories. Regarding each affect, we designed varied kinetic motions represented by bar charts, line charts, and pie charts, resulting in 60 animated charts for the five affects. We designed Kineticharts by first conducting a need-finding study with professional practitioners from data journalism and then analyzing a corpus of affective motion graphics to identify salient kinetic patterns. We evaluated Kineticharts through two user studies. The results suggest that Kineticharts can accurately convey affects, and improve the expressiveness of data stories, as well as enhance user engagement without hindering data comprehension compared to the animation design from DataClips, an authoring tool for data videos.</t>
  </si>
  <si>
    <t>Kineticharts</t>
  </si>
  <si>
    <t>Journalism</t>
  </si>
  <si>
    <t>To understand animation as a design factor in affective visualization, expressing five positive affects: joy, amusement, surprise, tenderness, excitement. How to increase expressiveness of charts in data stories. Which affects (emotions) commonly found in data stories can be conveyed by animation, how to design animation for charts to appropriately express these affects, and what benefits such design can deliver.</t>
  </si>
  <si>
    <t>what emotions can be conveyed through animation? what are the benefits and risks of leveraging emotional design?</t>
  </si>
  <si>
    <t>- drawing from HCI, graphic design
- borrowing classical animation design principles from cartoons
- did a lit review of surveys, case studies, user studies to prepare the survey for 25 data journalists. Lit review included 24 papers in vis, HCI, multimedia, advertising, and comms. studies. Found 7 positive and 6 negative emotions.</t>
  </si>
  <si>
    <t>"leveraging affect can enhance learning, improve memorability, and facilitate decision-making" (drawing from sources in marketing, cog psych)</t>
  </si>
  <si>
    <t>emotional involvement while interacting with a visualization</t>
  </si>
  <si>
    <t>Hung &amp; Parsons 2017</t>
  </si>
  <si>
    <t>LeDoux The Emotional Brain</t>
  </si>
  <si>
    <t>Joy, Amusement, Surprise, Tenderness, Excitement</t>
  </si>
  <si>
    <t>Bar, Pie, Line</t>
  </si>
  <si>
    <t>animation, visual style(s)</t>
  </si>
  <si>
    <t>animation, visual style</t>
  </si>
  <si>
    <t xml:space="preserve">From pre-study with experts:
- animation is found to be a useful channel to encode affective messages; affective animation can create and match tone of the data story, enhances data presentation; adds aesthetic and novelty quality
- however, this is seen as imited- some emotions are more complex to deign for (e.g. to elicit empathy, might combine with photos and narratives), negative affect may be conveyed through music and colour
- if animation design is inappropriate, may distact audience
Mann-Whitney U tests showed that Kineticharts were rated significantly higher (p&lt;.01) in all the indicators of affective engagement, including affective arousal, fun, interest, focused attention, enjoyment, novelty, aesthetics, and likeability, compared to baseline. 50 out of 60 Kineticharts significantly outperformed baseline in at least one metric of affective engagement. Kineticharts performed similarly to baseline on comprehenshion, data categories, and value, and trend; differences not significant. 68% of participants received affective messages. Kineticharts also earned significantly higher scores in four indicates of story expressiveness (creation of story tone, delivery of affective messages, content relatability, overall affective expressiveness). 82% of favourite animations were Kineticharts, with qualitative feedback that participants thought these animations enriched the story content, enticed reading, were well designed.
Design implications:
-needs-finding study - negative affect ranked lower than positive affect as being conveyed through animation
-complexity of designing for amusement is the highest - kinetic patterns of amusement are metaphorical
-people's interpretation of animation is dependent on personal experience and thought patterns
-not easy to balance expressiveness and functionality of animation
-designers should be careful to avoid overwhelming or distracting viewers with some animations (eg. erupt)
Design principles to inform design of Kineticharts: congruence, apprehension, specificity, generalizability
focused on positive affects, with high rate of correct interpretation of graphs
- "making people understand and willingly accept the affects conveyed by animation can be difficult because peopl's interpretaiton of animation is dependent on their personal experience and thought patterns."
</t>
  </si>
  <si>
    <t>preliminary study with 9 experts from dtata journalism and 25 professional practitioners (including the 9 original experts) of data stories - to understand motivations for designing affective animations
- analyzed/coded a corpus of affective motion graphics and designed Kineticharts based on this</t>
  </si>
  <si>
    <t>college students, general public</t>
  </si>
  <si>
    <t>Exp 1 80
Exp 2 197</t>
  </si>
  <si>
    <t>18–41</t>
  </si>
  <si>
    <t xml:space="preserve">
17F
22F</t>
  </si>
  <si>
    <t>43.7 MS, 46% PhD</t>
  </si>
  <si>
    <t>Adapted Questionnaire, Interview</t>
  </si>
  <si>
    <t>Pre-study qual interviews 30 min
Pre-study survey online ranking
Exp 1 experimental
Exp 2 experimental</t>
  </si>
  <si>
    <t>online questionnaire; interviews
online questionnaire (rating emotional response + open form response)</t>
  </si>
  <si>
    <t>open call on SM, chat groups for data journalism
Prolific</t>
  </si>
  <si>
    <t>pre-study was qualitative, weighted average of each emotion</t>
  </si>
  <si>
    <t>CI</t>
  </si>
  <si>
    <t>Only focused on positive emotions
List of initial affects for pre-study was derived from a lit search and may therefore be limited, not representing a more full list of possible affects in the design space for affective animation design
Demographic limitation - most people in first study have some college education - future work can include a wider population, more representative of target audience of data stories ('general public') - they conclude that these strategies can appeal to such wider audiences, 'particularly those who have less expertise with data'
-animations in Dataclips as baseline in study II without investigating affective qualities - can't know the exact influence of Kineticharts on affective responses to a certain extent. use static charts as another baseline would be a better comparison for both Dataclips and Kineticharts animations
-investigate other affective design factors (e.g., colour, narratives, music) in data stories, as well as how to deliver negative affect messages using design methods (citing Cairo, emotional data visualization)</t>
  </si>
  <si>
    <t xml:space="preserve">Nothing explicitly mentioned. The DPs may be the closest related concept, specifically apprehensions (supporting data comprehensions, with animations not being too exaggerated or distracting). 
Discussion of the 5 emotions as applied to typical topics: (Joy - vacations, entertainment; Amusement - pets, kids, anecdotes (funny topics); Surprise - unexpected events e.g. income inequality; Tenderness - mental health, nature, social welfare; Excitement - boosting optimism or raising passion, e.g. economic and social progress, </t>
  </si>
  <si>
    <t>This is kind of a mega project with many pieces, types of lit searches, evaluations with different audiences (experts + general). Worthwhile to go back and refer to their definitions of these 'affects' studied, and how they came to choosing these for this study, and compare to other studies?
Exp 1 sounds like a validation study on the designs to make some improvements if needed</t>
  </si>
  <si>
    <t>A027</t>
  </si>
  <si>
    <t>Morais, L; Andrade, N; Sousa, D</t>
  </si>
  <si>
    <t>Exploring How Visualization Design and Situatedness Evoke Compassion in the Wild</t>
  </si>
  <si>
    <t>France</t>
  </si>
  <si>
    <t>This work explores how the design and situatedness of data representations affect people's compassion with a case study concerning harassment episodes in a public place. Results contribute to advancing the understanding of how visualizations can evoke emotions and their impact on prosocial behaviors, such as helping people in need. Recent literature examined the effect of different on-screen data representations on emotion or prosociality, but little has been done concerning visualizations shown in a public place - especially a space contextually relevant to the data - or presented through unconventional media formats such as physical marks. We conducted two in-the-wild studies to investigate how different factors affect people's self-reported compassion and intention to donate. We compared three ways of presenting data about the harassment cases: (1) communicating data only verbally; (2) using a printed poster with aggregated information; and (3) using a physicalization with detailed information about each story. We found that the physicalization influenced people to donate more than only hearing about the data, but it is unclear if the same applied to the poster visualization. Also, passers-by reported a likely small increase in compassion when they saw the physicalization instead of the poster. We also examined the role of situatedness by showing the physicalization in a site that is not contextually relevant to the data. Our results suggest that people had a similar intention to donate and levels of compassion in both places. Those findings may indicate that using specific visualization designs to support campaigns about sensitive causes (e.g., sexual harassment) can increase the emotional response of passers-by and may motivate them to help, independently of where the data representation is shown. Finally, this work also informs on the strengths and weaknesses of using research in the wild to evaluate data visualizations in public spaces.</t>
  </si>
  <si>
    <t>How Vis design and situatedness evoke compassion</t>
  </si>
  <si>
    <t>Sexual harrassment</t>
  </si>
  <si>
    <t>Research in the wild' studies to compare verbal, poster of charts showing aggregated data, and situated physicalized data representation of harrassment data to measure impact on empathy and intention to donate amongst audiences.</t>
  </si>
  <si>
    <t>Enhancing feelings of empathy and compassion through situatedness and physicalization may increase willingness to donate to a cause.</t>
  </si>
  <si>
    <t>References anthropographics</t>
  </si>
  <si>
    <t>no formal definition, referred to as paying attention to and interacting with the data (exhibit)
'honeypot' effect - people approach an artifact when they see others already there</t>
  </si>
  <si>
    <t>looking at, interacting with, consuming, reflecting</t>
  </si>
  <si>
    <t>Batson's empathic concern</t>
  </si>
  <si>
    <t>Batson 1987</t>
  </si>
  <si>
    <t>The affective component of compassion was measured by a 5-point Likert scale based on Batson's empathic concern [Bat87]
"We consider compassion as “the feeling that arises in witnessing another's suffering, and that motivates a subsequent desire to help” [GKST10]."</t>
  </si>
  <si>
    <t>the 'honeypot' effect - when people are attracted to something when they see others there</t>
  </si>
  <si>
    <t>Batson empathic measures: sympathetic, compassionate, moved, tender, warm, softhearted. Measures translated into Portuguese (closest terms).
"We follow the approach of previous work [KR05, VSMP14, MJAD21] by capturing both the affective and behavioral components of compassion."</t>
  </si>
  <si>
    <t>Bar, Physicalization (bead plants)</t>
  </si>
  <si>
    <t>-highest intention to donate from the plants condition, clear effect of indeterminate size - effect may be higher than chart, but cannot rule out that both are equivalent
-increased compassion, and overall higher reported compassion in the plants condition (baseline was not measured), but small-modest change -- representing individuals with detailed information affects compassion in the same way or only slightly better than representing people using statistical charts
-"The concentration of high values on both measurements might indicate a ceiling effect. This effect could be caused by a social desirability bias [Gri10] or because the experiment was conducted close to where the harassment cases happened. This result motivated a second study to investigate whether showing a visualization in a different context from where the events occurred would decrease people's compassion."
Exp 2 - situated vs non situated: situatedness (proximity to the actual location of the data) did not seem to affect the self-reported compassion - distribution of responses follows same trend
-situatedness might not affect an already sensitive topic</t>
  </si>
  <si>
    <t>print, physical</t>
  </si>
  <si>
    <t>usability testing in physical spaces to test how people were interacting with it first, and work out technical issues</t>
  </si>
  <si>
    <t>in-the-wild, controlled in-the-wild</t>
  </si>
  <si>
    <t>general, local</t>
  </si>
  <si>
    <t>Observation, Adapted Questionnaire</t>
  </si>
  <si>
    <t>3 conditions: verbal/baseline (47), printed poster with charts (36), 'harrassment plants' physicalization (45)</t>
  </si>
  <si>
    <t>questionnaire, observation.
"Compassion's behavioral component (or prosocial behavior [BP03]) was measured by a donation task. The intention to donate is measured as the answer to the following question."</t>
  </si>
  <si>
    <t>guerrilla - as people approached the physical space</t>
  </si>
  <si>
    <t>mean difference, 95% CI - 5000 bootstraps, biased-corrected</t>
  </si>
  <si>
    <t>-situatedness might not affect an already sensitive topic - should test with other topics to test generalizability
-how to get people's attention with a data physicalization/installation in a public space - make it clear what the thing is about
-donation scenario was hypothetical, not real - does not measure actual behaviour/action taken based on seeing the vis. could use real money donation, or other tasks like filling out a petition, distributing flyers, e.g., in future studies
-people expressed more negative feelings when they saw information-rich vis representing people through individual marks. yet this is a small effect, 'contrary to practitioners' expectations that some of the employed designs would touch the readers considerably' ([Har15, Ros16, MJAD20].).
'According to the results of prosociality from this and previous work [MJAD21], we suspect that information-rich visualizations might touch people while failing to motivate them to donate more compared to basic charts. If this is the case, that design strategy might not be effective according to a utilitarian point of view.'</t>
  </si>
  <si>
    <t>implied: increasing feelings of compassion to increase intention or motivation to donate to a cause - could be seen as related to morally good behaviour?</t>
  </si>
  <si>
    <t>A026</t>
  </si>
  <si>
    <t>Pfeiffer, C; Kremsner, TP; Maier, C; Stolavetz, C</t>
  </si>
  <si>
    <t>Does electricity consumption make happy? The emotional dimensions of time-scaled electricity consumption graphs for household appliances</t>
  </si>
  <si>
    <t>Austria</t>
  </si>
  <si>
    <t>Due to the current situation regarding climate change, smart home energy management systems help to provide an overview of a household's electricity consumption at appliance level by means of time-scaled visualizations. Such electricity consumption graphs need to be visually appealing to unleash potentials for a positive contribution to energy transition. Triggered emotions in particular play a crucial role for visualization design. Therefore, this paper presents an in-depth facial expression analysis and eye-tracking investigation with a sample of n = 48 non-expert participants with the aim to determine the triggered emotions by different time-scaled electricity consumption graphs at appliance level. Participants were randomly assigned to one of three groups with different time-scaled electricity consumption graphs at appliance level. Within each group, the participants had to complete three tasks based on the presented consumption graph. Results revealed that time-scaled electricity consumption graphs at appliance level have the potential to trigger the emotions joy, surprise, anger, contempt, disgust and sadness. Surprise, contempt and disgust in particular were triggered more frequently than anger and sadness. Furthermore, electricity consumption graphs at appliance level triggered joy more frequently among women than men. However, the type of electricity consumption graph did not influence the extent of triggered emotions. Nevertheless, smart home energy management system suppliers should consider this triggering effect on human emotions to provide adequate solutions that unleash the full potential to support the energy transition.</t>
  </si>
  <si>
    <t>Electricy make happy</t>
  </si>
  <si>
    <t>Energy Usage</t>
  </si>
  <si>
    <t>What are the emotions that occur / are associated with observing time-scaled electricity consumption graphs of individual household appliances, based on facial expressions</t>
  </si>
  <si>
    <t>Positive emotions can help with engaging in behaviour change toward energy conservation (in support of climate change actions)</t>
  </si>
  <si>
    <t>"However, research still lacks holistically objective criteria to optimize energy data visualizations. Data complexity, user requirements and application scenarios influence the choice of the visualization type [14,15]." Preferences determined subjectively and may vary.
facial expression analysis is novel in this area
triggering emotions here is related to comprehensibility of the information on the appliance- good readability, usability. Overall, emotional design that increases motivation of consumers to use multimedia content. They focus on the aesthetic design, and to some degree interaction, to influence emotions. They are also interested in impact of age, gender - and how emotions are expressed given these factors</t>
  </si>
  <si>
    <t>associated with capturing interest and attention, intent to induce behaviour change through positive emotional response. 
accessible design of smart home energy management system drives user engagement, entertainment</t>
  </si>
  <si>
    <t>Wheel of Emotions</t>
  </si>
  <si>
    <t>Plutchik 1980</t>
  </si>
  <si>
    <t>joy/sadness, anger/fear, trust/disgust, surprise/contempt
States it is 'hard to define'. 'a complex set of interactions with subjective and objective factors mediated by a hormonal/neutral system'. Systematically interweave and influence perceptions, and vice versa. 
Emotions are goal-relevant experiences, classified as positive and negative. "Can be characterized as a strong motivational state. Classical emotional states, such as anger or joy, contain a considerable amount of motivation. Emotions manifest a reaction of the whole organism, including physiology, conscious cognitive expereicne and expressive behaviour." (Becker-Carus 2017).
identifying emotions based on facial expression
Emotions triggered by visualizations - reactions are emotion-based, influence use of and behaviour toward vis. Data must be cognitively processable, an affective component that triggers a positive mood. 
Discusses 'emotional design' - intent to increase motivation of consumers to use multimedia content, e.g. colour use, virtual characters to convey content.
They cite some papers that look at limitations of using interview method- Koningsbruggen &amp; Hornecker identified an emotional uncoupling during visualization analyses that appeared in interviews...</t>
  </si>
  <si>
    <t>as a way to motivate behaviour change. Accessibility improves engagement</t>
  </si>
  <si>
    <t>based on cited literature</t>
  </si>
  <si>
    <t>Joy, Surprise, Anger, Contempt, Disgust, Sadness</t>
  </si>
  <si>
    <t>tabular, time-series</t>
  </si>
  <si>
    <t>Bar, Line, Rose</t>
  </si>
  <si>
    <t>chart type</t>
  </si>
  <si>
    <t xml:space="preserve">within subject analysis for emotion, between subject analysis for gender and age
few emotions were identified in the facial expressions
highest avg emotion ratio was classified as joy. Marginal differences wrt consumption graph, other emotions
the line chart triggered joy the most, bar chart the least joy. Sadness was the most frequent negative emotion, bar chart featuring the comparatively highest for sadness, line chart the lowest. the other emotions had low responses across all groups and chart types, on average. Surprise (described as a neutral emotion) was triggered in 1.46% of all expressions, and weakly correlated with disgust.
mean ratios of emotions were of limited value. Distribution of joy was bimodal.
eye-tracking: moderate correlation between joy and time to first fixation (more time spent to reach AoI, more joy was triggered); disgust and fixation count, dwell time; sadness and fixation count, dwell time, further time to first fixation
participants' emotions seemed more related to their performance on tasks than actual engagement with vis; fewer emotions occurred at the outset as they were just getting familiar with the consumption graph. Describe the process of working through the task, moving from anger sadness disgust, through to joy when answer was found. "This example highlights the uncertainty of non-expert participants."
extent of triggered emotions does not depend on type of time-scaled graph. 
findings did not support other studies that graphs elicit emotions based on visualization type [43, 45]. Acceptance of bar and line charts higher than rose chart, but did not impact emotionalresponse.
Gender had influence on emotion (female participants showed more joyful emotions, males in general showed less emotions) indicating attitudes may differ. Larger sample size may be needed. Age did not have a main effect on emotion triggered, but interaction between age and gender was detected. 
</t>
  </si>
  <si>
    <t>one-day time series dataset of a multi-person household in an eastern region of Austrio taken to create time-scaled electricty consumption graphs at appliance level.</t>
  </si>
  <si>
    <t>lab study</t>
  </si>
  <si>
    <t>30.6 avg</t>
  </si>
  <si>
    <t>58.3% F</t>
  </si>
  <si>
    <t>13 had a uni degree; all had no bg knowledge about energy topics
primary residence in Austria</t>
  </si>
  <si>
    <t>Facial expression recognition, Eye-tracking, Interview</t>
  </si>
  <si>
    <t>Randomly assigned to 1 of 3 groups with different time-scaled graphics
Interviews</t>
  </si>
  <si>
    <t>mixed design: (between: conditions; within: emotion ratios)
Facial Action Coding System (FACS)
iMotions 9.0 for eye-tracking (to log areas of interest): fixation count, dwell time, duration of avg fixation, duration of first fixation, duration of last fixation
Interviews</t>
  </si>
  <si>
    <t>purposive and convenience sampling</t>
  </si>
  <si>
    <t>gaze plots from eyetracking data; qualitative analysis of interview responses</t>
  </si>
  <si>
    <t>H1: Hotelling's T2, followed by one-sided T-tests
H2-H5: repeated-measures ANCOVA (with emotion ratios for 6 emotions) as within-subject factors
graph type served as between factor in repeated measures ANCOVA
gender and age treated as independent variables
data preparation study conudcted in advance to check for within-subject variability and volation of repeated measures ANCOVA normal distr. assump.</t>
  </si>
  <si>
    <t>"Future research should concentrate on more realistic settings within field experiments. First, participants could be presented with their own energy data to provide a better relation to the presented tasks. Then, the aforementioned stimulus materials could be varied in terms of consid ered time series intervals or energy scenarios, e.g. appliances with abnormally high electricity consumption, virtual reality, storytelling or other interactive elements. Furthermore, the experimental conditions concerning the energy consumption graphs can be modified, e.g. aggregated electricity consumption over a defined time period or heat load visualizations. Another direction for future research concerns different target groups. For example, studies with energy experts should be conducted to identify any differences in behavior to non-experts. Also, researchers could apply further methods to measure emotions, e.g. galvanic skin response. Finally, the effect of emotions on users’ energy consumption behavior should be researched."
small sample size of 48 (though it was above the power sample size of 40). Investigate age, gender differences other than joy could be detected with larger studies.
Lack of generalizability based on participant demographics, though they don't have knowledgde of energy topics (representative). Experts purposely excluded from study.
High skewness of emotion variables and required logarithmic transformation in order to not violate parametric test assumptions. Normal distribution was violated, which could bias reults. e.g. for Joy - no significant diff between log-transformed joy and other emotions.
Data focused on one day, could look at different days or time spans to see effect on emotional response.
Participants be presented with their own actual data 
How to present data (aggregated electricty consumption, or heat load visualizations)
other elements: VR, storytelling, interactivity</t>
  </si>
  <si>
    <t>"Business implications can be derived from this study. Consider gender distribution in target groups. Choose vis types based on other measures such as perceived asethetics, instead of emotions. ...consider emotional trigger effect to provide adequate solutions that unleash the ful potential of supporting the energy transition."
positive emotions could cause a more sustained use of smart home energy management systems and bridge cap to a sustainable energy consumption use behaviour. "Even if electricity consumption does not make happy per se, it is noteworthy that its graphs are capable to trigger emotions."</t>
  </si>
  <si>
    <t>Going the direction of eliciting emotions that lead to positive behavioural change (better home electricity consumption patterns)</t>
  </si>
  <si>
    <t>A068</t>
  </si>
  <si>
    <t>Sakamoto, Yumiko; Sallam, Samar; Salo, Aaron; Leboe-McGowan, Jason; Irani, Pourang</t>
  </si>
  <si>
    <t>Persuasive Data Storytelling with a Data Video during Covid-19 Infodemic: Affective Pathway to Influence the Users' Perception about Contact Tracing Apps in less than 6 Minutes</t>
  </si>
  <si>
    <t>https://ieeexplore.ieee.org/abstract/document/9787913</t>
  </si>
  <si>
    <t>The current pandemic showed us the importance of swiftly disseminating data-based information to the masses of people. This study explores an affect-centered narrative to convey data-driven messages regarding contact tracing apps (CTAs) using video as a medium (i.e., data video). A between-subjects online study compared the effect of three storytelling approaches on viewers' perception. A video developed by Google was selected as the baseline video (Control Condition; 2min 23s) due to its high quality and relevance to CTAs. The central messages of this baseline video were; a) how CTAs work, and b) how safe and effective CTAs are. Infographics supporting these messages were then added to the baseline video (the second condition; 3min 19s); this was a simple data video (DV), and it did not intend to induce specific emotional experiences in participants (i.e., cognition-centered video). Finally, an affect-focused DV (AFDV) was also created by emphasizing the emotion-based narrative aspect of the message (the third condition; 4min 6s). In this video, three cute human-like cartoon characters were introduced. Viewers in this condition needed to process both cognitive and affective information. Note all three videos (i.e., control video, DV, and AFDV) conveyed identical messages. Participants watched one of these three videos only once, and we explored the video effect on their perception. Our results repeatedly indicated the potential benefits of including affect in data storytelling.</t>
  </si>
  <si>
    <t>Persuasive Data Storytelling with a Data Video during Covid-19 Infodemic</t>
  </si>
  <si>
    <t>Covid-19</t>
  </si>
  <si>
    <t>To investigate the effect of inducing emotional responses toward data videos and subsequent perception about public health topics (Covid-19). "We specifically explore the persuasive power data videos exhibit through their cognitive content (i.e., data and logical arguments), as well as the emotions they trigger in their viewers. we explore the potential advantages of adding emotional components to data video (DV) in influencing its viewers' perception."</t>
  </si>
  <si>
    <t>Enhancing the emotional aspects in a data video by using data storytelling can influence perception/messaging.</t>
  </si>
  <si>
    <t>"With narratives that can induce emotional reactions, we can further enhance the potential of such videos so we can influence their viewers' perception adequately to motivate healthy behaviours."
Brevity of short data videos are becoming popular on social media.
"The elaboration likelihood model of persuasion (ELM) is a dual process model that suggests two routes that can lead to persuasion (i.e., attitude and/or behavioural changes): central and peripheral routes [16]. When the receiver of a persuasive message is highly motivated about the topic, they are more likely to process the message through their cognition, using the mental clues in the message, while less motivated individuals would process the message based on their emotions (i.e., the feelings triggered by the message viewing) [17], [18]."</t>
  </si>
  <si>
    <t>nothing specifically about engaging, except that data videos have an 'entertaining and engaging nature' on social media. Looking more at persuasion methods - individual who is highly motivated about the topic will process information more cognitively, while less motivated individual will process emotionally (really?)</t>
  </si>
  <si>
    <t>capturing attention, being entertained</t>
  </si>
  <si>
    <t>Persuasion of datavis - "an individual who is highly motivated about the topic will process information more cognitively, while less motivated individual will process emotionally"</t>
  </si>
  <si>
    <t>"As for the emotional aspect of data videos, specifically those focused on motivating healthy behaviours, there are no clear empirical guidelines in the literature regarding the strategies or types of emotions that would be effective. Two strategies- either loss-framing or gain-framing"
"Accordingly, in this study when we introduce the affect-based condition we focused our story to induce negative emotions such as ‘empathy’ with the characters as they suffer due to Covid-19. "
psychological principles: empathy, cognitive dissonance, heightened relevance
loss-framed messages were more suitable than gain-framed messages in data storytelling approaches during the pandemic</t>
  </si>
  <si>
    <t>Empathy, Sadness</t>
  </si>
  <si>
    <t>Sadness, Sorry, Negative emotions, Empathy</t>
  </si>
  <si>
    <t>Infographic</t>
  </si>
  <si>
    <t>-participants in each condition had similar levels of vulnerability toward persuasive messages
-the affective video had stat sig effect on negative affective response. no sig diff between baseline and DV conditions. "This implies that our psychological manipulation was successful"
-affect predicted general persuasive potential of the video e.g., the video would make me change my behaviour regarding using CTAs; affect also predicted how convincing the information was; also predicted likelihood of downloading a CTA for those who'd never usedany. Also indicated change in perception toward CTA, i.e., negative affect and perception/attitude toward CTA are inversely correlated, according to the study.
-for evaluating change in attitude, only participants with pre-eval attitude of 3 or higher were analysed. A significant effect was found in perceived safety of CTA use, particularly amongst participants in the AFDV condition, with a moderate effect.
-change in how comfortable participants would feel about using a CTA- a significant condition effect was found with a moderate effect...driven by difference between baseline and AFDV.
-affective information did not interfere with cognitive information for viewers to understand the video contents. Merging these instead augmented the impact of video communication on the viwers' perception.
"influencing viewers' perception when they already have a neutral to positive attitude (before the video viewing) might be more suitable than targeting those who have a negative attitude toward the video topic. In fact, while those participants who had negative pre-attitude toward CTAs viewed one of our videos as they were in a study, it might be plausible that they might choose not to watch such videos in real life." 
"AFDV should be used as a tool to encourage people to act a certain way; not to change their attitude."</t>
  </si>
  <si>
    <t>use of characters- designed them to be neutral background, and cute to 'avoid viewers' indifference toward the characters'; various forms of manipulation to increase information relevance and empathy</t>
  </si>
  <si>
    <t>character, plot, narration</t>
  </si>
  <si>
    <t>they talk about actively designing the videos to be manipulative, trigger cognitive dissonance</t>
  </si>
  <si>
    <t>general, Canada</t>
  </si>
  <si>
    <t>34 avg</t>
  </si>
  <si>
    <t>52 F</t>
  </si>
  <si>
    <t>technology proficiency</t>
  </si>
  <si>
    <t>3 conditions: baseline video (from Google), DV (addition of infographics), and AFDV (inclusion of human-like characters)</t>
  </si>
  <si>
    <t>Kukkonen's question items about susceptibility to persuasion
Likert scales for affect, comprehension, persuasive potential, prior attitudes</t>
  </si>
  <si>
    <t>REB</t>
  </si>
  <si>
    <t>Cronbach, Kruskal-Wallis with Bonferroni adjustments
one way ANOVA</t>
  </si>
  <si>
    <t xml:space="preserve">-null effect could be due to small sample size
-the videos are of different lengths - longer for each condition (+DV, +AFDV) which can impact responses...
-"Although it was beyond the scope of this study, future investigation of ways to convince/influence people with negative attitudes with data videos, would be fruitful."
"While we found various benefits associated with negative affect in AFDV as our investigation cnetred around digital communication during infodemic, the level of negativity in comparison to other types of videos (e.g., documentary based DV) was not explored. If we had used actual human characters instead, the level of negative affect could have been higher; when the narratives induced excessive fear, then viewerse might not finish watching a video or experience "denial" which might not lead them to any perceptual changes."
</t>
  </si>
  <si>
    <t>Nothing specifically mentioned. They do use the terms 'psychological manipulation' to describe the design of their videos. There is also a question of eliciting negative emotions to promote positive behaviour change.</t>
  </si>
  <si>
    <t>They categorize empathy in this case as a negatively-driven emotion because of the context/topic - people suffering through the Covid pandemic.
-they only focused on participants who had neutral or already positive attitudes toward CTAs to evaluate the effect of the DV, since the DVs are short and can be viewed only once. This doesn't make sense.
-race could not be inferred from the characters (Emma, grandpa, and Mom). Surprised they even included 'gender'.</t>
  </si>
  <si>
    <t>A065</t>
  </si>
  <si>
    <t>Holder, Eli; Xiong, Cindy</t>
  </si>
  <si>
    <t>Dispersion Vs Disparity: Hiding Variability Can Encourage Stereotyping When Visualizing Social Outcomes</t>
  </si>
  <si>
    <t>https://ieeexplore.ieee.org/document/9913065/</t>
  </si>
  <si>
    <t>Visualization research often focuses on perceptual accuracy or helping readers interpret key messages. However, we know very little about how chart designs might influence readers’ perceptions of the people behind the data. Specifically, could designs interact with readers’ social cognitive biases in ways that perpetuate harmful stereotypes? For example, when analyzing social inequality, bar charts are a popular choice to present outcome disparities between race, gender, or other groups. But bar charts may encourage deficit thinking, the perception that outcome disparities are caused by groups’ personal strengths or deficiencies, rather than external factors. These faulty personal attributions can then reinforce stereotypes about the groups being visualized. We conducted four experiments examining design choices that influence attribution biases (and therefore deficit thinking). Crowdworkers viewed visualizations depicting social outcomes that either mask variability in data, such as bar charts or dot plots, or emphasize variability in data, such as jitter plots or prediction intervals. They reported their agreement with both personal and external explanations for the visualized disparities. Overall, when participants saw visualizations that hide within-group variability, they agreed more with personal explanations. When they saw visualizations that emphasize within-group variability, they agreed less with personal explanations. These results demonstrate that data visualizations about social inequity can be misinterpreted in harmful ways and lead to stereotyping. Design choices can influence these biases: Hiding variability tends to increase stereotyping while emphasizing variability reduces it.</t>
  </si>
  <si>
    <t>Dispersion Vs Disparity</t>
  </si>
  <si>
    <t>Social, ecomomic</t>
  </si>
  <si>
    <t>"We used agreement ratings with statements describing personal and external attributions, but surveys like this can be subject to self-reporting bi-ases [1]. Our participants reacted differently depending on whether racial groups were explicitly labeled on the chart or not. This might suggest that the presence of racial information intuitively triggered social-desirability biases, causing participants to artificially suppress personal attributions in their self-reporting." test for implicit bias</t>
  </si>
  <si>
    <t>"Our work also suggests that group averages alone are insufficient for responsibly visualizing social outcome disparities. To reduce social-cognitive biases that lead to harmful stereotyping, visualizations should show the diversity of outcomes within groups, not just the differences between them."</t>
  </si>
  <si>
    <t>Exclude: did not measure emotional engagement</t>
  </si>
  <si>
    <t>A066</t>
  </si>
  <si>
    <t>Lan, Xingyu; Wu, Yanqiu; Chen, Qing; Cao, Nan</t>
  </si>
  <si>
    <t>The Chart Excites Me! Exploring How Data Visualization Design Influences Affective Arousal</t>
  </si>
  <si>
    <t>http://arxiv.org/abs/2211.03296</t>
  </si>
  <si>
    <t>As data visualizations have been increasingly applied in mass communication, designers often seek to grasp viewers immediately and motivate them to read more. Such goals, as suggested by previous research, are closely associated with the activation of emotion, namely affective arousal. Given this motivation, this work takes initial steps toward understanding the arousal-related factors in data visualization design. We collected a corpus of 265 data visualizations and conducted a crowdsourcing study with 184 participants during which the participants were asked to rate the affective arousal elicited by data visualization design (all texts were blurred to exclude the inﬂuence of semantics) and provide their reasons. Based on the collected data, ﬁrst, we identiﬁed a set of arousal-related design features by analyzing user comments qualitatively. Then, we mapped these features to computable variables and constructed regression models to infer which features are signiﬁcant contributors to affective arousal quantitatively. Through this exploratory study, we ﬁnally identiﬁed four design features (e.g., colorfulness, the number of different visual channels) cross-validated as important features correlated with affective arousal.</t>
  </si>
  <si>
    <t>The Chart Excites Me!</t>
  </si>
  <si>
    <t>affective arousal, in research, measuring activation of emotion on a continuous scale</t>
  </si>
  <si>
    <t>Exclude: Not peer-reviewed. But reference bc there may be some interesting points.</t>
  </si>
  <si>
    <t>A067</t>
  </si>
  <si>
    <t>Markant, Douglas B.; Rogha, Milad; Karduni, Alireza; Wesslen, Ryan; Dou, Wenwen</t>
  </si>
  <si>
    <t>Can Data Visualizations Change Minds? Identifying Mechanisms of Elaborative Thinking and Persuasion</t>
  </si>
  <si>
    <t>https://ieeexplore.ieee.org/document/9975360/</t>
  </si>
  <si>
    <t>Recent years have seen rapid growth in data-driven communication and the public availability of datasets on a broad set of social issues. Yet despite this unprecedented accessibility, the public often remains divided along partisan or ideological lines and to lack a common understanding of the issues at stake. In this paper we consider the role of data visualizations in communicating scientiﬁc evidence, and in particular, their power to persuade in the face of conﬂicting prior beliefs and attitudes. We describe a recent study showing that strong attitudes about politically polarized topics were associated with less belief change when interacting with statistical data visualizations. Moreover, there was little evidence for attitude change even when people updated their beliefs about speciﬁc empirical relationships. We then draw on research in cognitive science to identify elements of visualizations that may produce such attitude change because they encourage elaborative thinking when interacting with data. We argue for further research that considers how broader attitudes—which are tied to social identity, values, and worldviews—affect the power of data visualizations to persuade among communities with diverse ideological and cultural backgrounds.</t>
  </si>
  <si>
    <t>Can Data Visualizations Change Minds?</t>
  </si>
  <si>
    <t>Attitudes are complex psychological constructs that are shaped by personal identities, social affiliations, and emotions [2]. 
"These factors may have also influenced how people engaged with the panoply of “crisis visualizations” that emerged during the pandemic [42], with recent work suggesting that political leaning affects how people interpret visualizations related to COVID risks [10]. However, despite their prominence throughout this public health crisis, relatively little is known about how interactions with data visualizations affected people’s attitudes or behaviors."
"The uncertain impact of COVID-19 crisis visualizations illustrates a broader need to understand the persuasive power of visualizations when the data challenges people’s existing views [35]. "</t>
  </si>
  <si>
    <t>"Through studying how anti mask groups leverage data visualization to communicate their viewpoint, Lee et al. concluded that “Data visualizations are not a neutral window onto an observer independent reality; during a pandemic, they are an arena of political struggle” [Lee 2021]. This struggle is partially due to the fact that visualization design choices can shift the persuasive message, even for data from the same original source. For example, small additions to charts, such as highlights and annotations, can support perspectives from different political parties [4, 11]. It is essential for designers of data visualizations to understand and acknowledge the political nature of their work in order to combat misinformation and to improve truthfulness of their art [Cairo the truthful art]."
"As communicators, we also have the responsibility to recognize that consumers of our work are humans with deep emotional, moral, social, and cultural connections to the information we produce and visualize. For example, some aspects of vaccine hesitancy in minoritized communities can be attributed to a deep mistrust towards governments and medical institutions due to legacies of colonialism, slavery, medical racism, abuse and malpractice [33], while individuals with emotional connections to crises(e.g., Boston marathon terrorist attacks) may be more receptive to misinformation about those topics [Huang 2015]. ....But in light of how visualizations of real data have been used both for social good and to support false claims during the Covid-19 pandemic, visualization researchers and designers should be cognizant about how our work can potentially be leveraged to convey different (possibly unintended) messages during the design process. As data visualizations will continue to be vital to the public discourse over matters of urgent social concern, more research is needed to understand the dynamics of persuasion in visual communications among audiences of diverse backgrounds and motivations."</t>
  </si>
  <si>
    <t>Unclear if dealing even with affective trust aspects in how participants appraised the visualizations. But very relevant for the fMRI study, I think, as related work! For some good discussion on attitudes and beliefs. Also their study referenced therein: https://dl.acm.org/doi/10.1145/3544548.3581330#supplementary-materials</t>
  </si>
  <si>
    <t>A069</t>
  </si>
  <si>
    <t>Sallam, Samar; Sakamoto, Yumiko; Leboe-McGowan, Jason; Latulipe, Celine; Irani, Pourang</t>
  </si>
  <si>
    <t>Towards Design Guidelines for Effective Health-Related Data Videos: An Empirical Investigation of Affect, Personality, and Video Content</t>
  </si>
  <si>
    <t>https://dl.acm.org/doi/10.1145/3491102.3517727</t>
  </si>
  <si>
    <t>10.1145/3491102.3517727</t>
  </si>
  <si>
    <t>Data Videos (DVs), or animated infographics that tell stories with data, are becoming increasingly popular. Despite their potential to induce attitude change, little is explored about how to produce effective DVs. This paper describes two studies that explored factors linked to the potential of health DVs to improve viewers’ behavioural change intentions. We investigated: 1) how viewers’ affect is linked to their behavioural change intentions; 2) how these affect are linked to the viewers’ personality traits; 3) which attributes of DVs are linked to their persuasive potential. Results from both studies indicated that viewers’ negative affect lowered their behavioural change intentions. Individuals with higher neuroticism exhibited higher negative affect and were harder to convince. Finally, Study 2 proved that providing any solutions to the health problem, presented in the DV, made the viewers perceive the videos as more actionable while lowering their negative affect, and importantly, induced higher behavioural change intentions.</t>
  </si>
  <si>
    <t>Towards Design Guidelines for Effective Health-Related Data Videos</t>
  </si>
  <si>
    <t>Personal Health</t>
  </si>
  <si>
    <t>To investigate how viewers' affect is linked to their behavioural change intentions, 2) how affective responses are linked to viewers' personality traits, 3) which DV attributes are linked to persuasive potential.</t>
  </si>
  <si>
    <t>Affective responses, which are linked with individual factors like personality, can influence behaviour change. Some attitudes have an affective basis - our feelings toward certain topics or ideas.
Dual Processing Models suggests two routes to persuasion: central and peripheral. Central is cognitive-based, peripheral is taken when the receiver lacks the motivation or ability to logically process cues in the message, and decides to agree with the message based on its emotional appeal (not via logic).</t>
  </si>
  <si>
    <t xml:space="preserve">-persuasive system design model (Kukkonen and Harjumaa) incorporated into PDVs (Choe et al). 
-"no clear guidelines have been provided regarding the efective emotional messaging strategies and techniques that ought to be used when developing DVs that aim at infuencing the viewers’ perception about health-related behaviours."
-Prospect Theory - the same information can have different effects on their receivers based on how they are framed (gain-based or loss-based). " Rothman and Salovey [74] suggest the use of gain-framed strategy for persuasive messages targeting illness prevention behaviours such as physical activity, while a lossframed strategy would be more efective for messages targeting illness detection behaviours like mammography [34]."
-measuring affect described as implicit (physiological/biometric) and explicit (self-report)
-"the power of personalized persuasive systems which often explore the efect of personalities on persuasion [8, 19, 27, 44, 46, 47, 88, 91], making it essential for us to consider the personality aspect as a factor in our studies."
-five-factor model of personality </t>
  </si>
  <si>
    <t>-Amini et al found use of pictographs and animation can increase 'engagement' (no other definition offered). effective because they 'trigger more emotions', while animation intensifies such emotions.</t>
  </si>
  <si>
    <t>Amini et al. 2018</t>
  </si>
  <si>
    <t>State Anxiety Scale
5 model of personality - most accepted personality assessment model across diverse disciplines</t>
  </si>
  <si>
    <t>Marteau &amp; Bekker 1992</t>
  </si>
  <si>
    <t>loss-based framing due to nature of the videos selected for the study, and measuring using the Speilberger State Anxiety Scale</t>
  </si>
  <si>
    <t>Anxiety, Calm</t>
  </si>
  <si>
    <t>Anxiety, Worry, Calm</t>
  </si>
  <si>
    <t>tabular, narrative</t>
  </si>
  <si>
    <t>Narrative/rhetoric:
-loss-based framing had lower persuasive power
-fear-inducing message with no clear solution induced highest negative affect level
-personality: high neuroticism more impacted by negative messaging</t>
  </si>
  <si>
    <t>-part. with negative affect predicted lower persuasive power (GPP), for videos with loss-based framing, i.e. harder to motivate viewers to alter health-related behaviour if they had higher levels of negative affect after viewing the video
-when information in DV perceived as useful, it was easier to influence the viewers' attitude. But DV will be less effective at convincing individuals who have highly neurotic tendency to change health-related behaviours. higher neuroticism might be better to frame narrative differently; Highly neurotic people experience higher levels of negative afectby DV viewing, unlike conscientious people who are less sensitive.
-highest negative affect - Diet 1 video (had a fear-inducing message without any clear solution) and in general this was true of the other videos with no clear solution.
-conscientiousness and neuroticism have different reactions
-developed a nomological framework to break down the construct of the data videos. An actionable solution is part of perceived information usefulness. What effect does presenting different types of solutions have on user response and attitude/possible behaviour change?
-significant condition effect for each condition and actionability - experimental conditions, participants perceived as more actionable than baseline - and also predicted increase in usefulness of information in the DV, and therefore also a strong predictor of GPP
-lower self-perception correlated with higher negative affect
-loss-framed message with solution was the most effective. "Our studies proved that including solutions in health-related DVs makes the viewers perceive the videos as more actionable and useful, eases viewers’ anxiety levels, and makes the videos more persuasive. Importantly, we observed trends around solution type: while presenting simple general solutions was efective in reducing anxiety levels and improving the actionability of DVs, detailed actionable solutions that provide very specifc advice consistently yielded the best outcomes (Study 2)."
Provide guidelines:
GL1: DVs targeting health issues should include a solution to the presented problem. This should leave the viewers emotionally resolved by nicely balancing the levels of negative afect they experienced throughout the video viewing.
GL2: Adding detailed and specifc solutions to DVs is clearly an efective way to make them useful and less stressful. However, if the video length is an issue, while not ideal, adding a simple solution would also improve the power of DVs.
-be mindful of personality and designing for neurotic personalities, in particular</t>
  </si>
  <si>
    <t>Offering practical solutions: -detailed, actionable solutions are the best, help reduce anxiety</t>
  </si>
  <si>
    <t>loss-framing</t>
  </si>
  <si>
    <t>selection of 9 videos based on Amini et al's guidance/definition of DVs</t>
  </si>
  <si>
    <t>DVs described as animated infographics. Amini definition of DVs. They coded the DVs for source credibility and information accuracy</t>
  </si>
  <si>
    <t>general, US and Canada</t>
  </si>
  <si>
    <t>Exp 1: 76
Exp 2: 82</t>
  </si>
  <si>
    <t>37.29 avg</t>
  </si>
  <si>
    <t>33 F</t>
  </si>
  <si>
    <t>61% caucasian
98% English first langauge
83% bachelors degree</t>
  </si>
  <si>
    <t>Speilberger State Anxiety Scale, Big-Five Inventory, Persuasive Potential Questionnaire</t>
  </si>
  <si>
    <t>Exp 1: 9 videos, 3 per topic. participants watched 1 of each video, randomly selected and randomly viewed (to avoid priming/order effects)
Exp 2: 3 videos (no solution, general solution, concrete solution)</t>
  </si>
  <si>
    <t>Exp 1: 10-item version of the Big5 Inventory for personality
-affective state self-reports (baseline then post-video)
-persuasive potential questionnaire adapted to fit context - appraisal on information characteristics: novelty, clarity, usefulness
Exp 2: Health perception (self-report), affective state (baseline, peak point, and post-video; control was only before and after), Actionability scale (adapted from Dialogue supprot categories)</t>
  </si>
  <si>
    <t>null effects, effect sizes (make note of potential type II error due to small sample size), Cronbach alpha, multiple regression analysis
Exp 2: Holm-Bonferroni method, linear regression, Kruskal-Wallis,Mann-Whitney U Test</t>
  </si>
  <si>
    <t>-sample size much smaller than planned, and online nature limited controllability
-planned in person studies but Covid hit
-wish to include physiological measurements to compare to self-report measures
-general anxiety higher because of Covid, maybe?
-should also investigate positive affect, e.g., hope, excitement - lead to guidelines for positive framing
-perceptual-level behaviour change, but not actual behaviour change - a longitudinal study to explore how poeple actually behave could be helpful</t>
  </si>
  <si>
    <t>"These fndings fag the potentialrisk of including heavily lossframed messages (i.e., messages that focus on negative outcomes of not following a certain behaviour) in DVs especially for highly neurotic individuals who have higher tendency to experience negative affect while being harder to persuade. " Although loss-framed messages are validated in psychology and commonly used in DVs, they could backfire.
-findings may contribute to development of novel platforms for personalized self-help and behavioural change, such as interactive DVs</t>
  </si>
  <si>
    <t>They say that DVs without clear solution were linked to higher negative affect levels, but also that higher levels of negative affect predicted a lower willingness to change behaviour. Could it be because of the messaging without a clear solution???
This might be the first one anyway to include measures of personality in the study? It is a relevant aspect..</t>
  </si>
  <si>
    <t>A114</t>
  </si>
  <si>
    <t>Van Den Bosch, Catho; Peeters, Nikki; Claes, Sandy</t>
  </si>
  <si>
    <t>More Weather Tomorrow. Engaging Families with Data through a Personalised Weather Forecast</t>
  </si>
  <si>
    <t>https://dl.acm.org/doi/10.1145/3505284.3529972</t>
  </si>
  <si>
    <t>10.1145/3505284.3529972</t>
  </si>
  <si>
    <t>Belgium</t>
  </si>
  <si>
    <t>As data literacy skills are increasingly important in today’s society, scholars have been exploring strategies to engage people with data, for example through storytelling and familiar media such as video. In this paper, we present the design of a video-based data storytelling application that prompts children and their families to explore and interpret historical weather data through a personalised weather forecast. The application was displayed at a 2-month summer exhibition of a popular television channel. In a controlled comparative study, we investigated how the application triggered reflection, as well as emotional and narrative engagement of families at home and at the exhibition. We combined this approach with an in-the-wild study, in which we observed spontaneous interactions of visitors. Our findings indicate that data engagement is encouraged when family interactions occur, which may be facilitated by external environmental conditions and internal story design. Here, we uncover 5 design recommendations for data video storytellers.</t>
  </si>
  <si>
    <t>Meer Weer</t>
  </si>
  <si>
    <t>Weather Tracking</t>
  </si>
  <si>
    <t>To evaluate the effect of a personalized data video story, geared toward families with children, and the context in which it is presented, on emotional engagement and contemplation.</t>
  </si>
  <si>
    <t>Fostering an emotional connection can enhance data literacy skills and increase empathy and contemplation about challenging topics like climate change. High emotional engagement may be linked to social reflection (hypothesis).</t>
  </si>
  <si>
    <t>"Personalised data videos thus offer an entry point to engage both media producer and viewer with data. Despite this, their design and particularly the relation to their context are still relatively under-explored [8]. For example, in documentary flm and journalism,storytelling entails more than the story as an object, it also includes the elicitation and construction of the objects in situ [21]. This construction (including the decision to engage or not) depends on the context, such as the audience, purpose, and location. Storytelling emphasises the performance it entails, such as a social experience that involves retelling with slightly diferent interpretations [21]. However, few studies have explored how diferent settings, such as a screen at home or a physical installation at an exhibition; and related social aspects, such as interacting with children, family or friends, facilitate engagement with personalised data stories, and in particular, how this afects critical refection."</t>
  </si>
  <si>
    <t>as related to critical reflection, get users actively interpreting data and reflecting on the meaning of their interpretation</t>
  </si>
  <si>
    <t>capturing attention, spending time with, actively participating, supporting analysis, sense-making, reflecting</t>
  </si>
  <si>
    <t>Emotional Engagement Scale</t>
  </si>
  <si>
    <t>Bartsh Kalch and Oliver 2014</t>
  </si>
  <si>
    <t>commonly used</t>
  </si>
  <si>
    <t>Enjoyment, Curiosity, Affective Trust</t>
  </si>
  <si>
    <t>Enjoyment, Curiosity, Trust</t>
  </si>
  <si>
    <t>temporal</t>
  </si>
  <si>
    <t>Line, Infographic</t>
  </si>
  <si>
    <t>Chart, Infographic</t>
  </si>
  <si>
    <t>narrative element(s), interactivity, animation</t>
  </si>
  <si>
    <t>personalization, interactivity, animation</t>
  </si>
  <si>
    <t xml:space="preserve">Contemplativeness, emotional and narrative engagement scales: in general, self-report measures were higher in the exhibition group than at home
-feeling more connected with the narrator, inspired to discuss with others, raised curiosity, feeling of care and personal involvement in the topic. inspired to think about societal challenges. exhb. were more focused on the story than at home.
The dynamic environment of the exhbition actually increased feeling of engagement with the data story, allowed individuals to interact alongside their family members with the app.
Recommendations: consider external environment conditions, such as time and location, as an additional anrrative layer in main story line. to overcome, storytellers could e.g., include cues for kids to engage parents in the data experiene. design for family interaction would be more effective when it can be experienced as devices suited for family consumption (a larger screen). 
-connecting data to memories supports reflection: exhb. participants contemplated moer about societal challenges related to data topic than at home; social discussion is important in reflecting onsocial relevancy of the topic.
-exhibition did not contribute to emotional engagement of the topic: social discussions on existing factual knowledge, memories or family stories, formed the starting point for participants' discoveries. link data to memories as a strong narrative devise to trigger reflection. Our memory is story-based, which can be triggered through touchpoints, in a personal or social manner.
-visitors retold the data story from their point of view to their family, and the researchers. stories would ofetn start with a personal hypothesis based on a memory, followed by the actual data and a reflection of its meaning. participants entered other episodic dates (not just birthdays), like summer holidays, wedding dates and even dates when a loved one had died, to compare to the objective data.
-sharing practice encourages retelling the dat story. could anchor data to specific memories or other social discussion points, such as famous persons, to facilitate retelling of data stories (which become familiar)
A familiar presenter establishes trust and encourages data exploration. presenter's presence and call to explore data became an additioanl nudge to interact with the line graphs. including a familiar character, eg presenter, formed an additional motivation to explore the design, and can establish trust with the information that is conveyed (already used to combat misinformation García-Avilés 2020). make it relatable.
-integrate layered storytelling approaches for collaborative learning contexts- they found intergenerational exchange and learning through this data story experience
overall: personal and social connections to data, including important events, memories, and affection for particular characters, can form powerful entry points for data engagement. The above recommendations can work with other topics.
median chosen to exclude those who closed the application immediately or not at all: 2m39s with the application at the exhibition (median of all times during the 2mo of the exhibition); at home median time was 1m14s
-participants generally understood what the app was about, felt motivated to explore as they cared about the subject
-parameters for the contemplativeness scale scored higher for the exhibition condition - participants at the exhb. felt more involved than at home, and thought more about the societal challenges related to the topic than at home; inspired to talk about the evolution of weather data with others, which was significantly less than at home participants, and more encouraged to further explore the topic
-emotional engagement of presenter was neutral in both conditions, participants did not really identify themselves with him. Exception: children under 10 (participated under supervision of their parents) felt more connected to the presenter and his ideas than other part.
-participants at home found it less logical and convinsing, were also more distracted by their home surroundings - significant.
Qualitative: home participants were moer focused on reporting insights as details, while at exhibition people talkeda bout rends. exb. participants made comparison s with external context, which did not seem to happen at home.
-exhb participants invited their group to join after starting with the app. family experience was reason t osustain engagement - trying to pass on the excitement (parent to kid); retelling of the data stories to family bystanders aftereward.
-the exhibition targeted younger audience, whose knowledge of graphs and data is sometimes limited. older adults explaining meaning of lines to younger kids. in reverse, the digital skills of grandparents was limited.
-personalized weather infographic was documented to share later.
-10 interviewed visitors reported discoveries in a story that departed from a hypothesis or previous experience, once they saw the data (and its evolution). "I expected this...but then I saw this..."; some hypotheses were based on previous experiences or existing knowledge - formed while queuing </t>
  </si>
  <si>
    <t>interactivity was in all versions</t>
  </si>
  <si>
    <t>3-act plot, personalization</t>
  </si>
  <si>
    <t>pilot semi-structured interviews with 8 participants (younger than 23yo) to refine the graphic design of the data video - added wettest and warmest birthay points over last 100 years, to allow users to spot these outliers</t>
  </si>
  <si>
    <t>they describe the context for the video in the exhibition space- a cafeteria which included 4 other installations competing for attention (and also bar area, non-digital signage, other people). the whole exhibition was weather-themed.
"The historical data that were fed into the application was retrieved from an open source data platform; a crucial aspect for our design goals as people need to be able to fnd the source data. However, public service media have their own data licenses and typically deploy data that are not openly accessible. We thus needed to defend our choice for open data, which demonstrates that to truly incorporate data representations that encourage open exploration in mass media channels, agreements with existing data delivery services also need to be revisited."</t>
  </si>
  <si>
    <t>in-person, online</t>
  </si>
  <si>
    <t>general, families at exhibition</t>
  </si>
  <si>
    <t>general, families</t>
  </si>
  <si>
    <t>38
30 groups, 8 individuals</t>
  </si>
  <si>
    <t>including under 23</t>
  </si>
  <si>
    <t>vairous, families (adults with younger children)</t>
  </si>
  <si>
    <t>comparative (location-based) - 19 at home, 19 at the exhibition
in-the-wild at the exhibition (observation of social interaction, honeypot effect) followed by brief interview with a subset</t>
  </si>
  <si>
    <t>between-subjects- comparative
Contemplativeness scale - 9 questions
Emotional engagement scale - 6 questions
Narrative engagement scale - 8 questions
Open Q and demographics</t>
  </si>
  <si>
    <t>at exhibition, VRT Pilootzone (home)</t>
  </si>
  <si>
    <t>thematic coding (of open-ended responses), open coding of exhibition notes</t>
  </si>
  <si>
    <t>Cronbach alpha, Wilcoxon Rank-sum test</t>
  </si>
  <si>
    <t>Future work could further explore the role of the distribution platform in data engagement and exploration, e.g., by creating interactive video-based data stories for television.</t>
  </si>
  <si>
    <t>no specific mention, but they open the paper talking about "today's greatest challenges, such as global warming and the Covid-19 pandemic," which "cannot be fully grapsed in everyday life as the significance of the related data remains abstract to some extent." Audiences "need additional support and guidance to make connections with this kind of data, and to participate in this data-driven world, allowing citizens to comprehend governmental issues, participate in civic debate, and make informed decisions. Strengthens individuals' inclusion as well as resilience in future society." Data literacy skills are urgently needed, especially in a media context. Among others, data reps are used by different media to presente policy impact, deemed crucial for instructing people's behaviour (references). And they then bridge this into talking about data-driven storytelling as a "reliable and engaging approach to enhance data literacy skills."</t>
  </si>
  <si>
    <t>A100</t>
  </si>
  <si>
    <t>Schuman, Carrie; Stofer, Kathryn A.; Anthony, Lisa; Neff, Hannah; Chang, Peter; Soni, Nikita; Darrow, Alice; Luc, Annie; Morales, Amanda; Alexandre, Jeremy; Kirkland, Brittani</t>
  </si>
  <si>
    <t>Ocean Data Visualization on a Touchtable Demonstrates Group Content Learning, Science Practices Use, and Potential Embodied Cognition</t>
  </si>
  <si>
    <t>https://doi.org/10.1007/s11165-020-09951-9</t>
  </si>
  <si>
    <t>10.1007/s11165-020-09951-9</t>
  </si>
  <si>
    <t>Conceptualizing and understanding global, physical systems like Earth’s ocean is challenging. Data visualizations on touch-based technology allow learners to explore systems and facilitate embodied experiences, promoting deeper understanding. We investigated how direct manipulation of data visualizations on a touchscreen table affords meaningful learning of science concepts and practices. Using a conceptual framework informed by embodied cognition and sociocultural theory, we analyzed the use of an application displaying global ocean temperature visualizations. Eleven adult-child groups of two to four participants used a think-aloud procedure during four tasks in a lab setting. We recorded, transcribed, and qualitatively coded resulting utterances, looking for evidence of concepts and practices, group meaning-making, and language that could point to embodied cognition. Participants discussed science content and engaged in scientific practices such as describing patterns and refining ideas. Participants used ontological, orientational, and metonymic conceptual metaphors. We discuss implications and provide suggestions for data visualizations on touch platforms.</t>
  </si>
  <si>
    <t>Exclude: does not deal with emotional engagement</t>
  </si>
  <si>
    <t>A107</t>
  </si>
  <si>
    <t>Jin, Eunjoo; Oh, Jeeyun</t>
  </si>
  <si>
    <t>The role of emotion in interactivity effects: positive emotion enhances attitudes, negative emotion helps information processing</t>
  </si>
  <si>
    <t>https://doi.org/10.1080/0144929X.2021.2000028</t>
  </si>
  <si>
    <t>10.1080/0144929X.2021.2000028</t>
  </si>
  <si>
    <t>Individuals can react to the same media content in significantly different ways depending on their emotions, yet only little attention has been paid to this topic in the context of interactive media usage. Filling this gap, the current study investigates how the valence of emotion affects the persuasive impact of interactive health messages. We conducted a 2 (emotion: positive vs. negative) × 2 (interactivity: interactive website vs. non-interactive webpage) between-subjects factorial design experiment (N = 225) and measured participants’ interface assessment, website/message attitudes, behaviour intentions and recognition memory. The results showed that interactivity elicited more favourable interface assessments and website attitudes only for those experiencing positive emotions, which indirectly enhanced their message attitudes and behavioural intentions toward the anti-drug-driving message. In contrast, negative emotions aided recognition memory of the interactive part of the website. The findings bridge the human–computer interaction and cognitive psychology literature and suggest how user emotions can be used as a design strategy to enhance positive attitudes toward websites.</t>
  </si>
  <si>
    <t>Emotion and interactivity effects</t>
  </si>
  <si>
    <t>Drug Use</t>
  </si>
  <si>
    <t>To investigate hwo the valence of emotion affects the persuasive impact of interactive health messages.
"by investigating how users’ emotions adjust their evaluations of interactive media platforms and their content. By doing so, we aim to suggest more effective interactive interface design strategies that take into account users’ emotional contexts."</t>
  </si>
  <si>
    <t>Emotions can influence effectiveness of persuasive communication, by influencing individuals' message processing and behavioural tendencies (Dillard and Peck 2001, DeSteno et al 2004)</t>
  </si>
  <si>
    <t>broaden-and-build theory of positive emotions (Fredrickson and Branigan 2005): positive emotions expand individuals' attentional scope and induce greater desire to play, explore, savour, and seek variety of choices as compared to negative emotions. Negative emotions elicit more narrowed and focused attention toward objects.
"previous research on the impact of emotion on information processing has consistently found that individuals experiencing positive emotions often engage in peripheral and effortless information processing (Forgas, Wyland, and Laham 2006; Isen 1987), whereas those experiencing negative emotions tend to engage in effortful and systematic information processing (Baumann 2018; Kensinger, Garoff-Eaton, and Schacter 2007). That is, individuals experiencing negative emotions tend to engage in systemic processing and are more likely to elaborate on messages than users experiencing positive emotions. This phenomenon can be explained by individuals’ inherent tendency to avoid negative emotions (Zillmann 1988); individuals experiencing negative emotions are more likely to engage in prudent and systematic processing to improve their uncomfortable emotional state (Clark and Isen 1982)."
"...emotion can be significantly influenced by the interplay between various situational factors (Kobylińska and Kusev 2019) and individual differences (Bennett 2014). For instance, extraversion enhances positive emotions, whereas neuroticism encourages negative emotions even when the stimulus remains the same. Given the large potential of positive emotions on interactive effects, future studies should empirically test other moderating factors that can shape and elicit positive emotions from users."</t>
  </si>
  <si>
    <t>"enhancing user engagement, such as feelings of absorption or immersion (Fiore, Jin, and Kim Citation2005; Oh and Sundar Citation2015; Sundar et al. Citation2014)."
"That is, positive emotions generate a larger and more varied list of behaviours in which they would like to engage." 
engagement linked to stimulating users' perceptual and cognitive abilities to interact with content and increase absorption of content. dynamic behaviours like exploring interactive websites</t>
  </si>
  <si>
    <t>feeling immersed/absorbed in, interacting with, learning</t>
  </si>
  <si>
    <t>Fiore, Jin, and Kim 2005; Oh and Sundar 2015; Sundar et al. 2014</t>
  </si>
  <si>
    <t>Valence - positive vs. negative</t>
  </si>
  <si>
    <t>Cacioppo, Gartner &amp; Berntson 1999</t>
  </si>
  <si>
    <t>broaden-and-build theory (Fredrickson 2001) associated with positive and negative emotions for atetntional scope and focus
PANAS for self-report</t>
  </si>
  <si>
    <t>PANAS based</t>
  </si>
  <si>
    <t>gridded</t>
  </si>
  <si>
    <t>Infographic / Diagram</t>
  </si>
  <si>
    <t>"The results highlight that different emotional states have distinct impacts on users’ processing and evaluation of interactive health messages. On the one hand, positive emotions promoted more positive interface assessment and website attitudes toward the interactive website, which led to more positive message attitudes and increased behavioural intentions in the interactive condition compared to the non-interactive condition. Negative emotions, on the other hand, engaged users in deeper information processing for the interactive content, and consequently enhanced their recognition memory."
"A plethora of research has found that individuals’ attentions, cognitions, and behaviours are heavily dependent on the valence of emotions (Bernsten 2002; Dillard and Peck 2001; Griskevicius, Shiota, and Neufeld 2010). Users’ actions and cognitive tendencies on interactive media platforms play a vital role for interactive media to generate more positive persuasive effects (Schwartz and Plass 2014; Sundar 2015). That is, users’ emotional states at the moment of exposure to interactive features can serve as a motivational factor to more actively engage with interactive media. Despite its importance, only a few studies empirically tested the role of users’ emotions on interactive media."
"Modality interactivity is often used to amplify the emotional impact of media content. For instance, panning and zooming features in pro-environmental websites can vividly describe the impact of tornadoes and wildfires and trigger more intense fear or sadness, whereas the same features can be used to enhance positive emotions such as tranquillity if combined with the images of peaceful scenery. Our findings suggest that the interaction between interactive platforms and emotional content should be further investigated by future studies. "
-emotion induction manipulation seemed to work - positive music participants reported sig more positive emotions than participants in negative condition; opposite true for neg condition
-sig interaction effect between emotional valence and interactivity on interface assessment: positive/interactive condition perceived website as more natural, intuitive, easier to use than the non-interactive website. small effect size. Also attitudes toward the website - more appealing, cool, high-quality, imaginative than non-interactive website
-significant main effect size of interactivity
-interactivity had positive impact on message attitudes - more belieable, precise, interesting, informative
-"significant indirect effect of modality interactivity on behavioural intentions through interface assessment only for users experiencing positive emotions" but not for negative condition
""The current study suggests that practitioners should consider both users’ emotions and the aim of messages in order to maximise the messages’ effectiveness. For messages aiming to persuade public, such as advertisements, public service announcements, or health promotion campaigns, an effective strategy would be to induce positive emotions before users are exposed to the interactive messages. It is also noteworthy that two different types of music elicited distinctive emotions among participants, which were translated into different interactivity effects. This suggests the importance of background music in interactive interface design. "</t>
  </si>
  <si>
    <t>emotional priming with music</t>
  </si>
  <si>
    <t>31.98 avg</t>
  </si>
  <si>
    <t>38% F</t>
  </si>
  <si>
    <t>63% bachelors
73% English as first language</t>
  </si>
  <si>
    <t>2x2 conditions (emotion: positive vs negative), interactive (website vs noninteractive webpage)
PANAS for self-report
-emotion induction manipulation: the musical emotion induction procedure and used two classical music pieces (Västfjäll 2001). Delibes’ ‘Coppelia’ was used to elicit positive emotions, while Prokofiev's ‘Russia under the Mongolian Yoke’ was chosen to elicit negative emotions (Heatherton, Striepe, and Wittenberg 1998). "The survey instruction told participants to keep their eyes closed and try to concentrate on their feelings. The survey required headphones for participants to fully concentrate on the listening task. Delibes’ ‘Coppelia’ lasted 2 minutes and 37 seconds and Prokofiev's ‘Russia under the Mongolian Yoke’ lasted 3 minutes 59 seconds. Right after the emotion induction procedure, manipulation check questions asked participants to indicate their current emotions."</t>
  </si>
  <si>
    <t>Qualtrics</t>
  </si>
  <si>
    <t>statistical</t>
  </si>
  <si>
    <t>t-tests, bootstrap, CI</t>
  </si>
  <si>
    <t>-"Given that individuals’ topic involvement or existing attitudes have been the most significant predictors of health message perceptions and attitudes (Cauberghe et al. 2009; Worthington, NussBaum, and Parrott 2015), the small effect size of interactivity and emotions observed in this study is not surprising. "
-future studies may obtain a larger effect size by conducting experiment in a controlled setting like a lab study
-research grounded in valence-based approach to emotions; future work could look at moderating effects of discrete emotions (Nabi 2003), which argues that each emotion has its own mechanism to direct a specific behaviour in a predictable way.
-do emotions of the same valence (e.g., fear and anger) elicit similar or different persuasive outcomes for an interactive website?
-collect log data to have quant analysis of users' behaviour interacting with the interface
-memory through true/false questions</t>
  </si>
  <si>
    <t>Not specifically, but says, "For messages aiming to persuade public, such as advertisements, public service announcements, or health promotion campaigns, an effective strategy would be to induce positive emotions before users are exposed to the interactive messages" - this implies a responsible/ethical application of emotional priming to improve message receptivity and increase likelihood of postiive behaviour change. They also suggest it's best to promote a calm and serious disposition when the user is exposed to messaegs on interactive learning systems.</t>
  </si>
  <si>
    <t>Can be used as hook for context-setting 
Unclear if actually considered datavis. They have one interactive fographic type stimulus of a brain (3D model) more communication-driven, but the website was photos and written information. So, possible edge case?
Also, they did the experiment with emotional priming rather than designing the stimuli to elicit an emotional response, per se. This is something that needs to be parsed out in the paper as well. Maybe this can still be included in the design space - emotional priming vs emotional elicitation from the visualization itself</t>
  </si>
  <si>
    <t>A058</t>
  </si>
  <si>
    <t>Alebri, Muna; Costanza, Enrico; Panagiotidou, Georgia; Brumby, Duncan P.</t>
  </si>
  <si>
    <t>Embellishments Revisited: Perceptions of Embellished Visualisations Through the Viewer's Lens</t>
  </si>
  <si>
    <t>https://ieeexplore.ieee.org/document/10294261/</t>
  </si>
  <si>
    <t>UAE, UK</t>
  </si>
  <si>
    <t>Embellishments are features commonly used in everyday visualisations which are demonstrated to enhance assimilation and memorability. Despite their popularity, little is known about their impact on enticing readers to explore visualisations. To address this gap, we conducted 18 interviews with a diverse group of participants who were consumers of news media but non-experts in visualisation and design. Participants were shown ten embellished and plain visualisations collected from the news and asked to rank them based on enticement and ease of understanding. Extending prior work, our interview results suggest that visualisations with multiple embellishment types might make a visualisation perceived as more enticing. An important finding from our study is that the widespread of certain embellishments in the media might have made them part of visualisation conventions, making a visualisation appear more objective but less enticing. Based on these findings, we ran a follow-up online user study showing participants variations of the visualisations with multiple embellishments to isolate each embellishment type and investigate its effect. We found that variations with salient embellishments were perceived as more enticing. We argue that to unpack the concept of embellishments; we must consider two factors: embellishment saliency and editorial styles. Our study contributes concept and design considerations to the literature concerned with visualisation design for non-experts in visualisation and design.</t>
  </si>
  <si>
    <t>Embellishments Revisited</t>
  </si>
  <si>
    <t>Civic, Business, Health, Climate, Science</t>
  </si>
  <si>
    <t>To investigate the role of embellishments in enticing viewers to spend more time with a visualization.</t>
  </si>
  <si>
    <t>Many factors besides comprehension impact how people interact with visualizations, and emotions are one of the factors that modulate someone's interest in a visualization.</t>
  </si>
  <si>
    <t>"For this study, we understand embellishments as the elements that make a visualisation deviate from an assumed standard (minimum ink, space and colour)."
background about chart junk, and a need for a qualitative study that allows participants to express their perceptions of embellished visualizations.
on Engagement: For instance, Burns et al. [11] compared icon arrays with solid area charts and found the two versions to have a similar engagement level measured by the number of insights extracted and the mental effort used to extract insights, both used as an indication of engagement. Similarly, Vande Moere et al. [41] investigated engagement through insights and found no differences between visualisations with an artistic style, analytic style, and magazine style; however, the artistic version (i.e., embellished) encouraged reflective and subjective interpretation, which could indicate a higher level of engagement. 
"multiple factors contribute to the readers' engagement with visualisations and which, in turn, need to be considered when evaluating visualisations; these factors are topic, source, beliefs and opinions, confidence in skills, time, and emotions [Kennedy and Hill 2016]."</t>
  </si>
  <si>
    <t>proxy of initial engagement - We define Enticement as the level at which the visual representation feels inviting and encourages viewers to look and explore [yi 2015]
cite Mahyar's taxonomy of engagement, but see this as reliying on level of involvement with data after people are already motivated to look at the vis in the first place. they start earlier with 'enticement'</t>
  </si>
  <si>
    <t>Taxonomy of engagement, Enticement (own)</t>
  </si>
  <si>
    <t>Mahyar et al. 2018, Yi 2015</t>
  </si>
  <si>
    <t>based on enticement definition</t>
  </si>
  <si>
    <t>Positive–Neutral</t>
  </si>
  <si>
    <t>Interest, Surprise, Aesthetic Appeal</t>
  </si>
  <si>
    <t>Interest, Surprise, Aesthetic appeal</t>
  </si>
  <si>
    <t>Bar, Bar (stacked), Lollipop, Pictograph</t>
  </si>
  <si>
    <t>embellishment</t>
  </si>
  <si>
    <t>"Following the interview results, which suggested that visualisations with multiple embellishment types were perceived as more enticing, we wanted to identify the specific embellishment type that brought this effect."
Our findings suggest that visualisations with salient embellishments (e.g., large-sized icons on their own or combined with other elements) are perceived as more enticing as these visualisations looked less like graphs. At the same time, visualisations that maintained the look of a graph and used subtle embellishment types (e.g., icon labels) were seen as less enticing, even indifferent to their plain version. ... Our results also suggest that visualisations with salient embellishments were perceived to help sense-making and encourage participants to consider topics that otherwise would have been ignored. However, such embellishments made participants feel patronised and distrusted the visualisations as their style was associated with specific news outlets, such as tabloid newspapers.
"The personal relevancy of the visualisation topic was an important factor in enticing participants (coded 40 times)." a personal connection to the topic mattered, and ranked visualizations related to these topics high on enticement. We acknowledge that relatability attracts people, and we found that participants gravitated toward the visualisations related to their experiences and everyday preoccupations, similar to the findings of Peck et al. [31]. Additionally, we extended that work with embellished visualisations, suggesting that embellishments could entice viewers even when the topic is far from personal. This has implications that can help news media where they have available data about visitor's interactions (e.g., dwell time) with different news genres (e.g., politics, sports), which can be used as an index of which visualisations to embellish.
"While exploring the visual aspect of the visualisations, participants reported being more enticed with these visualisations because they looked less like graphs and more like pictures, making them visually appealing (coded 16 times) and noticeable (n=10) compared to other visualisations (e.g., I, H)."
"On the one hand, some participants (n=4) felt that the embellished visualisations underestimated their ability to read a visualisation. Such observations applied to all of our embellished visualisations. Visualisations A, E, and G were described by some participants as “childish”, “cheesy”, “gimmicky”, and “cartoony” (n=6). ...Even with other embellished visualisations not described as childish, participants still highlighted feeling underestimated as readers."
"Specifically, participants associated a particular visual style (the way the data are presented considering the amount of white space and clutter, colours, and size of the elements occupying the space) with different levels of objectivity. For instance, participants (n=7) perceived plain (F, J) and embellished visualisations that used icon labels (C, H, I) as objective, implying that the two have a similar visual style."
affective trust: Visualisations A, E, and G were also associated with tabloids (a newspaper style popular in the UK that publishes controversial articles). For instance, P7, who reads the BBC, was less trusting of visualisations A, E, and G and stated: “It [E] looks like something you would find on a tabloid newspaper”. This is especially interesting since visualisations A, E, and B, which came from the Daily Mail (i.e., a tabloid newspaper in the UK), did not have the news source visible (we presented the visualisations as we found them). We also found that five participants reported feeling suspicious of the visualisation's primary goal because of the embellishment type used. "using pictures to draw the crowd rather than just showing the clear facts. also a bit sensational, like they're trying to get clicks...these graphics can be deceiving." 
news source is a priority for trusting a vis.
particular design choices, such as annotating a visualisation or highlighting a trend, might be perceived as condescending and childish. We extend their work by showcasing how other elements, such as salient embellishments, might cause the same effect. 
"Factors such as embellishment saliency and editorial styles influenced how people perceived embellished visualisations, which indicates a need to go beyond the binary classification for a more nuanced understanding of embellishments."
"Prior work [20], [22] showed that source is a contributing factor influencing emotional engagement and trust in visualisations. We extend that work by demonstrating the interaction between embellishments and the source. Critically questioning a visualisation can encourage viewers to consider the messy data underlying it. This is because people generally treat visualisations as solid facts [31], and prior work has demonstrated how subtle manipulation in the visualisation influences a reader's perception [23]."</t>
  </si>
  <si>
    <t>presence and style of embellishment</t>
  </si>
  <si>
    <t>took visualizations from news platofrms since they represent the types of vis nonexperts in vis and design would encounter; short pilot study to fiter and select 10</t>
  </si>
  <si>
    <t>mixed?</t>
  </si>
  <si>
    <t>general, UK</t>
  </si>
  <si>
    <t>18
20</t>
  </si>
  <si>
    <t>49.7
39.2</t>
  </si>
  <si>
    <t>10 F
12 F</t>
  </si>
  <si>
    <t>consumers of news media, but not experts in visualization or design, fluent English</t>
  </si>
  <si>
    <t>online interviews, Miro - showed 10 visualizations that had different embellishment types 
follow-up quantitative study asking participants to rate variations of an embellished visualization</t>
  </si>
  <si>
    <t>chart familiarity survey by Pandey et al 2015 (as a proxy for visualization literacy)
Miro (for displaying)
5-point enticement rating scale</t>
  </si>
  <si>
    <t>Ethics Committee</t>
  </si>
  <si>
    <t>thematic analysis</t>
  </si>
  <si>
    <t>Friedman test</t>
  </si>
  <si>
    <t>Recent findings also seem to have promising indications about realism; for instance, Salminen et al. [35] showed that realism increases positive perceptions (e.g., clarity, completeness) about personas. Future research could compare different levels of realism with plain visualisations to understand its impact. ...To mitigate these potential feelings, a designer may find the benefit of showing the visualisation in sequence. This could be beneficial with explanatory visualisations where a designer tries to communicate a single analysis of the data. For instance, show a plain visualisation for the first few seconds and then show highlights and embellished elements through animation or interaction (e.g. viewers clicking or scrolling). This is in line with Kong et al.'s [23] recommendation of delaying showing the title to the viewer to avoid influencing how viewers perceive the visualisation's message. Another option is to empower readers with customisation where the embellished version would be shown only if they choose to by clicking.
we heard from the participants who found some visualisations patronising that they like a pure graph; further work is needed to understand this phenomenon (patronising) in interaction with personal preferences.
Limitations: It was challenging to accommodate [various topics] because we wanted to use visualisations from the media and maintain ecological validity. Nevertheless, these visualisations came from one source type (news) which allowed us to extract insights about the source's impact on embellished visualisations.
-standalone vs full articles</t>
  </si>
  <si>
    <t>not framed about responsibility, but could be related: "embellishments could entice viewers even when the topic is far from personal. This has implications that can help news media where they have available data about visitor's interactions (e.g., dwell time) with different news genres (e.g., politics, sports), which can be used as an index of which visualisations to embellish."
"We also found that embellishments are helpful even when the topic is personally irrelevant. Our findings highlight the importance of investigating embellishments within visualisations published in the media, as our participants attached some pre-existing attitudes and beliefs about the source and the topic to the embellished visualisation. In contrast, we observed that certain embellishment types and their salience could make a chart feel patronising because of the lack of autonomy. "</t>
  </si>
  <si>
    <t>A034</t>
  </si>
  <si>
    <t>Fuest, S; Sester, M; Griffin, AL</t>
  </si>
  <si>
    <t>Nudging travellers to societally favourable routes: The impact of visual communication and emotional responses on decision making</t>
  </si>
  <si>
    <t>As urbanisation increases, in many places, the transport system is suffering from problems that may affect large parts of the urban population, such as traffic congestion or increased air pollution. In both cases, a better distribution of traffic flows could contribute to establishing a more sustainable transport system, and to improve the situation from a societal point of view. In this paper, we use cartographic symbolisation for communicating favourability of route options for achieving a societal benefit. Since map symbols can evoke different emotional responses in the viewer, we investigate to which extent map symbols evoke positive and negative emotions and whether these influence route choice decision making. We created different cartographic visualisations and designed a user study that investigates the effectiveness and suitability of these different visualisation variants for influencing route choice based on two scenarios: traffic and air quality. Fourteen route maps were prepared using different map symbols to symbolise societally favourable and non-favourable route options. The results of this study show that map symbols can be used effectively for influencing route choice towards choosing the favourable route for the two tested scenarios. While visualisations that modify only lines were more effective in the traffic scenario, area symbol modifications were more effective for the air quality scenario. The symbolisation evoked a wide range of emotions in participants. While non-favourable routes mainly evoke negative emotions (particularly fear), favourable routes mainly evoked positive emotions (particularly contentment) or no emotions. The results further demonstrate that for some of the visualisation variants, emotions felt in response to the map visualisations contributed significantly to changing the route choice decisions in favour of the societally favourable route option. The findings of this research demonstrate the relationship between route choice behaviour and emotional responses elicited by map symbols.</t>
  </si>
  <si>
    <t>Nudging to societally favourable routes</t>
  </si>
  <si>
    <t xml:space="preserve">To test cartographic symbolisation for communicating favourability of route options for achieving a social benefit - to which extent map symbols evoke positive and negative emotions, and whether these influence route choice decision-making.
</t>
  </si>
  <si>
    <t>(how) can emotional response influence decision-making lead to direct behaviour change for social benefit</t>
  </si>
  <si>
    <t>- notes that decoding of colour schemes depends highly on cultural colour conventions.
- shapes, contour lines, can symbolize the level of emotional arousal (Nold, 2009)
- Klettner 2019 - the circumplex model of affect
- the visual variable needs to be congruent with the communicated phenomenon
- higher experienced arousal may lead to higher level of motivation and therefore more likely behavioural change (Roeser, 2012)</t>
  </si>
  <si>
    <t>nudging, being subtlely persuaded</t>
  </si>
  <si>
    <t>nudging behaviour</t>
  </si>
  <si>
    <t>Glasgow 2021, Quercia et al. 2014</t>
  </si>
  <si>
    <t>German version of GEW. They also discuss gain vs loss framing, and fear framing - negatively focused loss frame that intends to voke a more extreme, negative emotional response</t>
  </si>
  <si>
    <t>"We investigated which emotions were evoked by the map symbols and whether these emotions lead to choosing a societally favourable route. We used the same visual viarables for representing two diferent environmental phenomena to test the generalisability of the visualization methods."</t>
  </si>
  <si>
    <t>Interest, Amusement, Pride, Joy, Pleasure, Contentment, Love, Admiration, Relief, Compassion, Sadness, Guilt, Regret, Disappointment, Fear, Disgust, Contempt, Hate, Anger</t>
  </si>
  <si>
    <t>Geospatial map</t>
  </si>
  <si>
    <t>line, colour, area geometries</t>
  </si>
  <si>
    <t>Vis Design:
-as persuasive/nudging design choices, colour line chart effective for traffic scenario, area symbols more effective for air quality. Colour combined with other visual variables (distortion, size, spikes, distortion) generally evoked higher proportion of negative emotions even among the favourable routes - and in particular for air quality (likely a negative association with air pollution).
-the icon line chart was effective for communicating different parts of the route, and evoked positive emotions for the favourable route more often
Topic:
-favourable routes are associated with positive or no/neutral emotions, while non-favourable routes are associated mainly with negative emotions, and particularly in the air quality scenario (perhaps due to negative emotions associated with air pollution)
-yet overall no single strategy that is ideal in terms of effectiveness for influencing route choice toward societally favourable route, or for suitability for visually communicating relevant information</t>
  </si>
  <si>
    <t>overall, visual communication for influencing route choice generally seems to work (in the modified maps, participants were more likely to choose the longer, but socially favourable, route - as compared to the non-modified maps where participants would almost always choose the shorter, non-favourable route
Colour line chart effective for traffic scenario, areal symbols for air quality more effective; colour impacts emotional response (particularly for air quality). Transparency and colour area were less effective. Efficacy increases by combinging colour area variant with other visual variables- colour distortion, colour size, colour spikes.
icons line was effective for communicating different parts of the route, and evoked positive emotions for the favourable route more often
Transparency didn't work (participants significantly less likely to choose the socially favourable route)
favourable routes are associated with positive or no/neutral emotions, non-fav routes mainly with negative emotions, and particularly in the air quality scenario (perhaps due to negative emotions associated with air pollution). positive emotions differences between scenarios was a bit less, but variants involving colour area background, colour size, colour spikes, colour distorion, generally evoked higher proportion of negative emotions even among the favourable routes - and in particular for air quality.
yet overall no single strategy that is ideal in terms of effectiveness for influencing route choice toward societally favourable route, or for suitability for visually communicating relevant information
emotions for non-favourable routes are more diverse - fear for variants scribble, icons area, deformation
but also anger, disappointment, regret, disgust
anger associated with colour line in traffic scenario
disgust felt for colour-based variants in air quality scenario and scribble variant- 
interest for non-favourable route - what is the visual trying to communicate, potentially ambiguous sign
favourable route chosen more likely associated with positive emotions  "Supporting hypothesis H5, this finding indicates that both positive and negative emotional responses to map visualisations can influence route choice. However, negative emotions related to non-favourable routes are more likely to influence route choice behaviour than positive emotions related to favourable routes. "
Gender did not really have impact. No meaningful information for comparing age</t>
  </si>
  <si>
    <t>Vis design (colour): -RZ: colour design still appears to be the most impactful; topic has influence in emotional response. Visualization strategies may be application-specific.</t>
  </si>
  <si>
    <t>nudging, transfer framing (Lakoff, 2010) to visual map communication</t>
  </si>
  <si>
    <t>online survey</t>
  </si>
  <si>
    <t>university students and staff</t>
  </si>
  <si>
    <t>126 (73 traffic, 53 air quality)</t>
  </si>
  <si>
    <t>19-67
18-64</t>
  </si>
  <si>
    <t>34F
27F</t>
  </si>
  <si>
    <t>25.4% experts, 49.2% frequent users, 21.4% occasional users, 4% no experience with map usage</t>
  </si>
  <si>
    <t>Custom Questionnaire, Geneva Emotion Wheel</t>
  </si>
  <si>
    <t>Mixed: between subjects (scenario: traffic, air quality), within subjects (modified/non-modified maps)</t>
  </si>
  <si>
    <t>measured anticipated emotions rather than actual emotions when viewing maps</t>
  </si>
  <si>
    <t>University channels</t>
  </si>
  <si>
    <t>regression analysis
post-hoc power analysis
CLMM
Cohen's d (effect size)
ANOVA and Tukey post-hoc</t>
  </si>
  <si>
    <t>consider longer routes
questions about interpreting symbolisation, or difficulties expressing emotions related to a map in general
anticipated emotions were asked instead of measuring actual emotins felt during the experiment
free text descriptions- sentiment analysis not possible with participant responses since they were short
collect only textual description, or directly ask participants to describe their emotions
Geneva wheel may not contain all relevant emotion terms related to this task, e.g. love, sadness may not be appropriate in context of route choice
-confusion, uncertainty, annoyance, stress, boredom could be considered for this context
-allowing for multiple/mixed emotions
Future work: textual descriptions, sonification, aniamtions are potential approaches to enhance effectiveness of influencing route choice by intensifying emotional responses
study additional scenarios with aim to recommend societally favourable routes, and also visual variants
favourable routes remained unmodified visually (except in cases where symbols were in close proximity to the route), where non-favourable routes were modified</t>
  </si>
  <si>
    <t>"Previous research has shown that it is important to address people’s emotions (Roeser, 2012) for understanding the moral impact of the risks related to environmental phenomena." 
"important to apply a suitable framing of the information, since the way information is framed makes a difference regarding how people think about a problem, make decisions, and take actions (Scheufele &amp; Iyengar, 2012). Framing of environmental information is suggested to be most effective when appealing to empathy as well as personal and social responsibility (Lakoff, 2010)." 
- mentions and cites the terms 'gain framing' (emphasizes benefits) and 'loss framing' (negative outcomes) related to environmental impacts. Negative framing of info has a stronger impact on decision making than positive framing. Also mentions 'fear framing' that intends to evoke a more extreme, negative emotional response, and should be used with care, since it could lead to complete avoidance.
the application of framing in the context of map sybmolisation might have helped present this kind of topic (air quality/pollution) as an emotionally closer issue</t>
  </si>
  <si>
    <t>This is a (so far it seems more rare) example of a study where they want to see if emotional engagement can pursuade behaviour change
They state that climate change is psychologically distant for many people because they don't feel directly impacted by the consequences - however we are not seeing this in the fMRI study interviews. They say, "To make environmental issues more tangible, framing can be used to present them as a more prominent, local, closer issue (Spence &amp; Pidgeon, 2010). "</t>
  </si>
  <si>
    <t>A022</t>
  </si>
  <si>
    <t>Kaufmann, DB; Palawat, K; Sandhaus, S; Buxner, S; Mcmahon, E; Ramirez-Andreotta, MD</t>
  </si>
  <si>
    <t>Communicating environmental data through art: the role of emotion and memory in evoking environmental action</t>
  </si>
  <si>
    <t>Innovative approaches to environmental communication are needed to transcend existing scientific knowledge, challenge individual value-action gaps, and engage more people in science. Within a co-created community science project, a case-control study was conducted to determine whether data visualization type could impact participant scientific learning, emotional response, behavioral outcomes, and environmental action. Two novel data sharing types were designed to communicate roof-harvested rainwater data to environmental justice communities: (1) A static booklet and (2) An interactive environmental art installation called Ripple Effect paired with a booklet. Our results indicate that environmental art can not only communicate complex scientific data effectively, but can also overcome barriers associated with traditional science communication by affecting people's emotion and memory-which increases the likelihood of changing their behavior or taking new action in their environment. These results are consistent with the environmental psychology literature; however, we have successfully captured the role of memory and long-lasting impacts of environmental art on pro-environmental health behavior. This research further paves the way for others to create innovative environmental communication formats to communicate environmental health.</t>
  </si>
  <si>
    <t>Ripple Effect</t>
  </si>
  <si>
    <t>Water Usage</t>
  </si>
  <si>
    <t>To understand whether datavis type, shared through a booklet and an interactive environmental art installation, has an impact on scientific learning, emotional response, behavioural outcomes, and environmental action over traditional scicomm methods.</t>
  </si>
  <si>
    <t>Positive impact on emotion and memory can increase likelihood of changing behaviour or taking new action on environmental issues</t>
  </si>
  <si>
    <t>value-action gap in environmental psychology, increased knowledge about the environment does not always translate into increased pro-environmental behaviour
- visual art uses more emotive and personalized techniques may help bridge divide between scientific info and personal action, especially socially-engaged interactive art installations
- art helps disseminate scientific info while facilitating engagement and eliciting an emotional response, which can aid in communication between researchers, practioners, and community members (Arce-Nazario 2016, Baldwin and Chandler 2010, Marks et al 2017), e.g. enriching with aesthetic and sensory experiences
- contemporary art for climate change can help audiences overcome psychological barriers via disrupting daily life routines, promote reflection, or stengthen sense of group identity - may facilitate motivation for change
- brain measuring devices for measuring emotional response not possible in community-based projects
- sentiment analysis can be used, e.g. linguists count 'attitude adverbs' such as amazingly, regrettably, and 'evaluation adjectives' (cool, terrible) as markers of affective stance (Barbieri 2008)
- data sharing events were hosted virtually due to covid years</t>
  </si>
  <si>
    <t>inviting people in and spending more time with scientific concepts, fostering interest and curiosity and reflection, active participation in decision-making</t>
  </si>
  <si>
    <t>capturing attention, interacting with, spending time with, learning, decision-making</t>
  </si>
  <si>
    <t>Sentiment analysis (proxy for emotional measurement)</t>
  </si>
  <si>
    <t>Wilce 2009</t>
  </si>
  <si>
    <t xml:space="preserve">they talk about what's feasible in such a community-based project for studying/measuring emotion. </t>
  </si>
  <si>
    <t>Open-ended based on RQs- what will be the different emotions experienced between the two groups (booklet vs art installation) and how does emotional response impact participants' intention to act?</t>
  </si>
  <si>
    <t>Surprise, Concern, Relief</t>
  </si>
  <si>
    <t>Surprise, Concern, Relief/Pleased</t>
  </si>
  <si>
    <t>Strip plot, Water ripples, Sonification</t>
  </si>
  <si>
    <t xml:space="preserve">- meaning from results were derived through peer-to-peer negotation, talking to research teams, and studying data
-Ripple effect taps into visual/spatial understanding, and had a bigger impact than viewing info graphically; words to describe: suspenseful, fascinating, creative, educational, awesome, multisensory, impressive
- booklet was good for taking home to study further; words to describe: helpful, easy to read, neat, good resource, consistent
- colour coding made information more understandable
- different ways of comparing data (across seasons in a year, households)
- emotional responses to data: more participants were surprised by their data in the Ripple effect project than booklet alone; body language analysis afterward showed animated reactions - 
- surprise response indicated greater likelihood of future behaviour change to better benefit environmental health
- booklet only responses were pleased/relieved and were less likely to take environmental action
- sentiment analysis: booklet only were higher in "information states" (passive, stative, auxiliary verbs associaetd with state of reporting information); Ripple effect were higher in FirstPerson (speaker refers to self and 'we' group) and also 'Metadiscourse Cohesive' (use of words to build cohesive markers to help navigate the text- awareness of listener and needf or elaboration, clarification, guidance, interaction- e.g. after all, on the other hand, to my surprise, perhaps, therefore, however)
- specific memorability of the data sharing event 5 months later was strong for the Ripple effect group; general memory was strong in booklet group - memory recall and data vis type are strongly associated. 
- 7 Ripple effect participants took action after data sharing event compared to 2 booklet participants. 9 took action because of what they saw in their data. Those with stronger memory of the event took action (all ripple effect part.), no one who had a more general memory recall took action
- after year 2 and switching datavis type, Ripple effect was preferred (by 67%), whereas 33% preferred booklet. one participant said they want both
- booklet a benefit bc it's a familiar format, with general sense of relief or pleasantness
- novelty of the tactile/interactive installation facilitated sensory experience that was novel and more attention-grabbing ('alarm', surprise). participants largely described their engagement with the art as an active experience requiring them to pay close attention, whereas booklet was more passive and easy to interpret. "this is like a whole different consciousness and understanding of my environment" - embodied knowledge (Davidson 2004), phenomenology (Merleau-Ponty 2010), physically engaging with an artwork affects human cognition (Duby and Barker 2017). What is gained or lost from sharing data via interactive art vs traditional static graphs?
- booklets necessary for sharing results with others, interpretable by wider audience, and was a useful resource for the art exhibition "boundary object or means of translation (Star and griesemer 1989)."
- booklet was designed through formative evaluation with end-users as a community-centered design framework. The learning outcomes, emotional response, and action could have been different otherwise
- women were more likely to change behaviour than men, regardless of vis type. Adults (36-64yo) were more likely to change behaviour than seniors (65+). "These observations support the need to further understand the connnections between environmental quality, socio-demographic identities, and action"
- sentiment analysis revealed that Ripple effect participants were more likely to place themselves or others at cnter of discussion, address others directly, guiding through thought processes. Booklet only participants were more likely to place data at center of discussion, were in a more formal learning environment and spoke with greater confidence about the data, looked toward future to predict what could happen based on trends in data, as opposed to individual action
-negative emotions (sadness, anger, fear, surprise, concern) were higher in Ripple effect group and they expressed stronger intent to change behaviour/take action, reports of feeling pleased or relieved by the data translated to no action. These findings are concurrent with environmental psychology and emotion literature that describe role of negative emotions in motivating action and/or individual behavioural changes (Rees et al 2014).
</t>
  </si>
  <si>
    <t>static booklet with charts vs interactive installation</t>
  </si>
  <si>
    <t>art installation</t>
  </si>
  <si>
    <t>print, immersive</t>
  </si>
  <si>
    <t>formative evaluation, followed principles of Equity-Centred Community Design
water/soil samples were collected over 2.5 years by participants and then transformed into datavis presented back to them</t>
  </si>
  <si>
    <t>focus groups, longitudinal</t>
  </si>
  <si>
    <t>community members</t>
  </si>
  <si>
    <t>150+</t>
  </si>
  <si>
    <t>60% F</t>
  </si>
  <si>
    <t>25% Spanish speakers
50% self-identifying as low-income or below based guidelines, non-white, not having a college degree</t>
  </si>
  <si>
    <t>community-based participation, focus groups, Interviews</t>
  </si>
  <si>
    <t xml:space="preserve">guided discussion, recorded and transcribed
semi-structured interviews 5-6 months after initial data sharing event
</t>
  </si>
  <si>
    <t>sentiment analysis, qualitative thematic coding</t>
  </si>
  <si>
    <t>chi-squared test on coded responses
two-tailed Wilcoxon ranked sum test</t>
  </si>
  <si>
    <t>- monitoring type for the data collection is a possible confound because participants who submitted samples to a lab got more detailed results than those that did at-home testing - receiving fewer or more results could influence participant data interpretation and action
- emotional reaction and intention to change behaviour would be based on individual data- but booklet only particiapnts mean contaminate concentrations were overall higher than ripple effect individuals
- Docuscope only available in English currently, does not account for linguistic nuances in study cohorts, with particular cultural words/phrases and English as second language; some data sharing events conducted solely in Spanish with recordings translated to English
- environmental art (ripple effect) was of a single focus, so possibility to generalize is low
- some technical difficulties with Ripple effect, or sound interference from neighbouring audio stations; messgaing of exhibition could be counter intuitive (stimuli received when there were contaminants); general navigating of exhibition without assistance could be a challenge. Exhibition that is portable, not tech based, and gives stimulation for lower concentration amounts would be effective. Data comprehension hindered by unclear information and messaging in the booklets, and some visual design aspects were difficult (colours too light on the page)</t>
  </si>
  <si>
    <t>"By addressing social, cultural, and political issues, intuitively linking people to the natural environment, and providing multi-dimensional spaces for people to experience a range of sensory experiences, environmental art can close the value-action gap and play a major role in raising environmental health literacy."</t>
  </si>
  <si>
    <t>Had some questions about the research methodology (which I'm not going into at the time of reading this because I have to move on) - but it's unclear why they labelled the booklet-only group the control and the Ripple effect the case group, when they ended up switching in the second round (for those who participated in the whole thing) so participants were exposed to both formats. Also, the ripple group already saw the booklet, too.
It wasn't clear how they split participants for data collection- who sent their samples to a lab and who did DIY - and how they were sorted into datavis format (because they said the DIY group had less detailed results, but the booklet group had higher contaminant results...) it was all rather unclear, or I didn't read carefully.
Their description of the emotional responses via sentiment analysis was also not so explicit - they are suggesting that the ripple effect group had higher self-reference and more connection to the data and each other than the booklet group, so that implies stronger emotional connection? Otherwise the outcome was clear.. more emotional response in the interactive art than booklet, which also was more likely to lead to behavioural change.
This is an example of a longer-term follow up study which is good, in an attempt to track actual behaviour change rather than merely intent, where other studies don't track actual change or are only hypothetical in nature</t>
  </si>
  <si>
    <t>A017</t>
  </si>
  <si>
    <t>Li, N; Villanueva, II; Jilk, T; Van Matre, BR; Brossard, D</t>
  </si>
  <si>
    <t>Artistic representations of data can help bridge the US political divide over climate change</t>
  </si>
  <si>
    <t>Communication using visual arts combined with self-reflection led to less politically polarized perceptions of the relevance of climate change than communication using data graphs, in controlled experiments with 671 US-based adults. Visual art has been used to revamp the portrayal of climate change with the aims of engaging emotions and expanding nonexperts' psychological capacity to perceive its relevance. However, empirical evidence supporting the effectiveness of artistic representation of data as a tool for public communication is lacking. Using controlled experiments with two national samples of U.S. adults (total N = 671), here we found that artistic visualizations elicited stronger positive emotions than informationally equivalent data graphs but did not differ in their perceived credibility or effectiveness as visual aids for learning. When used to prompt individual reflection, artistic visualizations appeared to mitigate the political division in viewers' perceived relevance of climate change that could otherwise be exacerbated by exposure to data graphs.</t>
  </si>
  <si>
    <t>Artistic representations of data bridge divide over climate</t>
  </si>
  <si>
    <t>Life Sciences Communication</t>
  </si>
  <si>
    <t>To understand the role of visual art used in datavis (over standard visualizations alone) in engaging emotions of audiences, and expanding nonexperts' capacity to perceive relevance.
Part 2: We wondered if offering reflective primes, such as prompting viewers to reflect on the meaning of and emotions evoked by the shown visuals, would interfere with the proposed depolarizing effect of artistic visualizations. In other words, do artistic visualizations still mitigate the polarizing effect that could otherwise be exacerbated by data graphs when viewers are prompted to ponder what they have seen and felt from the images?</t>
  </si>
  <si>
    <t>Emotions may serve to unite politically divided audiences about topics like climate change. Emotional connection, elicited by the use of visual art combined with data visualizations, can enhance learning (but impact on trust/credibility of artist/data is uncertain).</t>
  </si>
  <si>
    <t>avoidance emotions such as anxiety are thought to mitigate strong political beliefs, make people more open to opposing views or corrections.
artistic representations of data can evoke anxiety or similar emotions by portraying the tangible reality of climate change (Klöckner 2021, Bentz 2020)
consider the role of social media in being able to reach more diverse audiences, who might not necessarily attend science museums and/or art galleries
"More importantly, we questioned if enhancing the data-based communication of climate change with visual art could help bridge the political divide on climate change"
"Artistic representations of data, nonetheless, can potentially attenuate the polarizing effect of data graphs by engaging certain emotions that mitigate motivated attention and reasoning. Specifically, avoidance emotions, such as anxiety, can “promote the consideration of opposing views and a willingness to compromise”, regardless of the accuracy of the presented view22,23."</t>
  </si>
  <si>
    <t>no formal definition of emotional engagement, seems to focus on engagement as interacting with a visualization</t>
  </si>
  <si>
    <t>interacting with, reflecting on</t>
  </si>
  <si>
    <t>Gevena Emotion Wheel (modified)</t>
  </si>
  <si>
    <t>avoidance and positive emotions described;
artist intended for a negative connotation or valence with the artistic design</t>
  </si>
  <si>
    <t>Happiness, Awe, Inspired, Enthusiastic, Hope, Sadness, Anger, Disappointment, Uneasiness, Fear</t>
  </si>
  <si>
    <t>Happiness, Awe, Inspired, Enthusiastic, Hopefulness, Sadness, Anger, Disappointment, Uneasiness, Fear</t>
  </si>
  <si>
    <t>artistic representations evoked stronger positive emotions than data graphs as the main effect of art was significant; stimuli with detailed graphs elicited stronger negative emotions than the ones with simplified graphs as main efect of detailed was significant. Original art piece elicited highest positive emotions, edited data graph (without context) elicited lowest levels of positive emotions, and negative emotions.
Further, the stimuli with detailed graphs elicited stronger negative emotions than the ones with simplified graphs as the main effect of detailed was significant
Those interested in visual art were more likely to perceive negative emotions from the artistic vis. Those less interested in art had stronger negative emotions from the data graphs.
Posts containing artistic visualiations were perceived to be as memorable and credible as those containing graphs. Artistic vis also seemed to mitigate polarization of relevance to CC and political leaning...
the chosen art piece elicited more positive emotions than the comparable data graphs, despite the negative valence intended by the artist. Could be because of aesthetically pleasing look, and/or observed effect (taking part in study)
"An artistic revamping of scientific graphs, nevertheless, could enrich the narrative inherent to data with emotions while expanding the viewers’ psychological capacity to conceive of their position within larger ecologies."
In other words, participants were less politically polarized in their perceived relevance of climate change when viewing artistic visualizations than when viewing data graphs.</t>
  </si>
  <si>
    <t xml:space="preserve"> (art) added to Line, could be seen as 'visual embellishment'</t>
  </si>
  <si>
    <t>44y</t>
  </si>
  <si>
    <t>50.7% F</t>
  </si>
  <si>
    <t>27.6% HS ed, 22.6% bachelors ('generally reflective of the US population'), 74.4% white</t>
  </si>
  <si>
    <t>measuring emotional response adapted from Klöckner, C. A. &amp; Sommer 2021</t>
  </si>
  <si>
    <t>online panels (Forthright)</t>
  </si>
  <si>
    <t>Cronbach's alpha, post hoc comparison, ANOVA, ANCOVA</t>
  </si>
  <si>
    <t>Possible interference of multiple variables modified in the stimuli, which can confound findings.
Identify the specific characteristics of artistic visualizations that can enhance perceived credibility, such as data source. 
Take a mixed methods approach to understand how reflecting about data art pieces may bring politically divided people together on cc.
opporutnities to understand the diverse motivations behind creation of artistic representations of sci. info and examine how they are processed in various cultural, educational, and communication contexts.
other design elements might be at play, hard to generalize to all art
"Future studies should create or select a diverse set of comparable artistic and graphical representations of climate change data not only to examine its emotional and cognitive effects, but also to identify the specific characteristics that are associated with certain responses. An evidence-based understanding of such relationships will inform future practice that leverages both art and science to facilitate public engagement with climate change"
"Our findings not only inform ongoing conversations about how science and art can work together to reckon with the impending environmental crisis, but they also suggest new opportunities for practitioners and researchers in climate science, communication, environmental humanities, psychology, and sociology to continue collaborative, interdisciplinary work in this area."
Using artistic representations of data to merely attract attention or adorn informational texts may not fulfill art’s full potential as a tool for public engagement. However, it should be noted that no artworks are created with unanimous goals in mind. A review of science-art programs in the U.S. revealed that although many of them aimed to inspire public action or activism, other programs attempted to foster interdisciplinary work between artists and scientists or enhance learning through creativity16. Future researchers should be aware of the diverse motivations behind the creation of artistic representations of scientific information and examine how they are processed in various cultural, educational, and communication contexts.
"Results of this study suggest that artistic representations of data, as compared to scientific data graphs, mitigate the political division in individuals’ perceived relevance of climate change when the appraisal process involves self-reflection (i.e., writing about what they have seen and felt from the images). However, to further understand how and why prompted reflection upon art pieces may help bring politically divided citizens together on the issue of climate change, researchers should consider conducting mixed methods research that concordantly collects and analyzes quantitative and qualitative data."</t>
  </si>
  <si>
    <t>The artist intended for a negative valence in the artwork, yet the artistic visualization was perceived as positive by participants, perhaps because it was aesthetically pleasing.
"imperative for scientist-artists to be aware of audience differences and not assume homogenous emotional or cognitive responses to their work."
"climate change art can evoke distinct emotions as a function of various (artistic) features, including color, depicted content, even the size of the artwork or where it is installed18. Therefore, the findings obtained from one piece of artwork created by one American artist may not be generalizable to all climate change art. Future research should expand on the findings of this study and further explore how different types of visual art—created by other scientists and artists—can increase the perceived relevance of climate change for people living in countries other than the U.S.
As artistic representations of data have been increasingly created and used to encourage pro-climate actions around the world18, it is imperative to investigate how this innovative approach of public-facing communication might work, for instance, in some of the Global South countries that are more vulnerable to the risks of climate change."
"Instead, future researchers should use our findings as motivation to further explore how (1) alternative visual discourses infused with hope and (2) community participatory creation of art (e.g., through a collaboration between scientist-artists and target audiences) may be more effective in mitigating political polarization in the U.S. on the issue of climate change."</t>
  </si>
  <si>
    <t>could relate this to the image or information study - see if they have similar findings re: emotional response. also risingEMotions as an example of collaboration between researcher/artist and the public to elicit different types of emotions about climate change</t>
  </si>
  <si>
    <t>A025</t>
  </si>
  <si>
    <t>Mittenentzwei, S; Weiss, V; Schreiber, S; Garrison, LA; Bruckner, S; Pfister, M; Preim, B; Meuschke, M</t>
  </si>
  <si>
    <t>Do Disease Stories Need a Hero? Effects of Human Protagonists on a Narrative Visualization about Cerebral Small Vessel Disease</t>
  </si>
  <si>
    <t>Authors use various media formats to convey disease information to a broad audience, from articles and videos to interviews or documentaries. These media often include human characters, such as patients or treating physicians, who are involved with the disease. While artistic media, such as hand-crafted illustrations and animations are used for health communication in many cases, our goal is to focus on data-driven visualizations. Over the last decade, narrative visualization has experienced increasing prominence, employing storytelling techniques to present data in an understandable way. Similar to classic storytelling formats, narrative medical visualizations may also take a human character-centered design approach. However, the impact of this form of data communication on the user is largely unexplored. This study investigates the protagonist's influence on user experience in terms of engagement, identification, self-referencing, emotional response, perceived credibility, and time spent in the story. Our experimental setup utilizes a character-driven story structure for disease stories derived from Joseph Campbell's Hero's Journey. Using this structure, we generated three conditions for a cerebral small vessel disease story that vary by their protagonist: (1) a patient, (2) a physician, and (3) a base condition with no human protagonist. These story variants formed the basis for our hypotheses on the effect of a human protagonist in disease stories, which we evaluated in an online study with 30 participants. Our findings indicate that a human protagonist exerts various influences on the story perception and that these also vary depending on the type of protagonist.</t>
  </si>
  <si>
    <t>Do Disease Stories Need a Hero</t>
  </si>
  <si>
    <t>Cardiovascular</t>
  </si>
  <si>
    <t>Investigates the protagonist's influence on user experience in terms of engagement, identification, self-referencing, emotional response, perceived credibility, and time spent in the story.</t>
  </si>
  <si>
    <t>"Emotions play a major role in the persuasion of a narrative." Looking at emotional flow in the user experience for health-related stories.</t>
  </si>
  <si>
    <t>References O'Brien et al.'s six attributes of engagement and ways to assess (excluding aesthetics and perceived usability) as these are not influenced by protagonists. Attributes include: focused attention, novelty, endurability, involvement.</t>
  </si>
  <si>
    <t>Six attributes of engagement</t>
  </si>
  <si>
    <t>Emotional flow</t>
  </si>
  <si>
    <t>Alam &amp; So 2020</t>
  </si>
  <si>
    <t>Emotional flow is the shift in emotions throughout an experience. Alam et al investivated emotional flow in narratives, related to measuring shift betwen behavioural status and behavioural intention.</t>
  </si>
  <si>
    <t>six attributes: focused attention, novelty, endurability, involvement. Excludes aesthetics and perceived usability.</t>
  </si>
  <si>
    <t xml:space="preserve">Emotional flow (Alam et al.) as proxy for indicating shift between behavioural status and behavioural intention (in this case, toward better lifestyle habits). </t>
  </si>
  <si>
    <t>Valence</t>
  </si>
  <si>
    <t>Pictograph, Scientic Illustration (3D model)</t>
  </si>
  <si>
    <t>including a human protagonist in disease stories was more engaging (more focused attention, endurability, involvement). All 3 conditions scored similarly in terms of novelty (likely due to content). Cannot make a general statement about engagement.
Emotional response was neutral for physician-centred story (but credibility was higher with this condition); and positive for patient-centred and base stories - but cannot identify a general influence of human protagnoists on the emotional flow (likely because users tend to underestimate personal risk, therefore low motivation to change lifestyle).
Human protagonists may influence perceived time spent with a story, more willingness to spend time with the story in this case.</t>
  </si>
  <si>
    <t>character POV: Adapted Hero's Journey for visual representation of main protagonist (point-of-view in storytelling) - patient-centered, physician-centered, neutral (no human protagonist)</t>
  </si>
  <si>
    <t>character, Campbell's Hero's Journey model</t>
  </si>
  <si>
    <t>Not specifically, but a first paper describes the design process and initial evaluation</t>
  </si>
  <si>
    <t>18-24</t>
  </si>
  <si>
    <t>37% F</t>
  </si>
  <si>
    <t>70% Germany/13% Norway 
70% Bachelors
Also measured visual and health literacy</t>
  </si>
  <si>
    <t>3 conditions: patient, physician, neutral</t>
  </si>
  <si>
    <t>Survey Circle, SurveySwap, LinkedIn, Reddit, university students, personal connection(?)</t>
  </si>
  <si>
    <t>Wording of some questions in the survey might be open to interpretation, leading to unexpected results e.g. with emotional flow (should therefore have space for participants to elaborate)
Focus on one topic (studies on other topics, e.g. cancer, may show different results)
Cannot say how much participants relied on visual information (because there was still a lot of text in each of the stories). 
Representing 'family/other supporting characters' may be important.
Statistically not representative.
Limitations in terms of recruitment.</t>
  </si>
  <si>
    <t>Tension between (lower) emotional engagement and (higher) credibility about information coming from a source perceived to be authoritative (physicians).
Building trust with audience is important - "showing that the story was created by reputable and trustworthy institutions has as much or even more influence on credibility as the presentation of a domain expert in our study."</t>
  </si>
  <si>
    <t>A039</t>
  </si>
  <si>
    <t>Sorapure, M</t>
  </si>
  <si>
    <t>User Perceptions of Actionability in Data Dashboards</t>
  </si>
  <si>
    <t>This article reports on a multiphase study designed to understand how nonexpert users interact with COVID-19 data dashboards, particularly in terms of the dashboards' actionability, or ability to support decision making. Analysis of the videos and transcriptions of user interviews shows the variable relevance of proposed criteria for dashboard actionability and suggests additional criteria for users' emotional responses to data and for the presentation of data at degrees of personal and local granularity. These findings advance an understanding of how nonexpert audiences interact with and derive value from complex visualized data.</t>
  </si>
  <si>
    <t>Actionability of data dashboards</t>
  </si>
  <si>
    <t xml:space="preserve">To understand how nonexpert users interact with Covid-19 data dashboards, in particular their ability to support decision-making (actionability). </t>
  </si>
  <si>
    <t>Emotional responses to high-consequence public health data impact decision-making. Criteria for actionability alone are not enough.</t>
  </si>
  <si>
    <t>"unprecedented public engagement with data" during the pandemic (Frith 2021)"
" In addition, although Ivanković et al. specifically developed these actionability criteria for COVID-19 dashboards, this study suggests that the criteria did not capture the importance of users’ emotional responses to the data or their desire for data with personal and local granularity."
"All data visualizations are rhetorical objects, the result of human choices about what data to create or select and how to present it to specific audiences (e.g., D'ignazio &amp; Klein, 2020; Drucker, 2011; Hullman &amp; Diakopoulos, 2011; Rosenberg, 2013)."</t>
  </si>
  <si>
    <t>"data visualizations also served to engage, inform, educate, persuade, model possible future outcomes, and perform other rhetorical functions for nonexpert audiences."</t>
  </si>
  <si>
    <t>emotional valence</t>
  </si>
  <si>
    <t>Kostelnick 2016</t>
  </si>
  <si>
    <t>they reference Kostelnick 2016 in the discussion, about emotional valence</t>
  </si>
  <si>
    <t>what came out in the interviews</t>
  </si>
  <si>
    <t>Fear, Anxiety, Stress, Aesthetic Appeal</t>
  </si>
  <si>
    <t>Fear, Anxiety, Stress
Aesthetic preferences</t>
  </si>
  <si>
    <t>various</t>
  </si>
  <si>
    <t>Various (dashboard)</t>
  </si>
  <si>
    <t>Emotional Response:
-emotional impact of the data is not captured in Ivanković's actionability criteria. Reading the dashboards was stressful or scary. “It's just a lot to digest, right? And that takes mental strength. It takes energy, it takes capacity." 
Topic:
-the dashboards are reminders of past worries, might trigger anxiety about possible future developments. The amount of data presented, the aggregated risk level elicited these emotional reactions evoked negative emotional responses. "This is too much to bear." expressing the kind of visceral level emotional reaction described by Norman and Ortony (2003).
-feeling stressed might inhibit people from taking action or encourage them to make decisions that don't correspond with the data, or even cause them to purposely ignore the data.
Personal experience:
-participants looked for information that was personally relevant
-personal experiences/perspectives, and occupation/education (e.g., as a scientist, student, someone who had to travel a lot during early pandemic days, etc.) influence how people interpret dashboards
Vis Metadata and Data source:
-participants did not often check background information and metadata/information (wrt to the third criterion of dashboard evaluation, that dashboard designers report their sources and methods clearly), yet for the most part participants still found the dashboards trustworthy, (only one participant disagreed). Trustworthiness was based on prior knowledge and experiences</t>
  </si>
  <si>
    <t>KEY RELEVANT RESULTS: emotional impact of the data is not captured in Ivanković's actionability criteria. Reading the dashboards was stressful or scary. " “It's just a lot to digest, right? And that takes mental strength. It takes energy, it takes capacity." the dashboards are reminders of past worries, might trigger anxiety about possible future developments. The amount of data presented, the aggregated risk level elicited these emotional reactions. "This is too much to bear." expressing the kind of visceral level emotional reaction described by Norman and Ortony (2003).
-feeling stressed might inhibit people from taking action or encourage them to make decisions that don't correspond with the data, or even cause them to purposely ignore the data.
-Thus, accounting for the emotional impact of data dashboards, especially in the context of the pandemic or other high-risk contexts, would be a helpful addition to an analysis of their actionability.
-participants looked for information that was personally relevant
-mentioned the perspectives they were bringing to the dashboards, reading as a scientist, student, someone who had to travel a lot during early pandemic days, etc.
-"dashboard designers are challenged to make their work relevant for audiences with a wide array of personal experiences and perspectives."
-"In terms of the third criterion—that dashboard designers report their sources and methods clearly—participants for the most part did not check the data background or meta level information that was provided fairly prominently at both dashboards. Nevertheless, they reported in the survey that they found the data at both dashboards to be trustworthy, with only one participant disagreeing with the statement “I trust the data presented by the dashboard.” In discussing their impressions of the data's reliability during the interview, participants mostly assessed the data in terms of their previous knowledge and experiences. Although dashboards should certainly report data sources and methods, designers of dashboards for general audiences could further explore the extent to which their nonexpert users assess the credibility of data via other means. For instance, links to or mentions of news sources might help to enhance the trustworthiness of the dashboard for general users (see also Schneider et al., 2021)."
"Overall, the interviews suggest that dashboard designers need to attend to the granularity of local data as they think through the “close to home” criterion. Of course, data sets at the level of granularity that users desire (in this case, city or neighborhood data) may simply be unavailable. Research with nonexpert users of data dashboards can reveal important gaps in the current data infrastructure, especially as these gaps impact risk communication for the broader public."
-information about similar demographics was not sought. but incomplete reporting of impacts of e.g., pandemic 'obscure the virus's impact on marginalized communities; low status given to demographic dta by virtue of its marginal placement might be seen as another manifestation of data visualization that replicates existing structures of power and inequality.'
-clear more open dashboard design was preferred, easier to read</t>
  </si>
  <si>
    <t xml:space="preserve">Emotion is a feature, not a bug. Accounting for the emotional impact of data dashboards, especially in the context of the pandemic or other high-risk contexts, would be a helpful addition to an analysis of their actionability (not only usability and cognitive measures).
Personalization/Relevance: "Dashboard designers are challenged to make their work relevant for audiences with a wide array of personal experiences and perspectives."
Local news sources: links to or mentions of news sources might help to enhance the trustworthiness of the dashboard for general users (see also Schneider et al., 2021; RZ: similar to what was mentioned in the Black community and Rural Pennsylvania papers)." "dashboard designers need to attend to the granularity of local data as they think through the “close to home” criterion. Of course, data sets at the level of granularity that users desire (in this case, city or neighborhood data) may simply be unavailable. Research with nonexpert users of data dashboards can reveal important gaps in the current data infrastructure, especially as these gaps impact risk communication for the broader public."
Underrepresented communities: information about similar demographics was not sought. but incomplete reporting of impacts of e.g., pandemic 'obscure the virus's impact on marginalized communities; low status given to demographic data by virtue of its marginal placement might be seen as another manifestation of data visualization that replicates existing structures of power and inequality.'
For research (and practice) wrt Vis Metadata and Dataset source: Although dashboards should certainly report data sources and methods, designers of dashboards for general audiences could further explore the extent to which their nonexpert users assess the credibility of data via other means.
Vis Design and complexity: clear more open dashboard design was preferred, easier to read
</t>
  </si>
  <si>
    <t>2 dashboard types</t>
  </si>
  <si>
    <t>proximity (geographic location)</t>
  </si>
  <si>
    <t>Ivanković criteria for actionable dashboards used to assess</t>
  </si>
  <si>
    <t>general, residents of Santa Barbara County</t>
  </si>
  <si>
    <t>54
10 for interviews</t>
  </si>
  <si>
    <t>NR</t>
  </si>
  <si>
    <t>better familiarity with dashboards</t>
  </si>
  <si>
    <t>Adapted Questionnaire, Custom semi-structured interview protocol</t>
  </si>
  <si>
    <t>Usability study</t>
  </si>
  <si>
    <t>survey with 7 actionability items
interview</t>
  </si>
  <si>
    <t>Next Door Neighbour</t>
  </si>
  <si>
    <t>phrasing of survey questions (open-ended rather than 'do you agree').
-small group...larger study, heterogenaity of group
-proximity (local to national or global dashboards), especially given the challenges of understanding and attending to users targeted by these dashboards of diff scope
-more time to explore the dashaboards - time to interact can impact how users prceive the dashboard as effectively providing helpful info or support decision-making
-context: timing of study (after peak of pandemic but before new wave) - people had maybe accommodated to the pandemic in terms of decisions
-actionability criteria developed specifically for Covid-19 - "technical communicators and rhetoricians could test and revise these criteria in assessing dashboards or other data visualization genres across a range of contexts and purposes. This study, then, suggests a comparative and contextual method that could be replicated in order for researchers in areas such as risk, health, and medical communication and user experience to better understand and design for nonexpert users seeking to learn from and act on complex visualized information."</t>
  </si>
  <si>
    <t>nothing per se - but more that the author stresses the importance of considering emotional impact for how users perceive and respond to data about public health and risk communication</t>
  </si>
  <si>
    <t>A063</t>
  </si>
  <si>
    <t>Wu, Keke; Tran, Michelle Ho; Petersen, Emma; Koushik, Varsha; Szafir, Danielle Albers</t>
  </si>
  <si>
    <t>Data, Data, Everywhere: Uncovering Everyday Data Experiences for People with Intellectual and Developmental Disabilities</t>
  </si>
  <si>
    <t>https://dl.acm.org/doi/10.1145/3544548.3581204</t>
  </si>
  <si>
    <t>10.1145/3544548.3581204</t>
  </si>
  <si>
    <t>Data is everywhere but may not be accessible to everyone. Conventional data visualization tools and guidelines often do not actively consider the specific needs and abilities of people with Intellectual and Developmental Disabilities (IDD), leaving them excluded from data-driven activities and vulnerable to ethical issues. To understand the needs and challenges people with IDD have with data, we conducted 15 semi-structured interviews with individuals with IDD and their caregivers. Our algorithmic interview approach situated data in the lived experiences of people with IDD to uncover otherwise hidden data encounters in their everyday life. Drawing on findings and observations, we characterize how they conceptualize data, when and where they use data, and what barriers exist when they interact with data. We use our results as a lens to reimagine the role of visualization in data accessibility and establish a critical near-term research agenda for cognitively accessible visualization.</t>
  </si>
  <si>
    <t>Data, Data, Everywhere</t>
  </si>
  <si>
    <t>Accessibility</t>
  </si>
  <si>
    <t>To characterize the data needs and perceptions of people with IDD to identify key problems for accessible data use, and provide awareness for critical issues in vis. to understand how data is encountered in everyday life for people with IDD</t>
  </si>
  <si>
    <t>conventional design approaches preclude full engagement amongst IDD individuals. understanding what techniques make individuals relate/engage better with the data ("feel the data more") are explored.</t>
  </si>
  <si>
    <t>ID affects approx 2% of the pop (in the US). 
IDD - when intellectual disability and other developmental disabilities are present.
independence varies depending on severity of IDD
approx 60% of IDD people use symbolic methods like pictures, symbols, signs, or speech to communicate. some lack verbal abilities, and rely on caregivers etc. Designing for these diverse needs is complex.
Beyond Words - pictures to create scenarios for people with IDD that evoke emotional experience and expression.
carefully crafted interactive visuals can support autonomy for people with IDD</t>
  </si>
  <si>
    <t>both?</t>
  </si>
  <si>
    <t>spending time with, showing interest</t>
  </si>
  <si>
    <t>spending time with, showing interest, actively participating</t>
  </si>
  <si>
    <t>empathy mapping</t>
  </si>
  <si>
    <t>Gibbons 2018</t>
  </si>
  <si>
    <t>Empathy mapping is a design thinking approach to construct meaning out of data, allows researchers to understand the reason behind a person's actions, "which is especially critical for understanding the experience of a diverse and historically marginalized population."</t>
  </si>
  <si>
    <t>feeling, positive or negative experiences with data, what came up in the interviews</t>
  </si>
  <si>
    <t>Joy, Anxiety</t>
  </si>
  <si>
    <t>-how IDD people conceptualize data: stereotypes about data lead (e.g., thinking data is only for tech users) to apathy, misunderstanding. Perceived relevance, self-confidence in data led people to conceptualize about it in diff ways. data-apathy correlated with low literacy/self-confidence about data, also abstract sense and authoritative.
-when and where they use data: tool for storytelling, narrative visualizations can serve as persuasive tool to shift stigmas and build pwerful narratives for and about people with IDD- inform others about the needs and abilities of such individuals.
-what barriers exist for interacting with data- disability and (low) data literacy
recommendations: improve data relevance through personalization - via topic, etc
- the idea of 'data' gave many anxiety becauseo f cognitive overload, overwhelm. Also an invisible emotional challenge - data often linked to personal identity yet characterize data on a personal level (?). long-term stigma about intellectual disability may lead to self-stigma. How can we design visualizations that make data less intimidating, and how can visualization link data to identity in more positive ways?
- data was less overwhelming when it came as a narrative; putting data in a compelling format like data videos, comics, or games
-humanize data with creative representations - having and presenting the rich context in which data is collected is key to successful communication and accruate undersatnding.
authoring tools for people with IDD Should enable people to craft data stories starting from the story itself and drilling down into the data, rather than other way around</t>
  </si>
  <si>
    <t>people with IDD</t>
  </si>
  <si>
    <t>20–50</t>
  </si>
  <si>
    <t xml:space="preserve">self-identified as having mild to moderate IDD </t>
  </si>
  <si>
    <t>qualitative, structured interviews</t>
  </si>
  <si>
    <t>interview guide</t>
  </si>
  <si>
    <t>local network, national or regional IDD orgs in US</t>
  </si>
  <si>
    <t>qualitative thematic coding, empathy maps</t>
  </si>
  <si>
    <t>-formal diagnoses not given/asked for, so direct correllations can't be made
-broader population to interview/test with, more energy after seeing people here</t>
  </si>
  <si>
    <t xml:space="preserve">-the authors stated codesigning with IDD individuals on data physicalizations, and other 'unplugged' visualization techniques would be ethical since it may promote accessibility and allow IDD individuals to develop better data literacy, engage in data-drive nactivities, and raise data waareness in everyday decision-making, by removing technological obstacles.
</t>
  </si>
  <si>
    <t>Note: their follow-on study, 'our data' is about self-reporting data (incl. about emotions) so it is emotional visualization not something else. so that would not be included</t>
  </si>
  <si>
    <t>A059</t>
  </si>
  <si>
    <t>Chowdhury, Tilottama G.; Norberg, Patricia; Asare, Anthony K.; Kang, Jun; Bannor, Richard</t>
  </si>
  <si>
    <t>“What makes me click?” The effects of images and color in consumer-based pandemic health messages</t>
  </si>
  <si>
    <t>https://doi.org/10.1080/10696679.2022.2039875</t>
  </si>
  <si>
    <t>10.1080/10696679.2022.2039875</t>
  </si>
  <si>
    <t>Health messaging for diseases has been an important research area in marketing. The objectives of this research are to explore response to health communications for highly threatening pandemics. We demonstrate that, in addition to message framing, imagery and text color affect intentions to respond to pandemic messages. We find that social imagery combined with positive framing increases intentions to respond, and that text in blue further increases response to messages. These results suggest that text color and social imagery matter when attempting to engage consumers in health messages about highly threatening diseases.</t>
  </si>
  <si>
    <t>What makes me click?</t>
  </si>
  <si>
    <t>Exclude: No use of datavis, only imagery and text (only data is some % shown). But this could still be referenced for other findings, perhaps</t>
  </si>
  <si>
    <t>A060</t>
  </si>
  <si>
    <t>Holder, Eli; Bearfield, Cindy Xiong</t>
  </si>
  <si>
    <t>Polarizing Political Polls: How Visualization Design Choices Can Shape Public Opinion and Increase Political Polarization</t>
  </si>
  <si>
    <t>https://ieeexplore.ieee.org/document/10290962/</t>
  </si>
  <si>
    <t>While we typically focus on data visualization as a tool for facilitating cognitive tasks (e.g. learning facts, making decisions), we know relatively little about their second-order impacts on our opinions, attitudes, and values. For example, could design or framing choices interact with viewers’ social cognitive biases in ways that promote political polarization? When reporting on U.S. attitudes toward public policies, it is popular to highlight the gap between Democrats and Republicans (e.g. with blue vs red connected dot plots). But these charts may encourage social-normative conformity, influencing viewers’ attitudes to match the divided opinions shown in the visualization. We conducted three experiments examining visualization framing in the context of social conformity and polarization. Crowdworkers viewed charts showing simulated polling results for public policy proposals. We varied framing (aggregating data as non-partisan “All US Adults,” or partisan “Democrat” / “Republican”) and the visualized groups’ support levels. Participants then reported their own support for each policy. We found that participants’ attitudes biased significantly toward the group attitudes shown in the stimuli and this can increase inter-party attitude divergence. These results demonstrate that data visualizations can induce social conformity and accelerate political polarization. Choosing to visualize partisan divisions can divide us further.</t>
  </si>
  <si>
    <t>Polarizing Political Polls</t>
  </si>
  <si>
    <t>Exclude: does not explicitly deal with or measure emotional engagement. talks about polarization, which is more about beliefs and attitudes toward topics, which may have an emotional component, but they do not discuss this</t>
  </si>
  <si>
    <t>A061</t>
  </si>
  <si>
    <t>Markant, Douglas; Rogha, Milad; Karduni, Alireza; Wesslen, Ryan; Dou, Wenwen</t>
  </si>
  <si>
    <t>When do data visualizations persuade? The impact of prior attitudes on learning about correlations from scatterplot visualizations</t>
  </si>
  <si>
    <t>https://dl.acm.org/doi/10.1145/3544548.3581330</t>
  </si>
  <si>
    <t>10.1145/3544548.3581330</t>
  </si>
  <si>
    <t>Data visualizations are vital to scientific communication on critical issues such as public health, climate change, and socioeconomic policy. They are often designed not just to inform, but to persuade people to make consequential decisions (e.g., to get vaccinated). Are such visualizations persuasive, especially when audiences have beliefs and attitudes that the data contradict? In this paper we examine the impact of existing attitudes (e.g., positive or negative attitudes toward COVID-19 vaccination) on changes in beliefs about statistical correlations when viewing scatterplot visualizations with different representations of statistical uncertainty. We find that strong prior attitudes are associated with smaller belief changes when presented with data that contradicts existing views, and that visual uncertainty representations may amplify this effect. Finally, even when participants’ beliefs about correlations shifted their attitudes remained unchanged, highlighting the need for further research on whether data visualizations can drive longer-term changes in views and behavior.</t>
  </si>
  <si>
    <t>When do data visualizations persuade?</t>
  </si>
  <si>
    <t>Exclude: already discussed in the earlier study, this deals with beliefs and attitudes, tangential discussion about emotion but not actually the focus of this paper</t>
  </si>
  <si>
    <t>A062</t>
  </si>
  <si>
    <t>Wu, Keke; Szafir, Danielle Albers</t>
  </si>
  <si>
    <t>Empowering People with Intellectual and Developmental Disabilities through Cognitively Accessible Visualizations</t>
  </si>
  <si>
    <t>https://ieeexplore.ieee.org/document/10339930/?arnumber=10339930</t>
  </si>
  <si>
    <t>Data has transformative potential to empower people with Intellec-tual and Developmental Disabilities (IDD). However, conventional data visualizations often rely on complex cognitive processes, and existing approaches for day-to-day analysis scenarios fail to consider neurodivergent capabilities, creating barriers for people with IDD to access data and leading to even further marginalization. We argue that visualizations could be an equalizer for people with IDD to participate in data-driven conversations. Drawing on preliminary research findings and our experiences working with people with IDD and their data, we introduce and expand on the concept of cognitively accessible visualizations, unpack its meaning and roles in increasing IDD individuals' access to data, and discuss two immediate research objectives. Specifically, we argue that cognitively accessible visualizations should support people with IDD in personal data storytelling for effective self-advocacy and self-expression, and balance novelty and familiarity in data design to accommodate cognitive diversity and promote inclusivity.</t>
  </si>
  <si>
    <t>Empowering with Cognitively Accessible Visualizations</t>
  </si>
  <si>
    <t>Exclude: this references the Data Data Everywhere paper but presents a set of guidelines for more accessible datavis design - could still be useful then to reference as part of a framework, but is not a study</t>
  </si>
  <si>
    <t>A014</t>
  </si>
  <si>
    <t>Zhang, B; Zhang, Y; Pan, Y</t>
  </si>
  <si>
    <t>Accepting the Digital Challenge: Public Perceptions and Attitudes toward Interactivity in Data Journalism</t>
  </si>
  <si>
    <t>Korea (study conducted in China)</t>
  </si>
  <si>
    <t>In the context of digitization, traditional journalism is facing transformation and innovation. Among them, the interactivity of visual graphics in data journalism is crucial for attracting and retaining online users, but few studies have examined public perceptions and attitudes toward it. In this study, we proposed a model to validate the relationship between users' perceived interactivity and their attitudes toward data journalism, and we included user affective and cognitive factors (enjoyment and engagement) related to this as possible mediating variables in the model for validation. We conducted experiments (n = 75) using data journalism containing map visualizations with three levels of interactivity (low, medium, and high) in China. Furthermore, an exploratory evaluation of the experimental group provided further insights into the differences in interactions between groups, and the emerging five key concepts of data journalism design. Overall, all our hypotheses are supported, with enjoyment and engagement mediating the relationship between perceived interactivity and users' attitudes toward the news. In addition, the experimental group with higher interaction potential also reported more positive attitudes toward journalism. Therefore, if data journalism and visualization designers want to attract and retain users in the future, enhancing user interaction on news pages will be a proven method.</t>
  </si>
  <si>
    <t>Accepting the Digital Challenge</t>
  </si>
  <si>
    <t>Public Health, Journalism</t>
  </si>
  <si>
    <t>understand how interactivity with choropleth maps influence users' attitudes toward data journalism; how does interactivity modulate sense of enjoyment and fun?</t>
  </si>
  <si>
    <t>Enhancing affective and cognitive outcomes (engagement, enjoyment, and memorability) through perceived interactivity can improve audience's interactions with data visualiazation stories.</t>
  </si>
  <si>
    <t>cognitive-affective engagement model;
"Engagement: User engagement refers to the emotional, cognitive, and behavioral connections that exist between a user and a resource at any given point in time and possibly over time [source]." "Engagement considered an intermediate position between cognition and affection, which can be expressed specifically as cognition engagement and affective engagement."</t>
  </si>
  <si>
    <t>Cognitive-Affective engagement model</t>
  </si>
  <si>
    <t>Attfield et al. 2011</t>
  </si>
  <si>
    <t>User Engagement Scale, attitude as influenced by affective and cognitive factors, enjoyment defined as a feeling that causes a person to experience pleasure</t>
  </si>
  <si>
    <t>O'Brien and Toms 2010, Ajen 2001, Cyr et al. 2009, Davis 1982</t>
  </si>
  <si>
    <t>enjoyment and engagement related to interacting with data journalism
Attitude- the tendency to respond in a particular way to a particular class of objects (Teo 2003, Rosenberg 1960)</t>
  </si>
  <si>
    <t>between a user and resource at any given point in time, and over time. Engagement an intermediate position between cognition and affect.</t>
  </si>
  <si>
    <t>Enjoyment often given as a reason to consume visualizations (Brehmer, Munzner, 2013). Hyp relating to increased enjoyment (through increased perceived interaction, and resulting in more positive attitude toward news)
Engagement- hyp about increased interactivity leading to higher level of engagement and more positive attitude</t>
  </si>
  <si>
    <t>Choropleth</t>
  </si>
  <si>
    <t>Interactivity:
-significant difference in perceived interactivity, but no significant difference in enjoyment and engagement (might have been because the visualization chosen was not engaging to begin with). Interactive features made data more intuitive, precise, easy to locate, and easier to remember. Increased perceived reliability and trustworthiness of data.
-enjoyment might be closely related to the comprehensibility of the news, which is also considered an important aspect of the reading experience; if readers feel frustrated not being able to understand a visualization, this minimizes an optimal reading experience
-interactivity can make readers feel more interested, attracted, and involved, exploring information and having a more positive attitude toward the news</t>
  </si>
  <si>
    <t xml:space="preserve">Significant difference in perceived interactivity, but no significant difference between groups in terms of engagement and enjoyment
"In terms of engagement and enjoyment, the different experimental groups did not show significant differences, which we found, from our analysis, might be due to the selected visualization not being engaging enough, with more text. The data set in the material was not rich enough, and a limitation of interaction potential might be one of the reasons for the non-significance of the two measures of engagement and enjoyment. Additionally, enjoyment might be closely related to the comprehensibility of the news, which is also considered an important aspect of the reading experience [62]. If readers are frustrated by their inability to comprehend statistical information, an optimal experience may be compromised [62,63]."
"The increased interaction also positively impacts the functional and emotional aspects. Many participants indicated that this interactive way of exploring information made the data more intuitive, more precise, easy to locate, and easier to remember. Others indicated that interactivity made the data source more reliable and trustworthy. 
From passively receiving information to actively interacting with it, the method of acquiring information has changed. At the same time, the increased interactivity made participants feel more interested, attracted and involved, interested in exploring more information, and, subsequently, having a more positive attitude toward the news."
Interaction brings fun and enjoyment and positively influences user engagement and attitudes. Thus, interaction has a pleasure component, linking perceived interactivity to the enjoyment and fun of data journalism. </t>
  </si>
  <si>
    <t xml:space="preserve">Balancing emotional and cogntiive processes, they should support each other: -balance elements meant to enhance engagement (e.g., interactivity) in a way that does not compromize but rather supports comprehension. Interactivity: Interaction brings fun and enjoyment and positively influences user engagement and attitudes. Thus, interaction has a pleasure component, linking perceived interactivity to the enjoyment and fun of data journalism. </t>
  </si>
  <si>
    <t>pre-test with PhD students (UX, visual designers) to validate the study stimuli
Data journalism adapted from piece of news on Caixin.com</t>
  </si>
  <si>
    <t>adapted a news article published on Caixin.com, about wetlands, redesigned for interactivity</t>
  </si>
  <si>
    <t>controlled experiment, interview</t>
  </si>
  <si>
    <t>university students</t>
  </si>
  <si>
    <t>44F</t>
  </si>
  <si>
    <t>sophomores, juniors, senior level students
familiar with vis, design, charts, and online news</t>
  </si>
  <si>
    <t>perceived interactivity scale (Liu)
enjoyment of data news (adapted from Hassanein and Head)
User Engagement Scale (O'Brien and Tom)
Web Site Perception Scale (adapted from Sundar and Kalyanaraman)</t>
  </si>
  <si>
    <t>voluntary, through Guilin Uni of Aerospace Tech in Guangxi Province, China</t>
  </si>
  <si>
    <t>Cronbach's alpha, Composite reliability, AVE, mediation analysis with Hayes' process and 95% CI, ANOVA
confirmatory factor analysis, average variance extracted, Fornell and Larcker</t>
  </si>
  <si>
    <t xml:space="preserve">generalizability of study population (students), those with lower datavis and online media literacy should be considered for research, given prior findings that show data-heavy news articles may require higehr level of numerical literacy and can increase cognitive load for the casual user.
What is the impact of long data stories with lots of data, and high interactivity, on cognitive load? Users may require a higher leve lof numerical proficiency, otherwise may lead to lower enjoyment (frustration)
use vis with higher interaction potential(?)
narrative sequence can have an influence on attitdues toward news. Interactive narrative sequences should be considered in the design process. How can interaction be used to engage and interest users continuously through reading process while also improving narrative and presentation of news
environmental topic was chosen. </t>
  </si>
  <si>
    <t>Data source perceived to be more reliable and trustworthy in a visualization that is more highly interactive than a low-interactive vis.</t>
  </si>
  <si>
    <t>Focusing more on emotional engagement for enjoyment, memorability, with interactivity serving that purpose</t>
  </si>
  <si>
    <t>A096</t>
  </si>
  <si>
    <t>Kuster, Fabian; Ruginski, Ian T.; Fabrikant, S.I.</t>
  </si>
  <si>
    <t>How does your viewing perspective matter for decision-making with flood risk maps?*</t>
  </si>
  <si>
    <t>https://doi.org/10.1080/15230406.2023.2268502</t>
  </si>
  <si>
    <t>10.1080/15230406.2023.2268502</t>
  </si>
  <si>
    <t>The globally increasing frequency of flood events highlights the importance of effective flood risk communication. The influence of the viewing perspective of mapped flood events on human risk perception has not yet been a research focus of the geovisualization community. This empirical study aims to fill this gap by investigating how the viewing perspective of flood risk maps, that is, 2D orthographic vs. 2.5D oblique views, influence human flood risk perception and decision-making. Results on how viewing perspective might influence measured risk perception are in line with prior inconclusive research on the utility and usability of adding a third viewing dimension on static maps. Unlike prior research would have suggested, we find that the individual risk attitude of our participants had no direct influence on their risk ratings in the context of this study. With additional empirical evidence on how static 2D and oblique 2.5D hazard maps might influence the public’s risk perception and decision-making, we hope to further inform policy and decision makers on the critical importance of well-designed cartographic displays for effective and efficient hazard and risk communication. We also provide an open-source code repository for making reproducible experiments with our static maps.</t>
  </si>
  <si>
    <t>Exclude: does not measure emotional engagement. Interstingly, they just focus on perceived risk and response time, and only mention affect/emotion in the conclusion: "These [immersive/XR] contexts are more likely to elicit decision-making strategies closer to actual flood scenarios and would enable a more thorough investigation of how display immersiveness interacts with viewer’s affect and emotion using psychophysiological measurements. The think-aloud protocols revealed very useful information to help explain outcomes about participants’ decision-making processes."</t>
  </si>
  <si>
    <t>A001</t>
  </si>
  <si>
    <t>Fitzgerald, LM; Davies, AR</t>
  </si>
  <si>
    <t>Engaging futures: Scenario visualisation for sustainable urban food sharing</t>
  </si>
  <si>
    <t>10.1016/j.futures.2024.103462","http://dx.doi.org/10.1016/j.futures.2024.103462")</t>
  </si>
  <si>
    <t>Ireland</t>
  </si>
  <si>
    <t>Future scenarios have become a familiar element of addressing complex problems such as unsustainable food systems, helping to identify alternative policies and practices around food. However, scenarios' development and deployment in decision making processes tends to elevate and engage specific voices, quantitative data and models, and focuses on techno-scientific innovations and commercial-speculative design interventions. To ensure a just transition to more sustainable food systems it is necessary to bring diverse voices into the development of future scenarios and to consider the efficacy of alternative forms of future scenarios for expanding engagement. This paper presents an approach for more inclusionary approaches, focused on an exploratory case study of urban food sharing using the Three Horizon approach. It makes three central contributions. First, generating empirically-grounded scenarios which centre overlooked marginalised actors. Second, developing novel artistic visualisations of possible futures which incorporate emotional-affective dimensions, and third using these visualisations to engage actors and facilitate dialogue on urban food sustainability transitions. The results of scenario testing with municipal policy shapers in a location where food policy is embryonic are presented and discussed. The paper finds co-developing and visualising scenarios provides an accessible means of engagement and platforming traditionally marginalised voices and perspectives within futuring activities.</t>
  </si>
  <si>
    <t>Engaging Futures</t>
  </si>
  <si>
    <t>Sustainability - Urban food sharing</t>
  </si>
  <si>
    <t>Exclude: the visualizations, although based on some (qual?) data, are mostly pictorial/imagistic in nature. Doesn't specifically contain any charts/idioms, it is empirical data that has been visualized.</t>
  </si>
  <si>
    <t>Exclude/Edge</t>
  </si>
  <si>
    <t>A032</t>
  </si>
  <si>
    <t>Arunkumar, A; Padilla, L; Bae, GY; Bryan, C</t>
  </si>
  <si>
    <t>Image or Information? Examining the Nature and Impact of Visualization Perceptual Classification</t>
  </si>
  <si>
    <t>How do people internalize visualizations: as images or information? In this study, we investigate the nature of internalization for visualizations (i.e., how the mind encodes visualizations in memory) and how memory encoding affects its retrieval. This exploratory work examines the influence of various design elements on a user's perception of a chart. Specifically, which design elements lead to perceptions of visualization as an image (aims to provide visual references, evoke emotions, express creativity, and inspire philosophic thought) or as information (aims to present complex data, information, or ideas concisely and promote analytical thinking)? Understanding how design elements contribute to viewers perceiving a visualization more as an image or information will help designers decide which elements to include to achieve their communication goals. For this study, we annotated 500 visualizations and analyzed the responses of 250 online participants, who rated the visualizations on a bilinear scale as 'image' or 'information.' We then conducted an in-person study (n = 101) using a free recall task to examine how the image/information ratings and design elements impacted memory. The results revealed several interesting findings: Image-rated visualizations were perceived as more aesthetically 'appealing,' 'enjoyable,' and 'pleasing.' Information-rated visualizations were perceived as less 'difficult to understand' and more aesthetically 'likable' and 'nice,' though participants expressed higher 'positive' sentiment when viewing image-rated visualizations and felt less 'guided to a conclusion.' The presence of axes and text annotations heavily influenced the likelihood of participants rating the visualization as 'information.' We also found different patterns among participants that were older. Importantly, we show that visualizations internalized as 'images' are less effective in conveying trends and messages, though they elicit a more positive emotional judgment, while 'informative' visualizations exhibit annotation focused recall and elicit a more positive design judgment. We discuss the implications of this dissociation between aesthetic pleasure and perceived ease of use in visualization design.</t>
  </si>
  <si>
    <t>Image or Information</t>
  </si>
  <si>
    <t>To understand how people actually internalize visualizations: as image or information? The first study to systematically investigate which design elements of vis dictate the nature of internalization.</t>
  </si>
  <si>
    <t>Emotion is more associated with image-like visualizations, rather than informative visualizations, and plays into how people internalize and recall of visualizations they see.</t>
  </si>
  <si>
    <t>-intent of a communicative visualization can be cognitive (analytical task performed) or affective (emotional reaction elicited), and this dictates design choices
-recent work looking to characterize what makes a visualization memorable, engaging, and effective across a variety of chart types - but cannot reconcile empirical results and rules of thumb with good exemplars of real-world visualizations.
-images provide visual references, evoke emotions, express creativity, inspire philosophic thought (refs). Info vis serves to present complex data, information, or ideas in a clear and concise manner, promotes analytical thinking. they differ in purpose and design.
-constructed definitions of image and information are curated from a synthesis of literature, and consider: design (aesthetic vs structure, organization of information), purpose (emotional engagement vs educations), response (images that seek to elicit emotional, visceral responses while information is about analysis)
-"However, in addition to visualizing data to support a claim accurately, design choices can appeal to emotion to persuade audiences to believe the data [Adar and Lee 2020], [Buchanan 1992 - wicked problems in design thinking], [Conklin 2005, revision of bloom's taxonomy]. For instance, researchers have utilized visualizations to bring attention to and provoke action for many issues [56], [70]. Designers can intentionally (or unintentionally) use conventions, such as minimalist aesthetics, the inclusion of data sources, or the increased use of text, to create an illusion of increased objectivity and transparency in such data representations for the audience [28], [50]. Notably, visual literacy plays a crucial role in determining the effectiveness of a communicative visualization in achieving such learning objectives for its target audience [57]."</t>
  </si>
  <si>
    <t>Mahyar et al's taxonomy of engagement in visualization - in this case, the authors measure the agreement between participants' internalization ratings (image/information) and elements of visualizations tehy focus on during free recall (in the context of this taxonomy): expose, interacting, analyze (finding trends)</t>
  </si>
  <si>
    <t>Taxonomy of engagement</t>
  </si>
  <si>
    <t>Mahyar et al. 2018</t>
  </si>
  <si>
    <t>BeauVis Scale</t>
  </si>
  <si>
    <t>He et al. 2023</t>
  </si>
  <si>
    <t>they use sentiment from positive to negative scale, and associate with emotion-oriented aesthetic judgment of vis</t>
  </si>
  <si>
    <t>the authors measure the agreement between participants' internalization ratings (image/information) and elements of visualizations they focus on during free recall (in the context of this taxonomy): expose, interacting, analyze (finding trends)</t>
  </si>
  <si>
    <t>aesthetic emotions</t>
  </si>
  <si>
    <t>Aesthetic Appeal, Enjoyment</t>
  </si>
  <si>
    <t>SUMMARY: results show quantitative support for some qualitative guidelines: use appropriate text annotation, minimalist design style, axes.
-image-like visualizations may be less effective in communicating trends and messages, but elicit a more positive emotional response. informative visualizations include more text, exhibit annotation-focused recall, and receve more favourable design evaluation.
-older participants display larger effect sizes for individual factors, lead them to rate vis more consistently
-rudimentary ranking of the influence various design elements have on the internalization (as information) of a visualization: axes&gt;titles/keys&gt;message redundancy annotation&gt; text label annotation&gt;pictogram/photo-realistic glyphs&gt; more than 7 colors/dark background-color&gt;highlight or glyph-based annotationc-visual density&gt;data-inkratio&gt;3D/gridlines&gt;data source/domain.
-image like vis elicit higher response for 'appealing, enjoyable, pleasing' but lower rating for 'likeable and nice' - partially conflated; reverse for information vis.
-less guided to a conclusion and have higher positive sentiment when viewing image-like vis, but also more difficult to understand (absence of text places a higher internal cog demand to process information and form a useful takeaway)
Designer intent: experts associate positive sentiment with informative vis, which contradicts participant sentiment ratings
-image vis seek to expose and in some cases involve users in performing low-level tasks related to data interpretation (e.g., individual data points, visual encoding description, aesthetic appeal of encoding choices, data domain, difficulty understanding data nuances); image ivs involve the user to perform tasks to analyze data trends and generate chart takeaways (e.g., including title/message, text-label annotations, high ease of use, observed trend, highlight or overlay annotations).
-image vis for expose (awareness) and information vis for analysis level engagement
-information elicits positive design judgments and negative emotional judgments, images elicit positive emotional judgments and higher visual complexity
-data redundancy may evoke more emotional response, message redundancy may evoke design-related judgments
-embellish familiar charts can balance communicative utility with emotional response - 
-more image-like: skeuomorphism, photographs, pictograms of human recognizable objects, isotype ccharps and chernoff diagrams, photo-realistic glyphs, charts without axes, cartographic representations (maps without heavy text annotation), radial warping (chord diagrams, donut charts, timelines, radial bar charts); more colourful (7+) vis are most image-like, non-white background (esp. if darker hue); low data-ink ratio and high visual density; scale and dimensionality serve as moderators for all other attributes, but negligible effect size in isolation - high dtaa scale and high dimensionality
-more informative: axes, titles and keys - also draw attention and increase perceived quality of visualization; also annotation, message redundnancy, mark labels; white background; high data-ink ratio, low-moderate visual density; displaying source and domain of data via text annnotation but do not impact internalization</t>
  </si>
  <si>
    <t>pilot study</t>
  </si>
  <si>
    <t>-annotated a set of 500 visualizations in the wild across social and scientific domains, based on taxonomy of static vis derived from literature (Borkin, Mishra), from various infographic and social media sources
-stimuli characterized according to Borkin taxonomy (what makes a visualization memorable)
-pilot study with 3 participants to validate the design</t>
  </si>
  <si>
    <t>general, US/UK</t>
  </si>
  <si>
    <t>250
44</t>
  </si>
  <si>
    <t>40
27, 57</t>
  </si>
  <si>
    <t xml:space="preserve">Exp 1
Exp 2 </t>
  </si>
  <si>
    <t>online crowdsourced - participants saw each vis for 10 seconds and asked to rate on binary scale, image or information
lab study, 100 trials each</t>
  </si>
  <si>
    <t xml:space="preserve"> (compiling Qs from other surveys, including BeauVis and Engagement Taxonomy)
online survey
Beauvis Scale
Mahyar engagement taxonomy</t>
  </si>
  <si>
    <t>10–15</t>
  </si>
  <si>
    <t>regression, Cohen's d for effect size</t>
  </si>
  <si>
    <t>"We also plan to investigate the impact of time on the quality of visualization recall by conducting experiments based on eye-tracking, change-detection, short-term and long-term memorability, and determining which visual elements stick in viewers' minds longer. Furthermore, we aim to directly demonstrate in future work how the nature of internalization significantly affects visualization comprehension and how this may lead to mind-wandering during visualization viewing and recollection. Lastly, we plan to design and evaluate interaction techniques that can help intrinsically resolve user uncertainty when exploring image-like visualizations to boost analytic engagement while maintaining emotional engagement."</t>
  </si>
  <si>
    <t>A very visualization research-oriented paper, basing their study on prior research models etc.</t>
  </si>
  <si>
    <t>A013</t>
  </si>
  <si>
    <t>Stenlund, JI; Tibell, LAE; Schoenborn, KJ</t>
  </si>
  <si>
    <t>'Awesome to see the immense time before us on Earth' - Students' affective responses when interacting with a tree of life visualising evolutionary concepts</t>
  </si>
  <si>
    <t>http://dx.doi.org/10.1080/00219266.2022.2147205</t>
  </si>
  <si>
    <t>10.1080/00219266.2022.2147205</t>
  </si>
  <si>
    <t>Despite the importance of emotions in science education, research on affect remains sparse. A promising direction is to explore the role of immersive visualisation in evoking affective responses. We investigate whether touch-based zooming interaction with a tabletop visualisation of the tree of life evokes various affective responses, particularly, the epistemic affective responses of awe, curiosity, surprise, and confusion. Ten students participated in semi-structured interviews while interacting with the visualisation. Verbal utterances and interactions with the visual interface were videorecorded. Students' verbal and non-verbal affective responses in relation to five evolutionary themes were analysed. Results revealed that students expressed all four affective responses while engaging the zooming feature, with awe and surprise most frequently uttered. Most affective responses were associated with the themes of biological relationships and evolutionary time. Awe was highly associated with evolutionary time, surprise with biological relationships, and confusion with both these conceptual themes. For eight participants, awe was the initial affective response generated after exposure to the dynamic tree of life. The study demonstrates that interacting with an immersive visualisation through zooming can induce affective responses in relation to multiple conceptual themes in evolution. The findings provide insight into multidirectional interconnections between affect, dynamic visualisation, and biology concepts.</t>
  </si>
  <si>
    <t>DeepTree</t>
  </si>
  <si>
    <t>Science education</t>
  </si>
  <si>
    <t>Education</t>
  </si>
  <si>
    <t>investigate impact of screen/touch-based interactive visualization evokes epistemic emotions of curiosity, awe, surprise, confusion</t>
  </si>
  <si>
    <t>understanding the influence of epistemic emotions on cognition and learning. These can be related to both the topic and/or the modality or type of visualization. They focus on immersive visualizations to elicit affective responses.</t>
  </si>
  <si>
    <t>affective engagement as it relates to knowledge acquisition (epistemic emotional responses)</t>
  </si>
  <si>
    <t>capturing attention, reflecting on, learning</t>
  </si>
  <si>
    <t>epistemic emotions (see citations in paper)</t>
  </si>
  <si>
    <t>a long list</t>
  </si>
  <si>
    <t>many learning scenarios are associated with affect (Pekrun 2014)</t>
  </si>
  <si>
    <t>Guided by RQs and (somewhat) open-ended - wanted to see what kinds of affective responses were evoked by DeepTree (inductive). Known epistemic affective responses analysed in a second phase (deductive)</t>
  </si>
  <si>
    <t>Positive / Neutral</t>
  </si>
  <si>
    <t>Curiosity, Awe, Surprise, Confusion</t>
  </si>
  <si>
    <t>tree-node</t>
  </si>
  <si>
    <t>awe was the emotion most expressed when using the zooming interactive feature; surprise, confusion, and awe were expressed to a similar degree in general.
confusion was nearly equivalently associated with both zooming interaction types (direct, indirect)
-surprise associated with learning about data that contradicts preconceived notions</t>
  </si>
  <si>
    <t>zoom</t>
  </si>
  <si>
    <t>screen / touch interface</t>
  </si>
  <si>
    <t>observational</t>
  </si>
  <si>
    <t>Students (high school)</t>
  </si>
  <si>
    <t>students (high school)</t>
  </si>
  <si>
    <t>16-18</t>
  </si>
  <si>
    <t>8F</t>
  </si>
  <si>
    <t>enrolled in the same national social science programme in Swedish curriculum</t>
  </si>
  <si>
    <t>Think-aloud, Custom semi-structured interview protocol</t>
  </si>
  <si>
    <t>Qualitative</t>
  </si>
  <si>
    <t>think-aloud method semi-structured interviews (35-45 min)
video recordings (to capture verbal utterances, gestures)</t>
  </si>
  <si>
    <t>Through school</t>
  </si>
  <si>
    <t>inductive analysis; deductive analysis to identify epistemic affective responses, association with concepts and themes</t>
  </si>
  <si>
    <t>lack of control group, small sample size, participant self-selection (for interest), imbalance of genders, socioeconomic factors</t>
  </si>
  <si>
    <t>Should this be edge or excluded because it does specifically relate to epistemic emotions (about which there is a whole other area of research?)</t>
  </si>
  <si>
    <t>A002</t>
  </si>
  <si>
    <t>Banks, DE; Paschke, M; Ghonasgi, R; Thompson, VLS</t>
  </si>
  <si>
    <t>Benefits and challenges of geographic information systems (GIS) for data-driven outreach in black communities experiencing overdose disparities: results of a stakeholder focus group</t>
  </si>
  <si>
    <t>BackgroundBlack individuals in the U.S. face increasing racial disparities in drug overdose related to social determinants of health, including place-based features. Mobile outreach efforts work to mitigate social determinants by servicing geographic areas with low drug treatment and overdose prevention access but are often limited by convenience-based targets. Geographic information systems (GIS) are often used to characterize and visualize the overdose crisis and could be translated to community to guide mobile outreach services. The current study examines the initial acceptability and appropriateness of GIS to facilitate data-driven outreach for reducing overdose inequities facing Black individuals.MethodsWe convened a focus group of stakeholders (N = 8) in leadership roles at organizations conducting mobile outreach in predominantly Black neighborhoods of St. Louis, MO. Organizations represented provided adult mental health and substance use treatment or harm reduction services. Participants were prompted to discuss current outreach strategies and provided feedback on preliminary GIS-derived maps displaying regional overdose epidemiology. A reflexive approach to thematic analysis was used to extract themes.ResultsFour themes were identified that contextualize the acceptability and utility of an overdose visualization tool to mobile service providers in Black communities. They were: 1) importance of considering broader community context; 2) potential for awareness, engagement, and community collaboration; 3) ensuring data relevance to the affected community; and 4) data manipulation and validity concerns.ConclusionsThere are several perceived benefits of using GIS to map overdose among mobile providers serving Black communities that are overburdened by the overdose crisis but under resourced. Perceived potential benefits included informing location-based targets for services as well as improving awareness of the overdose crisis and facilitating collaboration, advocacy, and resource allocation. However, as GIS-enabled visualization of drug overdose grows in science, public health, and community settings, stakeholders must consider concerns undermining community trust and benefits, particularly for Black communities facing historical inequities and ongoing disparities.</t>
  </si>
  <si>
    <t>Data-driven outreach in Black communities</t>
  </si>
  <si>
    <t>To examine the use of GIS to facilitate data-driven outreach for reducing overdose inequalities facing black individuals (detail: identify the systemic and cultural barriers to implementing a GIS-facilitated overdose visualization tool amongst HC community workers, and understand the extent to which outreach to HW would find a tool acceptable and appropriate for overdose prevention).</t>
  </si>
  <si>
    <t>While they don't discuss emotion specifically, the topic is emotionally heavy and the findings reveal the importance of human-centred and community-sensitive approaches to designing a GIS support tool for overdose outreach and aid.</t>
  </si>
  <si>
    <t>overdose crisis is a major public health threat, especially for Black communities. 
Racial inequities in overdose attributed to social determinants of health (SDOH) - including features of geographic location, built environment that impact well-being, like aspects of neighbourhood deprivation (socioeconomic - poverty and unemployment; physical (bad infrastructure) due to policies that contribute to residential segregation and neighbourhood disinvestment.</t>
  </si>
  <si>
    <t>engagement as being able to connect with community members through outreach efforts, incorporating perspectives of people with lived experience  (community-engaged approaches)</t>
  </si>
  <si>
    <t>connecting with others, seeing different perspectives</t>
  </si>
  <si>
    <t>Sadler et al. 2019/2022</t>
  </si>
  <si>
    <t>Affective Trust</t>
  </si>
  <si>
    <t>geospatial, tabular</t>
  </si>
  <si>
    <t>4 themes: -utility of such a mobile service tool must consider broader community context; it has the potential to increase awareness, engagement, and community collaboration, advocacy, resource allocation; ensure data relevance to the affected community; be aware of data manipulation and validity concerns
-discussion went beyond mapping tool to reflect the underlying context of racism-related SDOH in these neighbourhoods. Current and historic policies have been detrimental to Black communities, with striking disparaties between white and black communities (black seen as 'depletion zones'). "You've got to drive 5 miles to pick up lunch. ... That's enough to amke a person not see a future."
-participants had experience with other similar maps e.g., STIs - but SDOH related barriers limit impact on community to be able to get help
-the map should show not only the health issue, but also how to redress it e.g., lack of quality services (e.g, treatment, public transport). 
-data manipulation and validity (affective trust): concerns that organizations outside these communities may perpetuate similar harms of disinvestment and gentrification. skepticism about an overdose vis tool created by an academic institution. concern that a map highlighting a majority Black area as high crime, high overdose, may lead to further deinvestment and increased police presence.
how was the data gathered, compiled? they trust first-hand experience and local anecdotal information over 'bigger' data. They would use the map to supplement their own personal experience.
-Awareness, engagement, collaboration: the vis tool could guide service provision and advocacy for greater resources and systems change, collaboration with agencies that provide complementary resources (social services). the map could help choose places to conduct outreach.
-the map could help engage community members who would otherwise ignore or deny the issue in their communities ('old-school mentality')
-help increase awareness of resources because many people don't know what's available
-the GIS otol could be used in grant applications to demonstrate need for services, and overall investment in the area e.g., affordable housing, clinics
-Ensure relevance to community: lived experience must be reflected in development of the tool. people who use drugs, providers who serve them shouldbe consulted during the tool's development. Pair the geospatial data with narrative data and storytelling, include stories of how the overdose crisis has affective community members, testimonials who acheived recovery within the tool. "Maps without a story are meaningless to the community." This approach would help with framing so stigma isn't perpetuated toward people who use drugs or to serve as rationale for bad actors to disinvest. Also each community is unique- different assets, challenges, histories. Neighbourhood-level map would be most effective. "elevate community voice"
"A unique contribution of including voices was discussion of how GIS could be used not only for targeted tertiary prevention, but also for more advocacy to address what participants saw as the “root cause” of the Black overdose crisis: racism related SDOH. ... participants suggested GIS tools include historical and current characteristics associated with systemic racism and racialized neighborhood segregation (e.g., food deserts, vacancies, and limited access to health services). ...Using GIS to visualize manifestations of racism may be a promising strategy for educating the public about the source of health disparities and advocating for equity-focused funding and intervention [49]."</t>
  </si>
  <si>
    <t>proximity</t>
  </si>
  <si>
    <t>in early recruitment of focus group participants, some expressed concern that making these data public may attract bad actors and disproportionately negatively impact Black communities</t>
  </si>
  <si>
    <t>Black community in St Louis</t>
  </si>
  <si>
    <t>leadership role in organizations that conduct outreach in neighbourhoods of St Louis MO, represented various organizations ranging from grassroots nonprofit to large social service and treatment agencies</t>
  </si>
  <si>
    <t>Focus group, semi-structured discussion</t>
  </si>
  <si>
    <t>semi-structured interview</t>
  </si>
  <si>
    <t>purporsive convenience sampling, from partner agencies funded by state opioid response</t>
  </si>
  <si>
    <t>inductive reflexive thematic analysis, informed by contextualism (relativist perspective)</t>
  </si>
  <si>
    <t>"future spatial epidemiology and surveillance of the problem must consider integrating qualitative data and citizen science. Community-engaged approaches that incorporate the perspectives of people with lived experience with drug use and/or racism can highlight cultural strengths of underserved communities, mitigate racialized stigma, and provide practical recommendations to avoid data being used to perpetuate the deficit narrative."
"These participatory mapping approaches incorporate local knowledge into geospatial indices that may predict health outcomes and identify SDOH beyond those traditionally discussed [59, 60]. Thus, in addition to building trust toward and engagement with opioid big data, community-engaged approaches to opioid surveillance in Black communities may also improve scientific and applied outcomes, contributing to increased health equity."
"We also must acknowledge that the research team are culturally distinct from participants and hold relatively privileged social locations, despite some investigators sharing characteristics like racial and regional origin."</t>
  </si>
  <si>
    <t>-stakeholders must consider concerns undermining community trust and benefits, especially Black communities that have historically faced inequity and continue to experiience disparities
-maps should go beyond the basic data and show historical context, and local context, in order to educate the public about systemic issues facing the Black community. that these maps can be used by bad actors as reasons to disinvest from black-majority communities, or to gentrify. "the potential for big data related to overdose to be framed or used to perpetuate inequities, including socioeconomic disinvestment [53, 54]. Like previous research, the result of this ambivalence tended to skew towards potential benefits rather than concerns [54]. Specifically, the devastation of the overdose crisis was perceived to be so severe that it was better to use the data in the hopes of attracting more awareness and resources: we've got to think about all the ... benefits ... more than we think about the harmful."</t>
  </si>
  <si>
    <t>A028</t>
  </si>
  <si>
    <t>Edgeley, CM; Cannon, WH; Pearse, S; Kosovic, B; Pfister, G; Kumar, R</t>
  </si>
  <si>
    <t>Five social and ethical considerations for using wildfire visualizations as a communication tool</t>
  </si>
  <si>
    <t>Background Increased use of visualizations as wildfire communication tools with public and professional audiences-particularly 3D videos and virtual or augmented reality-invites discussion of their ethical use in varied social and temporal contexts. Existing studies focus on the use of such visualizations prior to fire events and commonly use hypothetical scenarios intended to motivate proactive mitigation or explore decision-making, overlooking the insights that those who have already experienced fire events can provide to improve user engagement and understanding of wildfire visualizations more broadly. We conducted semi-structured interviews with 101 residents and professionals affected by Colorado's 2020 East Troublesome and 2021 Marshall Fires, using 3D model visualizations of fire events on tablets as a discussion tool to understand how fire behavior influenced evacuation experiences and decision-making. We provide empirically gathered insights that can inform the ethical use of wildfire visualizations by scientists, managers, and communicators working at the intersection of fire management and public safety.Results Study design, interview discussions, and field observations from both case studies reveal the importance of nuanced and responsive approaches for the use of 3D visualizations, with an emphasis on the implementation of protocols that ensure the risk of harm to the intended audience is minimal. We share five considerations for use of visualizations as communication tools with public and professional audiences, expanding existing research into post-fire spaces: (1) determine whether the use of visualizations will truly benefit users; (2) connect users to visualizations by incorporating local values; (3) provide context around model uncertainty; (4) design and share visualizations in ways that meet the needs of the user; (5) be cognizant of the emotional impacts that sharing wildfire visualizations can have.Conclusions This research demonstrates the importance of study design and planning that considers the emotional and psychological well-being of users. For users that do wish to engage with visualizations, this technical note provides guidance for ensuring meaningful understandings that can generate new discussion and knowledge. We advocate for communication with visualizations that consider local context and provide opportunities for users to engage to a level that suits them, suggesting that visualizations should serve as catalysts for meaningful dialogue rather than conclusive information sources.</t>
  </si>
  <si>
    <t>Social and ethical considerations of wildefire vis</t>
  </si>
  <si>
    <t>Wildfires</t>
  </si>
  <si>
    <t>Ecology</t>
  </si>
  <si>
    <t>Propose social and ethical considerations for the use of wildfire visualizations to communicate wildfire risk, taking into account viewers' psychological and emotional responses/needs, and to solicit critique/feedback on the use of such visualizations.</t>
  </si>
  <si>
    <t>Emotional and psychological states and responses should be considered for very serious events like wildfires, and visualizations can make these responses worse. Level of detail and how much control users have over viewing the visualizations can mitigate some negative emotional and psychological effects, and help with processing and decision-making.</t>
  </si>
  <si>
    <t>primary?</t>
  </si>
  <si>
    <t>None given - level of engagement was more so determined through interviews as a product of individual perspectives, experiences, and knowledge background</t>
  </si>
  <si>
    <t>capturing attention, interacting with, receptivity</t>
  </si>
  <si>
    <t>determined through interviews</t>
  </si>
  <si>
    <t>through interviews, understanding mental health issues associated with PTSD - anxiety, depression, grief, stress</t>
  </si>
  <si>
    <t>geographic, spatial</t>
  </si>
  <si>
    <t>Geospatial map, Hedgehog plots</t>
  </si>
  <si>
    <t>visual style(s)</t>
  </si>
  <si>
    <t>visual representation</t>
  </si>
  <si>
    <t>Offering considerations for using wildfire visualizations:
- will use of vis truly benefit users? Perceived value and necessity is variable, interviewees between case studies and within a group are not necessarily in agreement about relevance, based on personal experience (e.g. some didn't want to see the vis because of trauma, while others wanted to engage deeply with the vis to more comprehensively understand the event they had experienced, to promote healing); higher levels of education or having worked in wildfire management found greater personal benefits of vis; those with less familiarity with tech were more hesitant to engage -2D maps and narrative information was helpful to supplement for those who didn't want to see the 3D vis
- 3D vis may not be appropriate for mass public communication during or after a wildfire, because of hardship/emotional difficulty
- incorporate local values to help users connect to visualizations: what should be labeled - roads, lakes, peaks, city or town names, but also points where people may have first learned about the fire or area they had to drive past to evacuate; colloquial, local known place names rather than formal map names
- go beyond basic map features to help connect users to visualizations of specific fire events - local waypoints included can help with understanding of local ecological knowledge (place-based knowledge about a landscape, gathered through observations and shared epxeriences by those living there over time)
- model outputs in vis can help examine human decision-making under uncertainty, but the models themselves can "generate cascading epistemic uncertainties associated iwth quality of data fed into vis - Cheong 2016, Maslin 2013, Preston 2019)." Uncertainty produced by model outputs may not be understood by users
- should vis look realistic - those who were less comfortable sought animated appearance of more basic vis- ther was confern about possible emotional impacts of realistic vis (in line with findings about depicting other disasters/hazards e.g. sea level rise Richards and Jacobson 2022). 
- wildfire vis (especially those that recreate actual events) contain info and imagery that may have significant impacts on the mentail health or well-being of htose affected, or those who had similar experiences.
- vis served as good tool for generating depth of discussion about a fire event - so can help lead reflective discussions about evacuation management and public safety
- related to trust and uncertainty in the data: "Specifc strategies for communicating model uncertainty may include (1) transparent discussion about limitations in the data used to create models that visualizations leverage and the compounding afect that may have on the quality and accuracy of the processes or events that visualizations present; (2) the generation of a suite of visualizations of the same event using diferent model data or parameters to demonstrate variation in accuracy and reliability while also simultaneously preventing overreliance on a singular output; (3) engaging audiences in simplifed, low resolution modeling activities using beginner-friendly interfaces to allow them to experience decision-making about model inputs that could afect model uncertainty; (4) discussing biases that the end user may have both before and during review of visualizations; and (5) communication or outreach partnerships that include both scientists who create models, communication specialists, and local fre professionals to ensure that there is triangulation between trusted sources to consistently highlight uncertainty (Fischhof and Davis 2014)."
- different users will have different needs (of course)- e.g. experts want details, residents found lots of detail to be overwhelming. mental health professionals could use vis to discuss and process traumatic events, wildfire management for rebuilding trust with communities, and training, diverse public for general understanding and information gathering</t>
  </si>
  <si>
    <t>3D visualizations vs animated simpler vis</t>
  </si>
  <si>
    <t xml:space="preserve">atmospheric models generated using WRF-fire </t>
  </si>
  <si>
    <t>interview, focus group, case study</t>
  </si>
  <si>
    <t>residents of Colorado who experienced wildfires</t>
  </si>
  <si>
    <t>residents of Colorado who experiened wildfires</t>
  </si>
  <si>
    <t>101 (75 viewed visualizations)</t>
  </si>
  <si>
    <t>residents based in Colorado (where the fires happened) - renters and owners, multi-generational families as well as newcomers
professionals - federal and state land and fire management agencies, local govt reps, emergency management processionals, local fire dpeartment staff
4 atmospheric scientists with expertise related to fire behaviour and modeling for these events</t>
  </si>
  <si>
    <t>Qualitative - two case studies</t>
  </si>
  <si>
    <t>83 semi-structured interviews (some small group interviews e.g. with members in one household)</t>
  </si>
  <si>
    <t>snowball sampling - participants asked to suggest others who might be well suited to participate
theoretical sampling - researchers identified individuals with specific expertise related to each fire through media coverage and staff directories. recruitment stopped when theoretical saturation was reached (no new themes or findings emerged)</t>
  </si>
  <si>
    <t>qualitative thematic coding</t>
  </si>
  <si>
    <t>Future research should explore the development of protocols for determining whether to share a visualization in broader public settings where individuals may have extremely varied histories with wildfre, and the extent to which use of 3D visualizations truly improves communication over 2D materials during and after wildfres.
- technical considerations: creating 3D visualizations is complex, resource-intensive, and time-consuming - might mean that such visualizations are not possible to be used during or soon after a fire event
- future work: expand consideratoins by working in diff contexts, states, and fire conditions to support development of most appropriate and ethical approaches to fire vis for different end users</t>
  </si>
  <si>
    <t>"Researchers have an ethical duty to minimize or remove the potential for adverse emotional impacts on study participants and therefore should think carefully about the unintended consequences  that sharing such information may have and plan accordingly (Haggerty 2004; Goldstein and Kennedy 2022)." Ethics protocol, mental health training prior to field research, picking up cues from participants and checkpoints in place before showing visualizations. Give participants lots of control over what they are comfortable seeing, when they can turn off, etc (if the person was very affected; may be less necessary for someone less affected or if the fire was further away) - but if fire was v destructive or caused significant loss, the lack of ability to opt out can cause significant distress or harm
- Researchers and professionals planning to use visualiation with populations affected by fires should first seek to understand where end users currently stand emotionally - can be done through discussion with community leaders, how vis should be shared within context. Trigger warnings and similar statements at beginning of informational events.</t>
  </si>
  <si>
    <t>This was a 'technical note' paper. The focus on emotional engagement had more to do with the sensitive nature of the subject and the experience participants had had with the events being depicted in the visualizations. Their reflection on the emotional aspects seem to do more with the study design and ethics in human research, then suggested as a consideration for creating and sharing appropriate visualizations of wildfires (and other natural disasters/hazards) to mitigate potential negative response.</t>
  </si>
  <si>
    <t>A023</t>
  </si>
  <si>
    <t>Wu, MG; Sun, YJ; Xia, XQ</t>
  </si>
  <si>
    <t>Computational assessment of the aesthetic quality of map colors</t>
  </si>
  <si>
    <t>10.1111/tgis.13206","http://dx.doi.org/10.1111/tgis.13206")</t>
  </si>
  <si>
    <t>Crafting beautiful map colors is challenging for not only experts but also novices, suggesting the need for an aesthetic quality assessment of map colors for the effective design of maps and visualizations. To fill this gap, we present a computational method to assess the aesthetic quality of map colors. First, we couple the idea of computational aesthetics with map aesthetic principles and identify four and two basic types of aesthetic features in terms of order and complexity, respectively. Then, we collect 2000 map samples and derive 149 aesthetic metrics by instantiating the above aesthetic features while considering the spatial weights and figure-ground organization of the map samples. We also recruit participants (N = 438) to rate the aesthetic quality of the map colors. Finally, we train an aesthetic predictor by fitting those aesthetic metrics with user ratings. The experimental results show that the proposed method can assess aesthetic quality of map colors with high accuracy (R2 = 0.73 on the training set and R2 = 0.65 on the validation set). We also explore the dominant aesthetic metrics that positively and negatively influence aesthetic appreciation, as well as those metrics that have no significant influence. This work offers a portable and flexible aesthetic quality assessment approach for map colors and can be further improved by considering complex symbols, spatial structures, and color-semantic and color-emotion associations.</t>
  </si>
  <si>
    <t>Aesthetic quality of map colours</t>
  </si>
  <si>
    <t>To evaluate a computational approach to assess the aesthetic qualities of map colours.</t>
  </si>
  <si>
    <t>Emotions tied to aesthetics, and specific colour associations, should be considered for effective map design.</t>
  </si>
  <si>
    <t>-aesthetic quality not limited to the original ideal of Birkhoff (1933)) can partially reflect the subjective universality of Kant's aesthetic judgment: while order refers to the nature of beauty held by everyone, complexity refers to person-relative differences. Order comes from the similarities we humans, as a species, have evolved over time in similar environments. 
Critique of aesthetic judgment (Kant 1911)
aesthetic quality of colour aids in engaging the reader's mind for a better visual perception of what was depicted. Second, it can contribute to improving memory and imagination for further understating and interaction (Kent, 2005). Third, it can also help build confidence in map reading and subsequent decision-making (Wright, 1942).
-background on colour harmony, and how to formalize order and complexity according to form and content (Eysenck 1941). Moon and Spencer 1944 - now accepted as part of aesthetic appreciation.
-colour preferences based on physiological, psychophysical, and ecological perspectives - people like strongly associated with objects they like.
-human visual processing - low-level, intermediate, high-level - aesthetic colour preference can be at all levels</t>
  </si>
  <si>
    <t>geospatial map</t>
  </si>
  <si>
    <t>quan</t>
  </si>
  <si>
    <t>Quantitative</t>
  </si>
  <si>
    <t>Although interesting, this study deals purely with aesthetic response, and also does not talk too much about the emotional aspect, although it is related and mentioned as having a connection with semantics, etc. That said, it could be referenced in discussion about colour choices, if relevant. Also does not really deal with 'engagement', like getting people's attention (the word engage only appears once in the paper and relates to colour palettes that require more effort for the user to processs).</t>
  </si>
  <si>
    <t>A040</t>
  </si>
  <si>
    <t>Elhamdadi, H; Stefkovics, A; Beyer, J; Moerth, E; Pfister, H; Bearfield, CX; Nobre, C</t>
  </si>
  <si>
    <t>Vistrust: a Multidimensional Framework and Empirical Study of Trust in Data Visualizations</t>
  </si>
  <si>
    <t>Trust is an essential aspect of data visualization, as it plays a crucial role in the interpretation and decision-making processes of users. While research in social sciences outlines the multi-dimensional factors that can play a role in trust formation, most data visualization trust researchers employ a single-item scale to measure trust. We address this gap by proposing a comprehensive, multidimensional conceptualization and operationalization of trust in visualization. We do this by applying general theories of trust from social sciences, as well as synthesizing and extending earlier work and factors identified by studies in the visualization field. We apply a two-dimensional approach to trust in visualization, to distinguish between cognitive and affective elements, as well as between visualization and data-specific trust antecedents. We use our framework to design and run a large crowd-sourced study to quantify the role of visual complexity in establishing trust in science visualizations. Our study provides empirical evidence for several aspects of our proposed theoretical framework, most notably the impact of cognition, affective responses, and individual differences when establishing trust in visualizations.</t>
  </si>
  <si>
    <t>VisTrust</t>
  </si>
  <si>
    <t>Public Health, Industry</t>
  </si>
  <si>
    <t>Public Health, Agriculture</t>
  </si>
  <si>
    <t>To develop and propose a framework for cognitive and affective trust in visualizations, and to apply this framework to a case study looking at factors that play a role in establishing trust in science-based data visualizations, with a focus on the impact of visual complexity in promoting trust.</t>
  </si>
  <si>
    <t>Affective-based trust, along with cognitive trust, is important with datavis used in public settings, particularly for topics that are highly sensitive or urgent (e.g. climate change, covid). How data is visualized (e.g. through different visual encodings, level of visual complexity) can elicit emotional responses that influence how information is received, processed, and (not) integrated into decision-making processes.</t>
  </si>
  <si>
    <t>they identify other studies that have attempted to measure trust in visualizations, without providing definition of trust and also just using single-item scale. measuring trust is highly variable and inconsistent in vis research
-synthesizes work on trust in vis, and trust literature from other domains, including computer science (apart from vis)
-distinguishes between trust formed by the reader and the trust formation of a creator - who can manipulate visualizations and underlying data
-even if cognitive trust is high, individuals may still distrust a visualization because of their negative emotions toward the vis or its topic (or vice versa). Negative feelings can arise from the topic or how it is presented (or both), and may hence influence trust and decision-making regardless of cognition-based assessments
-Affective cues may include the objectivity or credibility of the data and/or the aesthetics of the visualization. Some research suggests that aesthetic judgments are driven mainly by affective responses [6]. Notably, emotions toward the data may also originate from the emotions toward the source of the data [25, 37]. 
-aesthetic cues can trigger an emotional response</t>
  </si>
  <si>
    <t>No definition, but incorporates trust as a key criterion for engagement in information-related behaviour (citing Kelton et al 2007- trust in digital information)</t>
  </si>
  <si>
    <t>establishing trust</t>
  </si>
  <si>
    <t>Kelton et al. 2007</t>
  </si>
  <si>
    <t>Affective trust is the "immediate emotional responses to the data or visualiatin, as well as affective perceptions of either/both." (reference)</t>
  </si>
  <si>
    <t>McAllister 1995, Zhang 2013</t>
  </si>
  <si>
    <t>Affective trust and cognitive trust are made distinct. Affective trust is based on emotional bonds between individuals, based on expectations of interpersonal care and concern. Whether a person responds in one way or another to a stimulus is subjective, e.g. the clarity of a visualization can be perceived as aesthetic quality, which elicits affective trust; that same clarity may be perceived as a faciltator for interpreting the vis, which leads to cognitive trust. Tomlinson et al 2020</t>
  </si>
  <si>
    <t>trust:  (as key criterion for engagement in information-related behaviour)
pilot studies informed dimensions of affective trust, based on descriptions provided by participants (most common adjectives provided)</t>
  </si>
  <si>
    <t>No clear framework for trust in visualization research and therefore motivation to develop one</t>
  </si>
  <si>
    <t>Bar, Line</t>
  </si>
  <si>
    <t>vis type(s), visual style(s), topic(s)</t>
  </si>
  <si>
    <t>chart type, visual complexity, topic</t>
  </si>
  <si>
    <t>Topic:
-topic has a strong role in how audiences trust visualizations; participants were more likely to trust data fro a topic they were familiar with than an unfamiliar one
-participants more likely to share a vis about a topic that mattered to them (covid) than one that did not (croatian crops)
Vis Design:
-main effect of chart complexity and data topic on trust in data - complexity effect is driven by particiapnts' response to the affective metrics on benevolence ('data is unbiased and trustworthy') and source ('data source clearly displayed'). participants less likely to see data source in a complex visualization, and therefore rating transparency lower in those cases. Data benevolence was rated highest for simple visualizations; transparency and overall data trustworthiness decreased with increasing visual complexity.
-complex visualizations can decrease trust and trigger more affective-based over cog-based trust judgments
-complexity effect is driven by participants' response to antecedents related to clarity (cog and affective) -- simpler visualizations were much easier to understand than complex ones. 
-significant interaction between chart type and chart complexity - participants liked line charts more than bar charts, reported decreasing trust ratings as line charts became more complex (but complexity effect was not observed for bar charts).
-participants were likely to trust a visualization if they had found it scientific, accurate, and easy to understand, as well as if they had a positive affective experience
-rating visualization high for accuracy and aesthetic cues was more associated with likelihood of using vis in everyday life and sharing with network; affective clarity was more associated with using vis in everyday life
Dataset:
-participants were more likely to trust underlying data from a visualziation if they found it easy to understand, complete, and if the source of data was clearly displayed (cognitive factors leading to overall trust); trust in data tends to overlap with trust in visualization
-overall trust in science has largest effect size in model for both trust in vis and trust in data</t>
  </si>
  <si>
    <t>-visualization topic has a strong role in trust mechanisms
-complex visualizations can decrease trust and trigger more affective-based over cog-based trust judgments
-participants were likely to trust the vis if they had found it scientific, accurate, and easy to understand, as well as if they had a positive affective experience
-participants were more likely to trust underlying data from a visualziation if they found it easy to understand, complete, and if the source of data was clearly displayed (cognitive factors leading to overall trust)
-rating vis high for cog accuracy and aesthetic cues was more associated with likelihood of using vis in everyday life and sharing with network; affective clarity was more associated with using vis in everyday life
-trust in data tends to overlap with trust in visualization
-overall trust in science has largest effect size in model for both trust in vis and trust in data
-complexity effect is driven by participants' response to antecedents related to clarity (cog and affective) -- simpler visualizations were much easier to understand than complex ones. Participants were more likely to trust visualizations they found clear and easy to understand. 
-participants more likely to share a vis about a topic that mattered to them (covid) than one that did not (croatian crops)
-significant interaction between chart type and chart complexity - participants liked line charts more than bar charts, reported decreasing trust ratings as line charts became more complex (but complexity effect was not observed for bar charts)
-main effect of chart complexity and data topic on trust in data - complexity effect is driven by particiapnts' response to the affective metrics on benevolence ('data is unbiased and trustworthy') and source ('data source clearly displayed'). participants less likely to see data source in complex vis, and therefore rating transparency lower in those cases.
data benevolence rated highest for simple visualizations; overall data trustworthiness decreased with increasing visual complexity
-participants more likely to trust data fro a topic they were familiar with than an unfamiliar one
- The self-reported behavioral outcomes were also captured and, in combination with the trust antecedents, revealed the importance of the accuracy, aesthetics, and clarity of a visualization when using or sharing it with others.</t>
  </si>
  <si>
    <t>Data source, Vis Design: Accuracy, aesthetics, and clarity of a visualization are important for increasing viewers' likelihood of using and sharing the visualization</t>
  </si>
  <si>
    <t>proximity (topic)
complexity</t>
  </si>
  <si>
    <t>3 pilot studies</t>
  </si>
  <si>
    <t>they used the same Covid dataset for the crop diseases and just changed the labels for this topic. participants saw a disclaimer at the end that this was a covid dataset</t>
  </si>
  <si>
    <t>representative of US across multiple demographics (Qualtrics feature)</t>
  </si>
  <si>
    <t>VLAT, Custom Questionnaire</t>
  </si>
  <si>
    <t>Likert scales, open-form responses</t>
  </si>
  <si>
    <t>VLAT, custom questionnaires</t>
  </si>
  <si>
    <t>qual analysis about topics
regression analysis
Variance inflation factor</t>
  </si>
  <si>
    <t>-refine scale items, including positive and negative items for each antecedent, and include more behavioural outcome items that target broader behavioural patterns
-examine trust development in visualizations that intentionally elicit negative affective responses. Trust is more challenging to establish when dealing with trustees in a negatively valenced affective state (Dunn and Schweitzer 2005), but maybe it is possible to cultivate trust in negative contexts - what are the contextual factors that foster trust in negative vis 
-trust games as a way of operationalizing concepts in trust framework, e.g. in belief updating 
-longitudinal study to support understanding actual behavioural outcomes and longer-term effects of trust from vis
-move toward a richer understanding ofh ow visualizations can support or hinder trust formation, guiding the more intentional study and design of public-facing visualizations</t>
  </si>
  <si>
    <t>"The second part of the definition resonates well with Mayer et al.’s notion of benevolence [36]. In the case of visualizations, benevolence can be understood as the ethical use of the data and perceptions about the benevolent handling of the data and its visualization as free of any intention to cause harm to the trustor (e.g. by being intentionally misleading). Accordingly, we define affective cues and benevolence as separate antecedents of affective trust."
"Benevolence and Ethics regarding the Data: Benevolence and ethics regarding the data refer to the responsible practices and soundness of the data collection, the responsible use of data, and the appropriate citation of the data sources. The lack of information regarding these details may evoke a negative affect toward the data. “I have no idea how the data was gathered, if this is a ’dishonest’ research study, etc. Where did the visualization come from? Who provided the data? How was it collected?""
"Nevertheless, the impact of this trust can still be mitigated by the overall quality of the visualization. Moreover, the relationship between the different domains of trust (trust in the visualization, trust in the data, trust in science, interpersonal data) is shaped by the visual characteristics and topic of the visualization."</t>
  </si>
  <si>
    <t>This will be a v good reference for the fMRI study, perhaps using the framework as a coding structure for the interviews, in addition to open-coding</t>
  </si>
  <si>
    <t>A045</t>
  </si>
  <si>
    <t>Ferreira, Marta Galvão; Nunes, Nuno Jardim; Nisi, Valentina</t>
  </si>
  <si>
    <t>Towards Relatable Climate Change Data: Untangling Tensions in Engaging with a Hyperobject</t>
  </si>
  <si>
    <t>https://dl.acm.org/doi/10.1145/3643834.3661606</t>
  </si>
  <si>
    <t>10.1145/3643834.3661606</t>
  </si>
  <si>
    <t>Portugal</t>
  </si>
  <si>
    <t>This research investigates the potential of emerging communication strategies to enhance engagement with climate change data through HCI, by recognizing the critical challenge of effectively communicating complex hyperobejcts. We designed "Finding Arcadia", an interactive artefact centred on ocean climate data, to explore how data humanism, storytelling, decentering the human in the narrative, and positive framing influence user engagement and perception of the information. Findings from a study in-the-wild (N=42) and a post-experience survey conducted six months later (N=19) foregrounds strategies to foster deeper engagement and connection with the information but also tensions in engaging with such a complex topic. We contribute to climate change communication and HCI research with the design decisions, study outcomes, and reflections on ways in which communication strategies can promote understanding and connection with a hyperobject.</t>
  </si>
  <si>
    <t>Finding Arcadia</t>
  </si>
  <si>
    <t>Sustainability</t>
  </si>
  <si>
    <t>To investigate ways to effectively communicate hyperobjects related to crises, such as climate change, through HCI. "To address this high-level enquiry, we explored different communication strategies informed by implications in previous research [39, 40] and current climate change engagement guidelines [21, 24, 82] – data humanism, storytelling, decentering the human in the narrative, and positive framing – through a case-study focused on climate change communication"
"This research explores the crucial intersection of climate change communication and HCI, demonstrating how thoughtful communication strategies and intricate design elements infuence users’ engagement and perception of data-centric content for climate change. "</t>
  </si>
  <si>
    <t>Positive emotional framing can elicit feelings of hope and positive action when communicating about complex topics like climate change.</t>
  </si>
  <si>
    <t>climate change as a hyperobject - "a complex and pervasive phenomenon that exists on a scale beyond our usual human perception and comprehension". "The challenge of converting intricate climate data into understandable, actionable, and emotionally resonant concepts remains [41]."
"Recent studies have demonstrated that fear is inefective in motivating [83], while hope [19, 27] and action [32, 38, 51] can be catalysts for engagement. Such a complex communication challenge, allied with the urgency of engagement, demands further research and proposals of novel approaches. As a feld, HCI can leverage technology to engage, educate, adapt, and immerse people in complex phenomena requiring collective action [79]."</t>
  </si>
  <si>
    <t>a shift from merely nudging to deeply understanding users' connections to data, moving "from 'nudge' to 'think' as a strategy for public engagement" by "engaging hearts and minds." Clark, Corner, Webster 2018 public engagement for a 1.5C world
Intrinsic Motivation Inventory (IMI) - interest/enjoyment, value/usefulness, relatedness (Ryan 1982)</t>
  </si>
  <si>
    <t>capturing attention, interact with, reflecting on</t>
  </si>
  <si>
    <t>Clark Corner Webster 2018, Ryan 1982</t>
  </si>
  <si>
    <t>Intrinsic Motivation Inventory</t>
  </si>
  <si>
    <t>Ryan 1982</t>
  </si>
  <si>
    <t>Appeal to the mind and the heart.
positive vs negative emotional framing
IMI: interest/enjoyment, value/usefulness, relatedness</t>
  </si>
  <si>
    <t>moving "from 'nudge' to 'think' as a strategy for public engagement"</t>
  </si>
  <si>
    <t>positive framing of the data, linking to action to inspire a hopeful outlook, focused on solutions and connections between individual/communities with the environment.</t>
  </si>
  <si>
    <t>Hope, Joy, Empathy, Curiosity</t>
  </si>
  <si>
    <t>Hopefulness, Empathy, Joy, Curiosity</t>
  </si>
  <si>
    <t>personalization, narrative elements</t>
  </si>
  <si>
    <t>Narrative/Rhetoric:
-positive framing and more-than-human narrative increased people's interest
-relatability was higher in the enriched version, increased feeling of personalization and contextualization (data humanism priniciples heightened); personalization features were most compelling and surprising, allowing participants to make a deeper connection with the data
-actionable suggestions were better in the enriched version and well-received, participants had greater number of take-aways and felt this was more useful (overall positive feelings increased) compared to baseline.
Format:
-people talked more about the topic after the exhibition
-installation was novel, participants enjoyed interacting with the character, and felt more immersed
Emotional Response:
-IMI responses were similar between groups, generally quite high (enhanced experiential condition slightly higher)</t>
  </si>
  <si>
    <t>"Results from the interviews and questionnaire suggest that users from vE had a deeper interest in the information through positive framing and a more-than-human narrative. Linking lay audiences with climate change data through emotional engagement has been successfully explored in HCI, despite the challenge of balancing accurate data and visual presentation [3]. "
"The number of users who mentioned having conversations with friends and family after the experience was particularly encouraging to show engagement. It is noteworthy that most of these users are from vE. This result validates the apparent enhanced interest in the data shown by vE users in the interviews. Building on previous research that worked towards enhancing engagement with environmental data through community [3, 28, 67, 84] or more personal [99, 108] connections, our work points to possibilities for HCI research to help address much needed conversations about climate change in our everyday [6]. " 
"The challenge becomes presenting it on a relatable human scale that transforms it from overwhelming phenomena to solvable problems where we feel we have some agency to affect change"
-IMI results for both versions were fairly close and generally quite high, with the enhanced experience ratings slightly higher
-topic novelty - people didn't know about whales and carbon sequestration
-installation novelty - creative, being able to interact with the character, communicating climate change in this way in a common space should be done more
-enhanced version was well presented, immersive, led to better understanding - fostered desire to explore and know more, data felt more immersive
-relatability was higher for enhanced version than baseline. baseline: narration, visuals, suggestions for action. 
-metaphor of whales as floating trees - points to importance of metaphors and analogies to assist users in interpreting the meaning of the numbers
-personalization and contextualization: data humanism principles heightened in the enhanced verison based on participant feedback - experience as a whole. personalization features most compelling, lots of positive reactions "that's cool, the information is surprising. personal elements allow for deeper apprehension". using personal information creates a relationship with the information. 
-baseline was less personal and relatable, participants had suggestions to improve this.
-actionability: enhanced version provided more suggestions, participants had higher number of take-aways from this, and felt the exhibit was more useful than baseline.
AI live dialogue feature: 7/21 users chatted with Baltazar, but none mentioned this aspect in the interview. questions related to content, learning more about whales, a couple were experimenting with the system's creativity.
6mo follow-up: data recollection - almost all 19 respondents recalled information about the data. 'I pay more attention to the marine eenvironment and relationship between the ocean and me'. increased empathy and awareness, including positive impact (topic-specific). 
-8 users reported no change in attentiveness, 11 noticed an increase in whale/ocean topics, or climate change news in general. enhanced participants focused on specific issues, baseline aprticipants reported no increased specific attentitiveness. 
-data relevance: both groups agreed the information was relevant, made personal connections. vE slightly more pronounced, but not much.
-data connection: engagement attributed to compelling narrative and visual elements - but these are equal between the groups.
-inspiring action: not much from either group. vE did not necessarily lead to change in habits, despite 'specific suggestions' made by the llm.
-</t>
  </si>
  <si>
    <t>Personalization/relevance: -balance accurate data and visual representation, personalization and relatability
Community-focused design: -community focus and personal connections can improve how people engage everyday with climate data, to transform it "from overwhelming phenomena to solvable problems where we feel we have some agency to affect change."</t>
  </si>
  <si>
    <t>framing (positive)</t>
  </si>
  <si>
    <t>character, narration, topic proximity</t>
  </si>
  <si>
    <t>local, international</t>
  </si>
  <si>
    <t>iterative co-design sessions with experts (marine biologist, HCI storytelling experts)
pre-study in a science museum and local market shaped study design and refinements to the experience</t>
  </si>
  <si>
    <t>use of LLM to "breathe life" into Balthazar and enrich the narrative ('personify a blue whale and recount the data "facts" through his first-person perspective'). Users could also "chat" with Balthazar at end of experience. Amplify empathy and deepen user connection with data through another tool to explore teh content. "Some limitations of these approaches are debated in the discussion as we acknowledge the challenge of representing more-than-human entities through these human-made features and perspectives." personalized solution suggestion based on users' existing practices which were collected throughout interaction with the artefact: potential areas of contribution specific to each participant.</t>
  </si>
  <si>
    <t>controlled in-the-wild, longitudinal</t>
  </si>
  <si>
    <t>general, adult</t>
  </si>
  <si>
    <t>42
19 for 6mo follow-up</t>
  </si>
  <si>
    <t>21 F</t>
  </si>
  <si>
    <t>postgraduate (n=15)</t>
  </si>
  <si>
    <t>controlled in-the-wild, part longitudinal study
baseline (data-focused, dat lacking in comparative or personalized nuances, no storytelling strategies, impersonal 3rd person manner, limited interaction)
enhanced - data humanism (contextualization and personalization e.g., input birth year, height to compare; storytelling - character, plot, personification; decentering the human with a non-human protagonist - 'casts the whale as iconic symbols of nature preservation, and underestimated but hopeful nature-based solutions for climate change')</t>
  </si>
  <si>
    <t>questionnaire (adapted from Intrinsic Motivation Inventory)
short post-questionnaire interview
online questionnaire at 6mo follow-up</t>
  </si>
  <si>
    <t>10–20</t>
  </si>
  <si>
    <t>in-the-wild approach; promotion through email and social media channels - 1 week</t>
  </si>
  <si>
    <t>quantitative; qualitative thematic analysis of interviews</t>
  </si>
  <si>
    <t xml:space="preserve">"Echoing Han and Khanduja [50], we also “believe new ways of visualizing data and storytelling with new media technology will have an impact on the public for their better understanding of climate change”"
USE OF LLM: "Future experiments should integrate such a feature more carefully into the story. Crafting engaging narrative hooks is essential to ensure user participation, especially towards the end of the experience. Designing AI prompts that maintain the character’s story and personality is crucial. These conversations with the character, in crucial points throughout the story, could link more clearly to each data set and enhance engagement with the tool."
-using ai-powered conversations to inpsire empathy and posthumanistic perspectives. "“AI technology itself imports a traditional, humanist form of logic” [109]. Building on the challenges posed by [58], we tried to work through the discomforts of designing in the intersections of human and non-human relations. "
how to facilitate long-term engagement through personalized experiences, e.g., using ai for this.
-a large touchscreen display was used (already available), but this mode of interaction can impact user's engagement with data. - other formats?
</t>
  </si>
  <si>
    <t>"The sense of usefulness and its connection to people’s daily lives largely came from the call for action proposed throughout the data-story, adapted to user’s current habits in vE."
"Our study builds on these experiments by evoking empathy and a sense of global responsibility that is an encouraging step towards posthumanistic stances. ... a raised consideraiton for the more-than-human, the entanglements between humans and marine ecosystems, and human effecs in natural environments" "the changes needed to respond to the climate crisis are an opportunity to reassess our relationships with each other and with nature...linking climate data with users on an indivudla level, and connecting them to a sense of global belonging that includes non-human actors."
Research method: they report on sustainability measures adopted for study design: inherent material and energy consumption. Use of solar energy (partial). "We remain contingent on externalities. Going forward, it is pivotal that lab policies take on a more autonomous and adaptable approach towards fueling our digital outputs." Physical installation aspect: upcycled plastic, expcluding hardware. Technology was borrowed, not bought new.
on using LLM: the use of these systems demands a careful critical lens. Besides the dangers of possibly spreading misinfromation, one needs to consider which perspectives are represented or what stereotypes might be inadvertently reinforced, depending on training of the LLM. One should quesiton how these sytsems cna help represent more-than-human entities since this information is human-made, and inevitably carries a human perspective.
how to communicate complex topics/hyperobjects, to make climate data more actionable and human-scaled</t>
  </si>
  <si>
    <t>Interesting that they mention a sustainability practice point in their research. As methods, this would be considered part of 'responsibility'? Although emotional response to this isn't mentioned... it could be that this point would leave a positive impression for exhibit-goers.</t>
  </si>
  <si>
    <t>"Looking ahead, there exists a promising avenue for creating automated or AI tools to seamlessly blend data storytelling elements into data visualisations, a frontier with considerable room for growth, despite existing progress in automatic annotation creation [29, 52, 57, 96]."</t>
  </si>
  <si>
    <t>A030</t>
  </si>
  <si>
    <t>Ha, S; Monadjemi, S; Ottley, A</t>
  </si>
  <si>
    <t>Guided By AI: Navigating Trust, Bias, and Data Exploration in AI-Guided Visual Analytics</t>
  </si>
  <si>
    <t>10.1111/cgf.15108","http://dx.doi.org/10.1111/cgf.15108")</t>
  </si>
  <si>
    <t>The increasing integration of artificial intelligence (AI) in visual analytics (VA) tools raises vital questions about the behavior of users, their trust, and the potential of induced biases when provided with guidance during data exploration. We present an experiment where participants engaged in a visual data exploration task while receiving intelligent suggestions supplemented with four different transparency levels. We also modulated the difficulty of the task (easy or hard) to simulate a more tedious scenario for the analyst. Our results indicate that participants were more inclined to accept suggestions when completing a more difficult task despite the AI's lower suggestion accuracy. Moreover, the levels of transparency tested in this study did not significantly affect suggestion usage or subjective trust ratings of the participants. Additionally, we observed that participants who utilized suggestions throughout the task explored a greater quantity and diversity of data points. We discuss these findings and the implications of this research for improving the design and effectiveness of AI-guided VA tools.</t>
  </si>
  <si>
    <t>Guided by AI</t>
  </si>
  <si>
    <t>Visual Analytics, Public health</t>
  </si>
  <si>
    <t>screen / interactive</t>
  </si>
  <si>
    <t>Does not deal with affective trust aspects, only cognitive. But still another paper that might be interesting to cite/reference related to the use of AI tools in the system and how this influences trust (affective/cognitive) and decision-making, as well as emotional response - if other more recent papers address this.</t>
  </si>
  <si>
    <t>A018</t>
  </si>
  <si>
    <t>Garretón, M; Morini, F; Celhay, P; Dörk, M; Parra, D</t>
  </si>
  <si>
    <t>Attitudinal Effects of Data Visualizations and Illustrations in Data Stories</t>
  </si>
  <si>
    <t>Chile</t>
  </si>
  <si>
    <t>Journalism has become more data-driven and inherently visual in recent years. Photographs, illustrations, infographics, data visualizations, and general images help convey complex topics to a wide audience. The way that visual artifacts influence how readers form an opinion beyond the text is an important issue to research, but there are few works about this topic. In this context, we research the persuasive, emotional and memorable dimensions of data visualizations and illustrations in journalistic storytelling for long-form articles. We conducted a user study and compared the effects which data visualizations and illustrations have on changing attitude towards a presented topic. While visual representations are usually studied along one dimension, in this experimental study, we explore the effects on readers' attitudes along three: persuasion, emotion, and information retention. By comparing different versions of the same article, we observe how attitudes differ based on the visual stimuli present, and how they are perceived when combined. Results indicate that the narrative using only data visualization elicits a stronger emotional impact than illustration-only visual support, as well as a significant change in the initial attitude about the topic. Our findings contribute to a growing body of literature on how visual artifacts may be used to inform and influence public opinion and debate. We present ideas for future work to generalize the results beyond the domain studied, the water crisis.</t>
  </si>
  <si>
    <t>Attitudinal Effects of DataVis and Illustrations</t>
  </si>
  <si>
    <t>Natural Resources</t>
  </si>
  <si>
    <t>To understand the short-term influence/effects of visual artifacts on how readers form an opinion beyond text in a visualiation. What are the persuasive, emotional, and memorable dimensions of datavis and illustrations (together, rather than in isolation) in journalistic storytelling for long-form articles?
Argues that illustrations are more figurative representations that are seen as different from datavis that are more based on official or scientific sources, seen as impartial, and therefore more trustworthy.</t>
  </si>
  <si>
    <t>Emotions may play a strong role in audiences' engagement with data stories, informing and influencing public opinion and debate, and along with persuasion and information retention can lead to lasting attitude change.</t>
  </si>
  <si>
    <t>water crisis chosen as topic because of its relative little coverage in traditional media, and often presented as being caused by climate change alone- data stories were developed to centre around four different arguments for cause of the water crisis</t>
  </si>
  <si>
    <t>focusing on attitude change (behavioural) as a possible outcome of engagement, by means of persuasion. Elaboration Likelihood Model (ELM) of persuasion (Petty &amp; Cacioppo 1986). Attitude can also be influenced by emotions, which according to ELM can modify depending on total elaboration level of the message (Petty &amp; Briñol 2015).</t>
  </si>
  <si>
    <t>Petty &amp; Briñol 2015</t>
  </si>
  <si>
    <t>I-PANAS-SF 
Elaboration Likelihood Model (ELM) (Petty &amp; Cacioppo) - persuasion plays an important role together with emotions 8Petty &amp; Brinol - emotion and persuasion). For change of attitude to be lasting, it needs to be accompanied fby formation of a satisfactory memory (info retention)</t>
  </si>
  <si>
    <t>Validated Chilean PANAS for the study (Dufey &amp; Fernandez 2012)</t>
  </si>
  <si>
    <t>increasing engagement as linked to attitude change, by means of persuasion. Attitudes influenced by emotions.
PANAS - positive focus
Added the Q: "According to what you know about the water situation in Chile, how do you feel about this reality?"</t>
  </si>
  <si>
    <t>Upset, Inspired, Active, Hostile, Attentive, (and others under PANAS)</t>
  </si>
  <si>
    <t>Geospatial map, Illustrations</t>
  </si>
  <si>
    <t>The article versions with visualization elicit stronger emotional responses compared to that with illustrations only. Attitude change immediately after reading the article persisted one week later, though with decreasing effect. The vis only condition triggered greatest number of emotions. No difference in retension between formats.
most readers viewing vis-only version said the visual artifacts were useful and impactful over the illustration version. They were also seen as educational, clarifying, intelligible, evocative. Charts are highly understandable and carry essential info beyond the text. 
visualizations elicit responses: shocking, devastating, frustration
visualizations considered essential component of the data story</t>
  </si>
  <si>
    <t>illustration, data vis, or both</t>
  </si>
  <si>
    <t>Low</t>
  </si>
  <si>
    <t>followed "essential characteristics of data stories"</t>
  </si>
  <si>
    <t>workshop with experts in hydrology, law, geography, economics which informed story design and development. Iterated a second time with a hired journalist</t>
  </si>
  <si>
    <t>general (Chilean residents)</t>
  </si>
  <si>
    <t>133 Pt1
71 Pt2</t>
  </si>
  <si>
    <t>18-25</t>
  </si>
  <si>
    <t>61F, 2NB</t>
  </si>
  <si>
    <t>conducted in Spanish, translated after;
58HS, 32college, 41grad; 69 students</t>
  </si>
  <si>
    <t>I-PANAS-SF Chilean</t>
  </si>
  <si>
    <t>3 conditions (vis only, ill only, both)</t>
  </si>
  <si>
    <t>I-PANAS-SF for emotion (10 items) - the Chilean one
attitude change- questionnaire developed by Pandey et al. 7-pt Likert scale
custom questions to test comprehension and info retention (memorability)
qualitative coding of open-ended, free-form questions</t>
  </si>
  <si>
    <t>25-30 min
1week followup</t>
  </si>
  <si>
    <t>through social media and professional/personal networks</t>
  </si>
  <si>
    <t>post-hoc power analysis for attitude change (slightly under-powered)
95% boostrap CI</t>
  </si>
  <si>
    <t xml:space="preserve">focused on one topic, need to test with other topics
limitation of measurement for emotion, does not pick up full spectrum of emotional responses that a story may elicit (words such as 'frustration' 'shocking' 'impact' 'devastating' do not appear in the I-PANAS-SF)
limitation of info retention questions
ratio of datavis to illustration stimuli (12, 4) - imbalanced
Be mindful of biasing in open-ended questions
drop-out rate with T2
Future work: does emotional persuasion actually incite behaviour change
compare photographs and visualizations, and how can visualizations manipulate readers' memories - important given increased misuse of datavis in agenda setting and fake news
adjusting length and/or scope of stories
text-only version is missing
</t>
  </si>
  <si>
    <t>Based on their findings suggest that visualizations "may serve as a 'call to action', which might be relevant for authors of data stories who seek to trigger readers' actions toward the subject presented." (and would datavis be more actionable then) - relates to the idea that negative arguments generate positive emotional activation.
"How can visualizations manipulate readers' memories? vital question in light of repeated misuse of datavis in agenda setting and fake news."
With these considerations in mind, we would caution against a “reductionism” approach to examining the interplay between climate science and (visual) art which exclusively focuses on portraying the imagined states of loss and problems associated with warming temperatures42. Instead, future researchers should use our findings as motivation to further explore how (1) alternative visual discourses infused with hope and (2) community participatory creation of art (e.g., through a collaboration between scientist-artists and target audiences) may be more effective in mitigating political polarization in the U.S. on the issue of climate change.</t>
  </si>
  <si>
    <t>A046</t>
  </si>
  <si>
    <t>He, Helen Ai; Walny, Jagoda; Thoma, Sonja; Carpendale, Sheelagh; Willett, Wesley</t>
  </si>
  <si>
    <t>Enthusiastic and Grounded, Avoidant and Cautious: Understanding Public Receptivity to Data and Visualizations</t>
  </si>
  <si>
    <t>https://ieeexplore.ieee.org/abstract/document/10292909</t>
  </si>
  <si>
    <t>Despite an abundance of open data initiatives aimed to inform and empower “general” audiences, we still know little about the ways people outside of traditional data analysis communities experience and engage with public data and visualizations. To investigate this gap, we present results from an in-depth qualitative interview study with 19 participants from diverse ethnic, occupational, and demographic backgrounds. Our findings characterize a set of lived experiences with open data and visualizations in the domain of energy consumption, production, and transmission. This work exposes information receptivity — an individual's transient state of willingness or openness to receive information —as a blind spot for the data visualization community, complementary to but distinct from previous notions of data visualization literacy and engagement. We observed four clusters of receptivity responses to data- and visualization-based rhetoric: Information-Avoidant, Data-Cautious, Data-Enthusiastic, and Domain-Grounded. Based on our findings, we highlight research opportunities for the visualization community. This exploratory work identifies the existence of diverse receptivity responses, highlighting the need to consider audiences with varying levels of openness to new information. Our findings also suggest new approaches for improving the accessibility and inclusivity of open data and visualization initiatives targeted at broad audiences. A free copy of this paper and all supplemental materials are available at https://OSF.IO/MPQ32.</t>
  </si>
  <si>
    <t>Enthusiastic and Grounded, Avoidant and Cautious</t>
  </si>
  <si>
    <t>To investigate how 'general' audiences experience and engage with public data and visualizations.</t>
  </si>
  <si>
    <t>Emotions play a role in information receptivity, which can be a first barrier or conduit to actually engaging with data visualizations.</t>
  </si>
  <si>
    <t>"Despite the large number of visualizations that are ostensibly targeted towards broader audiences, we still know little about the realistic barriers, needs, and experiences of the potential users of open data and visualizations."
"To ground our interviews in a concrete theme, we focused on Canadian energy production, transmission, and demand — all highly contentious and public issues in Canada at the time of the study." including in politics. News-dominant topic: "In 2019 when the study took place, energy, sustainability, climate, and Indigenous rights consistently appeared as headlines in Canadian news. Topics included polarizing issues such as the federal government's purchase of the controversial Trans Mountain pipeline [71], a government overhaul of energy regulations [20], [75], anti-pipeline protests [87], reconciliation with Indigenous communities [39], and carbon tax policies [6]. The high visibility of these articles at the time of the study indicate that information about energy was perceived by the Canadian public as highly salient."</t>
  </si>
  <si>
    <t>Kennedy and Hill (engaging with big datavis); own
the processes of looking, reading, interpreting, and thinking that takes place when people cast their eyes on data visualizations and try to make sense of them (Kennedy et al 2016 - big data visualizations). They add: implicit in this definition is a viewer's receptivity -- their intrinsic willingness to receive information; spend time with, look at, and interpret visualizations.
defining information receptivity as a transient state of willing-ness or openness to receive information. It is not necessarily an enduring trait of a person, but rather a temporary, situated response to information within a given sociocultural context, at a given time, for a specific topic domain.</t>
  </si>
  <si>
    <t>looking at, reading, interpreting, reflecting, sense-making, receptivity (Enticement)</t>
  </si>
  <si>
    <t>Kennedy et al. 2016</t>
  </si>
  <si>
    <t>receptivity is described here as an emotional response, or willingness: "a transient state of willing-ness or openness to receive information. It is not necessarily an enduring trait of a person, but rather a temporary, situated response to information within a given sociocultural context, at a given time, for a specific topic domain."</t>
  </si>
  <si>
    <t>using Plutchik model</t>
  </si>
  <si>
    <t>Affective Trust, Joy, Sadness</t>
  </si>
  <si>
    <t>Trust, Joy, Sadness</t>
  </si>
  <si>
    <t xml:space="preserve">4 personas for information receptivity summary:
Information-Avoidant: individuals exhibited an active and intentional resistance to consuming new information. 
Data-Cautious: individuals were highly receptive to consuming new information, but expressed notable concerns around trust, bias, and agenda. 
Data-Enthusiastic: individuals bringing an intrinsic interest in data and seeking both underlying datasets and help from external sources to interrogate and interpret that data. 
Domain-Grounded: domain-experts who tended to respond to energy topics by interrogating datasets to draw their own conclusions, but were wary of external interpretations.
Rather, the clusters characterize participants' transitory reactions to energy information, captured at a specific point in time, within the context of participants' lives and the sociopolitical factors around them. In fact, findings from this exploratory work already suggest a fluidity in participants' receptivity responses, influenced by the topic domain or life circumstances. 
For VIS RESEARCH: 
-it's a serious blindspot to just think of data vis literacy (the ability and skill to read and interpret visually represented data and to extract information from data visualizations, Lee VLAT 2016) without considering people's receptivity (intrinsic willingness to spend time with, look at, and interpret vis). "Indeed, the structure of many visualization studies (including more ecologically valid studies like Peck et al.'s [55]), explicitly ask audiences to look at visualizations for evaluation, bypassing the potential barrier of reader receptivity."
-persuasive visualization: it is challenging to shift people's attitudes (Markant et al 2023). a reader's initial attitude affects persuasiveness (Pandey et al 2014) skepticism, reluctance to parse complex vis, oppeness to new data. suggests links between receptivity and persuasion.
-In fact, the notion of information receptivity may be a more foundational concept that underpins literacy, engagement, and openness to persuasion. lived experiences suggests intricate relationsihp between tehse concepts - deserves further study.
-feeling engaged by a visualization does not necessarily imply receptivity to the underlying data or interpretations.
Information avoidance: neglected by the vis research community - phenomenon of active information avoidance and how it impacts receptivty - "Beyond simply encouraging data visualization literacy or presenting information in clearer or more engaging ways, our findings highlight a deeper challenge — that the presence of data and visualizations themselves may lead individuals to disregard or retreat from information, particularly if the information and its implications are overwhelming, intimidating, or emotionally fraught."
-referred to as information avoidance in psychology and economics lit. physical avoidance, inattention, biased interpretation of information, self-handicapping. People avoid information to avoid distressing emotions, even when the information may benefit decision-making. ostrich effect e.g., (not) checking portfolios when stock markets are down.
-distress about COVID-19 and information overload was linked with a tendency to avoid pandemic-related information [69], [72]. Information avoidance is associated with lower compliance with preventative health behaviors [21] and can interfere with effective crisis management [69].
-"In the visualization community, most data literacy studies do not consider audiences' emotional response or willingness to receive data, focusing instead on systematizing the definition [9], evaluation [10], [45] and the teaching [15], [34] of core visualization skills."
-"Work emphasizing the effect of emotion [28], [37] and framing [42] on visualization interpretation also hints at emotional and social undercurrents that are at odds with strictly positivist notions of visualization perception and cognition. ..As such, characterizing and enhancing people's ability to make sense of data likely requires a deeper understanding of literacy, receptivity, and intent."
-"Some initial evidence suggests that it may be possible to mitigate information avoidance with visualizations whose form or mode of interaction intentionally evoke positive associations or emotions. ...there may be value in examining how playful or social visualization mechanics (e.g. game-like visualizations [18] or physicalization workshops [34]) can influence Information-Avoidant responses."
-Many audiences' exposure to data increasingly occurs via social media and online communities (as highlighted by P6's experience on Reddit and P17's experience on Facebook), rather than conventional journalistic, corporate, or government channels. Yet social media platforms generally integrate poorly with visualization and analysis tools, resulting in discussions grounded in screenshots and external links rather than more malleable representations. 
-Instead, researchers need to contend with the fact that —with regards to public information consumption and communication — one size does not fit all in terms of individuals' willingness and openness to receive new information. Going forward, it is important that visualization researchers develop a better understanding of the personal, emotional, social, cultural, and socioeconomic barriers that drive public information receptivity, and how, when, and why people transition between receptivity responses.
DETAILS
Information-avoidant (2/19): a deep concern for issues of climate change and sustainability and experienced emotional and practical barriers that contributed to low information receptivity. Highly receptive to the topic, but unreceptive to consuming new information. "I don't need to see that" - feeling of powerlessness to impact change. felt despair, looking at any data would not lead to any environmental impact but only negative emotions - "I'm so little, I'm so tiny. I can't change the world. I'm worried [about climate change] but I don't need to see data. It only adds more sadness. You don't have to see [data]. You sense that, you feel that.”" can even be good with #s and data, but this doesn't change the feeling. Very sad feelings. Cognitive effort and personal factors as additional barriers, e.g., health issues contributing to information avoidance. Quality of information is questionable "where is it coming from? who's doing this? Why are they doing it?" (affective trust issues). People are also busy, don't have time, want to do something relaxing not look at upsetting data.
-receptive to vis more broadly, some positive associations e.g., streamlines with mountains, radar charts with army, scatterplots with freedom.. Also "P5 stated with enthusiasm that if data were visualized in a “playful and entertaining” way, they would be motivated to look at it due to their “childlike” nature." Take a playful approach to datavis design.
Data-Cautious (11/19): motivated to stay updated on new energy information, but concerns about data quality and accuracy (affective trust issues). "Both inside and outside the energy domain, they perceived themselves as lacking the statistical and data wrangling skills to effectively evaluate information sources and expressed no desire to access any underlying datasets." "Their preferred data visualizations varied, ranging from those providing a high amount of interpretation to those that allowed them to ask questions of the data and seek alternative explanations. Overall, these participants were most receptive to external interpretations of information from trusted sources that contained implied, rather than direct, references to data." emphasis on source of data, trust in where it's coming from, because everyone has an agenda. Trust about methodology - how data was collected, funding sources, were appropriate statisticl methods used. "We can all come up with examples of data being massaged and manipulated to serve a particular goal. They look for interpretations from trusted sources, e.g., news media, but not a single news source, to obtain multiple perspectives. People wanted to know why, not only what happened, lack critical analysis. Trusted interpreters - value alignment with the interpreter was necessary for information receptivity - evaluating the person conveying the information (rather than the information itself). "they were less receptive to information when value alignment was not present: “I struggle when someone sits in a very different position that opposes what I stand for."
-open to visualizations that allowed them to ask more questions, draw their own conclusions. "it's not whatever the researcher decides to focus on." e.g., visualization specification, chart generator and data story -- as opposed to infographics (tells you).
-still feel like understanding the data wouldn't impact high-level policy change. "you've got access to data but not the levers of power" "I'd only make the effort if I know it will impact my behaviour or someone else's."
Data-Enthusiastic (2/19): most receptive to energy information when itw as directly and visibly grounded in data. Enjoy accessing datasets in unfamiliar domains and sought out external resources to help them navigate interpretations of that data. innate curiosity, intrinsically interested in data (in energy and elsewhere). Desired access to underlying datasets, but limited ability to evaluate it due to lack of domain expertise. external interpretations to assist them in understanding. Prereq to information receptivity was access to the underlying datasets.
-bias and trust in the data itself and data source (reputability). seeking out diverse viewpoints to help interpret data.
-receptivity to visualizations: P17  though general preference for consuming familiar ones, excited about unfamiliar visualizations, curious, very playful about learning the new forms.
-P6 if a vis looks like it has been designed with high effort, would be willing to spend more time, but also triggered skepticism about presented conclusions and interpretations.
Domain-Grounded (4/19):  possess domain knowledge and wary of external interpretations. prefer reaching own conclusions by directly interrogating datasets, perform own analyses. See for example dashboards as already being prepared and only telling the story in one way or another, not the whole picture. Better to be able to see the underlying dataset.
"A common challenge was how best to improve public energy literacy, something they felt was “definitely lacking” (P8). To do this, these analysts used and even authored visualizations to interpret energy data for other audiences, with a preference for standard rather than complex visualizations. "“Scatterplots — as a scientist, I'm quite comfortable with them, but I'm never very convinced they're a good visualization for the public.”""
On communicating to outside audiences: For P4, utilizing non-standard visualizations with a higher engagement factor was key: “I can give the most mind-blowing piece of data to somebody and present it in a very unengaging way, like if I printed out a spreadsheet. Versus communicate data engagingly. Pie, bar, line chart, scatterplot, slope graph — they serve a purpose, absolutely, but they just aren't exciting. I'm always curious about new ways of representing information.” P4 was particularly interested in visualizations that communicated “the qualitative human story” to provide context to data: “If you put a graph infront of somebody with no context, that graph will mean something different than if you tell a story about how the [data] was collected, why it's important, who this affects. In telling a story, you're introducing bias, but from my perspective, story is what makes things engaging.”
on authoring vis: felt limited in their ability to author non-standard visualizations (such as visualization specification languages, chart generators, interactive notebooks) in their professional work due to a lack of programming skills. These analysts relied on basic visualizations (such as bar charts, line charts, and scatterplots) as their “go-to” in professional contexts. Despite having an interest in programming, participants were held back by a lack of time and ability.
on qual method: to gather a rich-reality based understanding of the lived experiences from a small but diverse sample of individuals.
"defining information receptivity as a transient state of willing-ness or openness to receive information. It is not necessarily an enduring trait of a person, but rather a temporary, situated response to information within a given sociocultural context, at a given time, for a specific topic domain."
</t>
  </si>
  <si>
    <t>four images of open energy data visualizations from NEB website</t>
  </si>
  <si>
    <t>interview (exploratory)</t>
  </si>
  <si>
    <t>general, Canadian</t>
  </si>
  <si>
    <t>10 F</t>
  </si>
  <si>
    <t>Canadian context. Mix of urban, rural, west/east, various occupations, different ethnicities</t>
  </si>
  <si>
    <t>exploratory interview study</t>
  </si>
  <si>
    <t>in-depth semi-structured interview protocol
made use of visual card prompts to enable range of vocabulary available for discussion
interviews were audio- and video-recorded to capture participants' facial expressions, and overhead camera to capture participants' interactions with card prompts</t>
  </si>
  <si>
    <t>"To decrease barriers to participation and attract individuals who may not typically sign up for these kinds of studies, our team emphasized recruiting from public spaces (such as bulletin boards at public cafes and public libraries), in addition to recruiting via email, social media, and snowball sampling."</t>
  </si>
  <si>
    <t>inductive thematic analysis</t>
  </si>
  <si>
    <t>RO1 Deepening our understanding of the interactions between data visualization literacy, engagement, persuasion, and information receptivity and how they manifest for different audiences.
RO2 Expanding our understanding of the phenomenon of information avoidance and the role it plays in people's experiences with data and visualizations.
RO3 Engaging directly with audiences who exhibit Information-Avoidant responses to examine the potential for new approaches to mitigate or overcome barriers to information consumption.
RO4 Building a deeper understanding of the signals of information trustworthiness that people who feel Data-Cautious use to assess the validity (competence) and trustworthiness (motives) of external interpretations of information.
RO5 Developing visualization approaches that more clearly and legibly surface signals of information trustworthiness, including information about data and analytic provenance, and authorship.
RO7 Exploring new annotation, discussion, sharing, and provenance mechanisms to support more nuanced discourse around data and visualizations on social media and help online communities collectively evaluate their validity.
RO8 Characterizing the outgoing communication needs of Domain-Grounded practitioners who can serve as interpreters and communicators of complex data to diverse audiences, particularly those with Data-Cautious or Data-Enthusiastic responses.
RO9 Developing new visualization tools that help Domain-Grounded scientists and practitioners (particularly those with limited technical and design skills) communicate data to broader audiences.
RO10 Building a deeper understanding of the contexts and situations in which individuals shift from one receptivity cluster to another, and how to help facilitate those shifts.
These personas are neither exhaustive nor complete, but rather serve as a starting point for identifying the existence of varied public responses to energy information. The 19 participants do not represent distribution in the broader population.
"The distribution of our participants' responses across the clusters is extremely unlikely to be indicative of the clusters' true distribution. For example, we expect that a majority of Canadians might fall into the Information-Avoidant cluster for this topic, but — as a result of that avoidance — would be unlikely to volunteer for this type of study."
"Findings in this study are highly dependent on the topic of energy and our participant sample. Future work should explore different topic domains and cross-sections of the population to further refine, modify, or expand upon these clusters. Larger-scale surveys and studies could help to quantify the distribution of these receptivity responses within the broader public. Ultimately, a deeper consideration of information receptivity will contribute to more inclusive and accessible approaches to open data systems and visualizations that target a wider and more diverse range of audiences."</t>
  </si>
  <si>
    <t>A note about funding: "This study was funded by a research grant from the National Energy Board (NEB) —the Government of Canada's previous federal energy regulator 1. The NEB was aware that a study was planned, but agreed to remain at arm's length and not have any knowledge of or access to the study. Participants were made aware of the funding connection during recruitment, consent, and before the interview began. This study was independently planned and conducted by the authors without input from the NEB at any point during the research or writing process2. 
A note about recruitment: reducing barriers, advertised in public spaces. "Recruitment in British Columbia was particularly challenging; we speculate that attitudes of distrust towards the federal government and/or our funding agency may have been a contributing factor."</t>
  </si>
  <si>
    <t>Ethos (trust in authority)
Pathos (emotional experience)
Interesting: lots of disclosure about research study methods, e.g, being inline with recommended guidelines in reference to participants (use of 'they' in line with APA guidelines and more recent discussions in HCI research), reducing barriers to participation, being aware of potential mistrust or bias; data analysis timeline and reasons for it being so long (including mention of extended parental leaves). A note about responding to reviewer feedback and what updates they made after a first submission of the manuscript.</t>
  </si>
  <si>
    <t>A047</t>
  </si>
  <si>
    <t>Holder, Eli; Padilla, Lace M</t>
  </si>
  <si>
    <t>“Must Be a Tuesday”: Affect, Attribution, and Geographic Variability in Equity-Oriented Visualizations of Population Health Disparities</t>
  </si>
  <si>
    <t>https://doi.org/10.1109/VIS55277.2024.00021</t>
  </si>
  <si>
    <t>10.1109/VIS55277.2024.00021</t>
  </si>
  <si>
    <t>This study examines the impacts of public health communications visualizing risk disparities between racial and other social groups. It compares the effects of traditional bar charts to an alternative design emphasizing geographic variability with differing annotations and jitter plots. Whereas both visualization designs increased perceived vulnerability, behavioral intent, and policy support, the geo-emphasized charts were significantly more effective in reducing personal attribution biases. The findings also reveal emotionally taxing experiences for chart viewers from marginalized communities. This work suggests a need for strategic reevaluation of visual communication tools in public health to enhance understanding and engagement without reinforcing stereotypes or emotional distress.</t>
  </si>
  <si>
    <t>Must be a Tuesday</t>
  </si>
  <si>
    <t>Health Inequities</t>
  </si>
  <si>
    <t>To examine the impacts of public health communications visualizing risk disparities between racial and other social groups.</t>
  </si>
  <si>
    <t>Affective responses, like fatalistic feelings and other emotional distress, can impact how people receive information about public health, and inhibit health protective behaviour. Visual communication strategies should mitigate the risk of negative emotional responses.</t>
  </si>
  <si>
    <t>Affective responses come about from seeing charts about public health issues. "Viewers’ causal attributions (i.e., how they ascribe causes to health disparities) are another side effect that may be difficult to anticipate." Attributing health outcomes to personal choices or genetics is associated with decrease health support.
Communicating health disparities - ""differences in health that are systematically associated with being socially disadvantaged" [6]. Institutions track and communicate group-specific health outcomes for accountability, policy support, agenda setting, intervention tailoring, risk calibration, and promoting healthy behaviors." Educating the public on the social determinants of health is a related goal, critical for contextualizing health equity issues.
"Communicating health disparities can adversely impact population health when highlighting between-group differences. Contrast effects can distort risk perceptions [18], [4], [31], [43]. Comparisons to groups with worse outcomes may undermine policy support [46], [31], [40] and negate otherwise effective behavior change interventions [34] while comparisons to groups with better outcomes may invoke fear, despair, resentment, and fatalism, undermining behavioral intent or information acceptance [14], [47], [27], [31], [40]. Further, stigmatized groups’ risk of ostracization may undermine seeking testing or treatment [40]."
"Deficit thinking is characterized by "blaming the victim," or misplaced personal attributions, where viewers misattribute outcome disparities to more personal, intrinsic differences between groups of people [48], [23], [9]. Thus, deficit-framed messages can perpetuate harmful social stereotypes and lead policymakers to misdiagnose systemic issues as those of personal responsibility [41], [9], [25]."
"More respectful, humanistic group representations [8] and trust-conscious designs may offer insights into managing negative affect and information resistance [10], [14]. Understanding how viewers’ prior beliefs affect information interpretations may help manage pre-existing stereotypes and prejudices [56], [44]. Visualizations’ social normative influences also suggest opportunities for improving group-specific policy support, behavior change, and adherence to public health guidelines [29], [20], [24], [1], [37], [52]. This body of prior work provides a foundation for our prediction that visualizations highlighting overlapping within-group geographic variability in health outcomes can mitigate the attribution biases underpinning harmful health stereotypes."</t>
  </si>
  <si>
    <t>not so much about engagement. They asked participants to provide a brief text description to facilitate engagement.</t>
  </si>
  <si>
    <t>receptivity to information, sense-making</t>
  </si>
  <si>
    <t>reference Hullman &amp; Diakopoulos Visualization Rhetoric, Lee-Robbins &amp; Adar, Elhamdadi et al.</t>
  </si>
  <si>
    <t>engagement here related to information receptivity and sensemaking, as modulated by emotional responses to the visualization as well as personal lived experience and demographic factors</t>
  </si>
  <si>
    <t>open coding of first 50 responses, only negative emotions were reported</t>
  </si>
  <si>
    <t>Fatalism, Surprise, Fear, Negative emotions (unspecified), Positive emotions (unspecified)</t>
  </si>
  <si>
    <t>Fatalism, Surprise, Nonsurprise, Fear, other positive, other negative</t>
  </si>
  <si>
    <t>Bar, "Geo-emph"</t>
  </si>
  <si>
    <t>vis type(s), design element(s), topic(s)</t>
  </si>
  <si>
    <t>chart type, text, topic</t>
  </si>
  <si>
    <t>"Must be Tuesday...Affective responses like these are a complicated side effect of the chart, reflecting the underlying data seen through viewers’ lenses of lived experience and prior beliefs."
chart-related effects: chart-specific before/after main effects, and before/after x chart type.
Two sig differences between charts: bar charts increased genetic attributions by 3.8 points; geo-emph moved responses 6.5points away from personal attributions toward external attributions.
-also found significant effects for before/after x disease x race, and before/after x group label. as well as related to individual differences (age, political alignment) (these are described in supplemental because they are incidental to the chart effects and main questions).
affective response: fatalistic-type responses were common. 97 Black participants who viewed heart diease in the racial group condition, 12% expressed similar fatalism, 22% not surprised, 24% reported fear, and 55% expressed negative emotion. Vs. in the letter group condition, where reporting of these specific emotions was far less (4% fatalism, 0% not surprised, 34% fear, 54% negative emotions).
Chart condition had little impact on fatalism, nonsurprise, or negative emotions. But Black participants in racial label condition, heart diease was reported as scarier in bars than geo-emph.
"Both charts also evoke negative affective responses. However, bars significantly increased personal, genetic attributions, blaming outcome differences on intrinsic characteristics of the people being visualized, while geo - emph moved participants’ attributions from personal toward external explanations. These findings suggest that equity-related communication goals (e.g., highlighting social determinants of health) may be better supported by charts like geo - emph, which emphasize within-group geographic variability and between-group outcome overlap, and that these approaches could be adopted without sacrificing other essential health communication goals, such as risk calibration, behavior change, or public support."
"Genetic attributions were also unjustified in our study because the stimuli did not show the causes of disparities, suggesting that bars may exacerbate misperceptions of race as a biological rather than a social construct [7]. These inappropriate genetic attributions not only reinforce harmful stereotypes but may also impact downstream goals, such as policy support from less vulnerable majority groups [19], [44]. Considering this, our findings support prior work suggesting that conventional ways of communicating social outcomes (e.g., bars) may undermine racial equity [9], [5], [41], [45], [23]."
The chart types have similar effects on conventional health communication goals (ie. risk assessment, behavioural intent, policy support) but significantly different effects on health equity goals (ie. reducing misattribution of causes).
detail: both charts increased perceived vulnerability, behavioural intent, and policy support. 
"For public health practitioners, we demonstrate that visualization design choices can influence the public’s causal attributions of health disparities, finding that the geo - emph approach can move participants’ attributions from personal toward external explanations. Further, our findings suggest that adopting the geo - emph approach would not require sacrificing conventional communication goals. We also demonstrate the method’s external validity and generalizability across diseases (varying which participant group is most vulnerable to either disease) and group types (race or letters). We also contribute to the visualization literature by offering further evidence of visualizations’ influence on viewers’ attitudes, emotions, and beliefs, beyond what is strictly entailed by the underlying data, as well as the need for carefully considered communication goals [ 26, 30, 55, 23, 24, 2, 10 ]. In particular, we demonstrate the importance of social psychology and other biases in understanding how viewers make sense of data visualizations that reach diverse audiences or highlight social identities such as race, gender, class, or politics [ 23, 24, 8, 29, 20, 57, 15 ]. Our findings emphasize that commonly used visualizations can lead to unexpected consequences when not designed with minoritized communities in mind."</t>
  </si>
  <si>
    <t>label: letter or racial group; topic:(disease type)</t>
  </si>
  <si>
    <t>chart redesign the focus</t>
  </si>
  <si>
    <t>taken from CDC Wonder data</t>
  </si>
  <si>
    <t xml:space="preserve">other differences: title, mark type, annotaitons. "This work aimed not to pinpoint the specific visual element that produces effects but to demonstrate a redesign that considers the impact on minoritized groups."
mortality rates for US adults
geo-emph an extension of prior work 
</t>
  </si>
  <si>
    <t>specific to demographic of interest</t>
  </si>
  <si>
    <t>38.5 avg</t>
  </si>
  <si>
    <t>368 F
16 none</t>
  </si>
  <si>
    <t>equal: black, white, within age range shown in the data (18-64yo)</t>
  </si>
  <si>
    <t>online crowdsourced
between-subjects: race x disease x chart x group label
within-subject: survey questions before and after viewing chart</t>
  </si>
  <si>
    <t>mixed design:  (between: conditions; within: changes in responses before/after viewing vis)
affective response: a follow-up, open-ended question
survey: demographics, questionnaire assessing perceived vulnerability, behavioural intent, and policy support. Also attribution measures (all referenced)</t>
  </si>
  <si>
    <t>inductive thematic coding</t>
  </si>
  <si>
    <t>thematic coding for emotions based on first 50 responses- created a codebook then coded all 800 responses 
linear mixed-effects models</t>
  </si>
  <si>
    <t>"As a short, exploratory study, there are a few limitations to consider. In the geo - emph condition, the annotations and plot type both differed from bars; while these two elements both emphasize geographic variability, we cannot determine their unique contributions to the observed effects, or whether they’re jointly required (e.g., prior work found similar effects with only plot type differences [23])."
"Additionally, Black participants were unexpectedly older and more conservative than White participants, which is associated with increased personal attribution [36]; our models account for this by including age and political orientation."
charts are limited in scope - other specific groups should be considered, or group types (age, gender) may evoke different prior beliefs or prejudices, potentially impacting the observed effects.
"Finally, even though geo - emph showed improvement over conventional charts, other (noncomparative) designs may show further improvements."</t>
  </si>
  <si>
    <t>"Our findings emphasize that commonly used visualizations can lead to unexpected consequences when not designed with minoritized communities in mind."
"We also found that both charts evoked negative emotional reactions, particularly fatalism for Black participants. Given the nuances described above, we still advocate for Liu et al.’s assertion that social comparison framing is not as straightforwardly beneficial as it may seem and should be approached cautiously by public health communication professionals [31]."
"Our findings, reaffirming prior work, suggest that visualizations emphasizing between-group differences (e.g. conventional bar charts), can reinforce harmful stereotypes and are insufficient for responsibly depicting group health outcomes, particularly racial risk disparities. On the other hand, the geo - emph approach, emphasizing within-group geographic variability with a jitter plot and annotations, can offset these social-cognitive biases while achieving similar performance on key health communication goals. When visualizing group health outcomes, conventional design choices should not be taken for granted. In similar contexts, alternatives such as emphasizing geographic variability, may offer a promising step forward for promoting public health, without undermining health equity."</t>
  </si>
  <si>
    <t>they note social desirability bias - participants might suppress personal attributions for racial groups to conform to social expectations from experimenters or themselves</t>
  </si>
  <si>
    <t>A042</t>
  </si>
  <si>
    <t>Burns, Alyxander; Lee, Christiana; On, Thai; Xiong, Cindy; Peck, Evan; Mahyar, Narges</t>
  </si>
  <si>
    <t>From Invisible to Visible: Impacts of Metadata in Communicative Data Visualization</t>
  </si>
  <si>
    <t>https://ieeexplore.ieee.org/document/9998319/</t>
  </si>
  <si>
    <t>Leaving the context of visualizations invisible can have negative impacts on understanding and transparency. While common wisdom suggests that recontextualizing visualizations with metadata (e.g., disclosing the data source or instructions for decoding the visualizations’ encoding) may counter these effects, the impact remains largely unknown. To fill this gap, we conducted two experiments. In Experiment 1, we explored how chart type, topic, and user goal impacted which categories of metadata participants deemed most relevant. We presented 64 participants with four real-world visualizations. For each visualization, participants were given four goals and selected the type of metadata they most wanted from a set of 18 types. Our results indicated that participants were most interested in metadata which explained the visualization’s encoding for goals related to understanding and metadata about the source of the data for assessing trustworthiness. In Experiment 2, we explored how these two types of metadata impact transparency, trustworthiness and persuasiveness, information relevance, and understanding. We asked 144 participants to explain the main message of two pairs of visualizations (one with metadata and one without); rate them on scales of transparency and relevance; and then predict the likelihood that they were selected for a presentation to policymakers. Our results suggested that visualizations with metadata were perceived as more thorough than those without metadata, but similarly relevant, accurate, clear, and complete. Additionally, we found that metadata did not impact the accuracy of the information extracted from visualizations, but may have influenced which information participants remembered as important or interesting.</t>
  </si>
  <si>
    <t>From Invisible to Visible</t>
  </si>
  <si>
    <t>Public Health, Civic</t>
  </si>
  <si>
    <t>To understand which types of metadata visualization readers find important, and to evaluate the impact of adding metadata on readers' appraisal of a visualization's transparency, trustworthiness, persuasiveness, and relevance.</t>
  </si>
  <si>
    <t>(Affective) trust in visualizations, including design choice and data source, can impact how people engage with visualizations (whether they want to spend time, learn more, or make actions based on what they read).</t>
  </si>
  <si>
    <t>"lack of transparency may also impact how trustworthy or persuasive readers perceive visualizations to be (i.e., how much they believe the information communicated by visualizations is accurate and able to convince other readers of accuracy). For example, a lack of transparency surrounding where noise and uncertainty may be present in the data could sew doubt in the accuracy of the information and cause a reader to ignore the visualized information all together [4]."
"The practice of disclosing metadata may also increase the transparency of the processes underlying a visualization, helping the public build trust [8], [9], and encouraging people to use visualizations [10]. However, there is little empirical evidence of the impacts of providing metadata on visualization readers."
"We build upon previous work by the authors that defines a taxonomy of metadata: information that is not directly represented in a visualization which provides contextual information on the source of the data, the transformations applied to the data, the visualization elements, its purpose, the people involved in its creation, and its intended audience[11]. This definition of metadata is broad and intentionally encompasses types of data that are typically considered metadata (e.g., about data collection or methods [12], [13]) as well as information that may not traditionally be thought of as “data” but are nonetheless important for establishing the social, cultural, or historical circumstances in which a visualization was made (e.g., authorial statements of positionality which elaborate on identities and experiences that inform how the authors relate to knowledge [11]) [14]."
"Trust, in general, is a critical aspect of successful visualization and has been identified as one of the field's most pressing challenges [10], [41]. Unfortunately, the study of trust is further complicated because there is no consensus on a definition for trust or how to measure it [42]."</t>
  </si>
  <si>
    <t>engagement as a term not specifically used here in this case - but would be considered as, how much a person 'uses' a visualization (based on presence of metadata or not)</t>
  </si>
  <si>
    <t>interacting with, decision-making</t>
  </si>
  <si>
    <t>none per se, focusing on affective trust</t>
  </si>
  <si>
    <t>data sources, who published the vis, design choices made that promote transparency or ease of understanding</t>
  </si>
  <si>
    <t>Elhamadi citation on trust</t>
  </si>
  <si>
    <t>based on dimensions of trust</t>
  </si>
  <si>
    <t>tabular, time, geographic</t>
  </si>
  <si>
    <t>Maps, Bar, Line, Pie/Donut, Area, Infographic</t>
  </si>
  <si>
    <t>metadata</t>
  </si>
  <si>
    <t xml:space="preserve">significant effect of goal, seemed to determine the category deemed most important, not chart type or topic. most important kinds of metadata: encoding explanation for goals related to understanding, and data source for assessing trustworthiness of the vis.
encoding explanation was sig higher also than all other types of metadata for goals: increase confidence with chart/topic, understand key takeaways.
data source was sig higher than other types of metadata for goal: assessing trustworthiness of the chart
for goals related to design (understand method, understand design, understand perspective), metadata selected most were: data source, cleaning &amp; processing, encoding explanation, inteded audience - but no sig diff between these
understand design goal - intended audience (eg description of design choices) was selected sig more than any other metadata category, except cleaning &amp; processing. 
understanding perspective - no metadata category was selected sig more than any other cat.
satisfy interest (related to engagement?): metadata selected were encoding explanation, intended audience, data source - sig more than others.
STUDY 2
trending effect of presence of metadata, and significant effect of chart type, importance of topic, and frequency that people used charts.
sig effect of metadata on perceived thoroughness of visualizations (more thorough)
sig effect of chart type and metadata - pie chart perceived as sig less clear, and infographic perceived as sig more complete/thorough compared to the other 3 vis
completeness and thoroughness scores impacted by importance of topic. although the model suggested an overall difference among ratings of topic importance, no sig effects in post-hoc pair-wise comparisons
frequence charts were used - completeness scores sig impacted by frequency participants used charts
collinearity - measures of accuracy, clarity, completeness, thoroughness distinct, but not entirely independent. small to medium correlation between measures. highest correlation seemed to be between completeness and thoroughness measures.
results of predictions that an org chose a visualization because it was deemed most persuasive and trustworthy:
"Further, our results suggest that visualizations with metadata were assigned higher probabilities of being selected than those without. Visualizations with metadata more likely to be chosen."
Correlations with accuracy, clarity, completeness, thoroughness: significant effect of clarity, but not the other three. Perceptions of clarity is what informed participants about chosing vis. Significant effect on chart prediction based on type: pie chart sig lower predictions than the other three types, and consistent with study 1 findings that pie charts ranked lowest for clarity.
results for Relevance: 
-impacted by chart type, topic importance, and how frequently participants used charts, but not presence of metadata (non-sig effect of metadata presence), but sig effect of the other variables.
-three measures of relevance were also not entirely independent, based on stat analysis that there is some correlation between the three, esp. between relvence to self and others.
results on correct interpretation/understanding based on chart/metadata: "Our results indicated that the presence of metadata had no significant impact on the correctness of descriptions of the main message. We used a linear mixed-effects model to investigate whether the correctness of a response to the main message question was impacted by the presence or absence of metadata. We did not observe a significant effect of metadata on the correctness of reader interpretation". No sig interaction between the two. </t>
  </si>
  <si>
    <t>in-the-wild, modified</t>
  </si>
  <si>
    <t>32 in-the-wild visualizations taken from Sigma Award-winning data journalism projects (bodies of work on one topic by the same organization or authors)</t>
  </si>
  <si>
    <t>photographs, illustrations, street maps intended for navigation not considered data vis</t>
  </si>
  <si>
    <t>64
144</t>
  </si>
  <si>
    <t>study 1: English fluent, education (71% above HS), use of vis (53% at least once a week, 26.5% once a month)
study 2: excluded individuals who participated in study 1, english fluent, highly educated (86.8% above high school), using vis at least once a week (42.36%) or once a month (31.25%)</t>
  </si>
  <si>
    <t>both online crowdsourced. first study: ranking metadata preferences based on user goals
second study: pairs of visualizations, with and without metadata, to see impact on perceiving and understanding visualizations
18 examples of metadata (6 categories x 3 examples); 16 trials per participant, 4x4 design so each participant would see a diverse set of vis</t>
  </si>
  <si>
    <t>Qualtrics - open-response text related to visualization's message, and Likert scales corresponding to accuracy, clariry, completeness, and thoroughness (operationalized to assess perceived transparency), and then three variations of relevance (meaningfulness, relevance to self, relevance to others)</t>
  </si>
  <si>
    <t>10
15</t>
  </si>
  <si>
    <t>open coding of responses about understanding of visualizations, and what they found important or memorable enough to comment on, stat analysis for other measures</t>
  </si>
  <si>
    <t>linear mixed-effect model, random intercept term (for individual diffs between participants)
Chi-square test of independence for each goal to see if there was a significant difference oerall between metadata categories.
power analysis to derive sample size for study 2
study 2: MANOVA, ANOVA with two or more dependent variables, Pillai's trace, post-hoc analysis and Tukey's adjustment</t>
  </si>
  <si>
    <t>"This practice has also been argued to be beneficial for prospective users by helping them interpret data [18], judge whether it is appropriate to apply a dataset to a problem [25], and determine what kinds of conclusions can be responsibly inferred from data [26]."
"In addition, there may be other aspects of a visualization's history and context which may be important to divulge, but not typically considered data. For example, positionality statements which describe an author's worldview and the ways that they think about the social and political context of their research are commonplace made in social science [14], [27], [28]. Understanding the positionality of people is an integral component of understanding the visualizations they make because one's identities and experiences both frame and limit which knowledge they create [29], [30], [31], [32]. This kind of information is considered metadata by our definition but may have been left out by past work because it is not readily quantifiable and therefore not typically considered data. ...Finally, feminist scholars have emphasized the importance of understanding the social and historical contexts of data to challenge hegemonic power structures (e.g., [25], [29], [30])."
not directly mentioning responsibility, but the idea that trustworthiness and persuasiveness are linked. "Further, it mentioned both trustworthiness and persuasiveness because the two have been shown in past work to be closely linked (e.g., in [70]) and a visualization which is selected because it is trustworthy and persuasive may be believed to contain true information and possess some quality that convinces other readers of that truth. ...We asked participants about how someone else would respond because prior work suggests that asking participants about how others will respond can result in responses that are more honest because participants are not providing answers that they think are more socially acceptable or desired by researchers [35]. "</t>
  </si>
  <si>
    <t>This deals with measuring trust, but does not make reference to engagement or emotional response, specifically. It can be used as related work/referenced in discussion about strategies to promote trust (using vistrust affective trust dimensions) like data source, etc. But then if including, then also 'do you trust this vis' should be included as well.</t>
  </si>
  <si>
    <t>A043</t>
  </si>
  <si>
    <t>Ferreira, Marta Galvão; Hsi, Sherry</t>
  </si>
  <si>
    <t>Dear Nature: Using data drawings to promote sensemaking in human-nature relations</t>
  </si>
  <si>
    <t>https://dl.acm.org/doi/10.1145/3643834.3660732</t>
  </si>
  <si>
    <t>10.1145/3643834.3660732</t>
  </si>
  <si>
    <t>Portugal, USA</t>
  </si>
  <si>
    <t>Humans are experiencing both anxiety and hopelessness regarding how they, as individuals, can affect positive change to mitigate climate change in complex human-made systems. This exploratory design research investigates how data drawings, created from personal, place-based observations of nature, can enhance human-nature connection and sensemaking in the Anthropocene. Can cooperative inquiry across different geographies, and the consequent confrontation of experiences, lead to a deeper awareness of larger, more-than-human systems? We introduce (1) a post-humanist design method called Dear Nature for supporting mindful reflection and sensemaking in human-nature relations, (2) our methodology and process based on data humanism, (3) analyses and outcomes from a five-week-long data collection and (4) considerations regarding how we can explore human-nature data reflections collectively to decenter the human in design. This first humble step towards non-anthropocentric design could lead to insights into post-humanist design thinking and the role of the human (and more-than-human) in designed systems.</t>
  </si>
  <si>
    <t>Dear Nature</t>
  </si>
  <si>
    <t>To adapt the Dear Data approach and promote sensemaking and deeper understanding of human-nature connections, by collecting data through direct observation, creating hand-made data visualizations, and using auto-ethnographic reflective practices and mutual exchange of ideas.
"This exploratory design research investigates how data drawings, created from personal, place-based observations of nature, can enhance human-nature connection and sensemaking in the Anthropocene. Can cooperative inquiry across different geographies, and the
consequent confrontation of experiences, lead to a deeper awareness of larger, more-than-human systems?"</t>
  </si>
  <si>
    <t>Emotional response as one of the types of connection with nature, as well as "using experiential connections in natural settings, gaining cognitive connections through knowledge creations and questioning beliefs and attitudes, and questioning philosophical relations of humans with nature."</t>
  </si>
  <si>
    <t>Beauty in making small observations, capture voices through drawing and writing- data narratives close the divide between quant data and real-world significance - stories, knowledge, people, behaviours - through use of qualitative layers of contextual information. Forging a personal connection with data through relatable ideas. In summary, data humanism proposes to “transform cold numbers into emotional and resonant experiences” in which “data is a filter we can use to see the world one subject at a time to better understand it” [44]"
"“Decentering the human in design is not merely a theoretical stance and/or a methodological move. It is a personal and emotionally difficult journey to reconfigure one’s self as a designer and researcher, a psychological labor that, while worth doing, is also part of the reason why this desired paradigm shift in design is so difficult to put into practice.” [7]. "</t>
  </si>
  <si>
    <t>engage (take part in, experience, actively participate) in shared sensemaking in conversations about experiences and reflections.
engage - how design can engage  (concern oneself, interact with, respond to, question) with contemporary troubles to imagine new relations to the environment in times of crisis through less productivist, playful, and experimental experiences.</t>
  </si>
  <si>
    <t>actively participating, experiencing, sense-making, discussing, reflecting</t>
  </si>
  <si>
    <t>how design can engage  (concern oneself, interact with, respond to, question) with contemporary troubles to imagine new relations to the environment in times of crisis through less productivist, playful, and experimental experiences.</t>
  </si>
  <si>
    <t>turning away from hopelessness, toward positive change, connection, introspection (these have emotional elements, but may be more cognitive?)</t>
  </si>
  <si>
    <t>Hopelessness, Anxiety, Remorse, Anger</t>
  </si>
  <si>
    <t>through data collection/observation - neutral/negative emotions - observing things around that are bad for environment, e.g., plastic, waste- and feeling remorse and deepening anxiety; increased introspection; mad at others
-imagining future scenario: kind of impotent, guilt
-made people feel closer to nature, but also elicited more negative emotions, some positive
-participants reported feeling more presence (thinking about present systems) and anthropocentric views. inspired curiosity, sensemaking, outward reflection, with some inward reflection and a bit less shift in mindset (they were already attuned to these issues, perhaps).
"We explored Dear Nature as an attempt to foster human-nature data reflections to inspire posthuman design thinking. Both a method of self-reflection through data drawings and a tool to assist in personal sensemaking with the natural environment, this could be a humble entrée into posthuman design thinking for global sensemaking of the more-than-human around all of us. A collaborative method that assists in a more flobal understanding of our natural systems by confronting the researcher and the speculative designer with another's reality and the overlooked systems around them." A new way to position ourselves within a diverse global (eco)system, and by "engaging with difference and plurality" (Akama 2020 - more-than-human concerns)
"Furthermore, despite the fact that most of the emotional responses in the post-drawing reflections were either neutral or negative, we, as participants in our experiment, were still motivated to continue in this mindful method and practice even beyond the 5-week period. "
"We asked: Does this help us understand our relationship to nature and human-made technological systems within it? Does this contribute to post-humanistic design thinking? Based on our lived experiences using the cards and pens as well as our reflections on data, our answer is resolutely yes. Through our qualitative data analyses, shared dialogue, and peer validation, we made observations in the present, unpacked complex ideas together, raised new curious questions, and speculated about the future of social, technological and ecological systems. "</t>
  </si>
  <si>
    <t>based on dear data</t>
  </si>
  <si>
    <t>diary study, autoethnographic</t>
  </si>
  <si>
    <t>hybrid</t>
  </si>
  <si>
    <t>F</t>
  </si>
  <si>
    <t>1st author a communication design professional and HCI design scholar with perspectives in environmental vis and comms. 2nd author is a learning scientist and science education designer for youth. neither fully identify as environmental activists, but value climate change advocacy</t>
  </si>
  <si>
    <t>Autoethnographic method</t>
  </si>
  <si>
    <t>diary study, autoethnographic approach, 5 weeks</t>
  </si>
  <si>
    <t>together developed their own protocol for Dear Nature</t>
  </si>
  <si>
    <t>5 weeks</t>
  </si>
  <si>
    <t>qualitative, auto-ethnographic methods (show strength of presence or absence of phenomena)</t>
  </si>
  <si>
    <t>no</t>
  </si>
  <si>
    <t>-just two researchers, so constrained by individual and paired observations. How would this look with more 'dyads', a whole group, or a larger community of aspiring data humanists. could work with young pepole and future designers could help cultivate more widespread collective sensemaking to contribute to climate education and literacy, or as a form of speculative 
"Despite participants having different levels of expertise, artistic designerly sensibilities and documentation skills with respect to drawing and data visualization, as evidenced in each card, the initial small act of an observation and reflection could be accomplished by anyone."</t>
  </si>
  <si>
    <t>"As Heidi Biggs articulated well, “Decentering the human in design is not merely a theoretical stance and/or a methodological move. It is a personal and emotionally difficult journey to reconfigure one’s self as a designer and researcher, a psychological labor that, while worth doing, is also part of the reason why this desired paradigm shift in design is so difficult to put into practice.” [7]"
"As we learn from Haraway and Endy [27], who advocate for generative, less destructive biological future, the Dear Nature method aims to encourage sensemaking in human-nature matters, contributing to the “reconnection agenda” [30]."</t>
  </si>
  <si>
    <t>If this is included, what's to say we don't include studies that focus on e.g., personal health data tracking, and emotional responses to that? it would open up a whole can of worms.... but it seems relevant if it can be argued in the appropriate way, because it could be something related to citizen science or getting people more hands-on as a way for them to have stronger emotional connections
Responsibility towards whom? Other people. The planet (more-than-human design). Responsibility to educate new generations in ways that will encourage them to think positively and actively about these issues.
"Philosophically, my approach to digital One Health draws on Rosi Braidotti's affirmative ethics approach, which adopts a more-than-human perspective. Such a perspective highlights the relationality of all things, human and nonhuman, and considers how people can become more sensitised to their connections with other creatures and the environment so that mutual flourishing can occur: or what Braidotti refers to as ‘generative life’. (Braidotti cited in Lupton 2022)"</t>
  </si>
  <si>
    <t>A044</t>
  </si>
  <si>
    <t>Ferreira, Marta; Nunes, Nuno; Ferreira, Pedro; Pereira, Henrique; Nisi, Valentina</t>
  </si>
  <si>
    <t>Connecting audiences with climate change: Towards humanised and action-focused data interactions</t>
  </si>
  <si>
    <t>https://linkinghub.elsevier.com/retrieve/pii/S1071581924001241</t>
  </si>
  <si>
    <t>This paper investigates the relationship between design research and humancomputer interaction (HCI) in the context of climate change communication and engagement. We discuss current practices in climate change communication and the decrease in concern and engagement caused by “crisis fatigue”. Through Research through Design (RtD), we set out to investigate data humanism and how users react to climate change data, testing approaches to improve engagement. With this purpose, we designed and evaluated Finding Arcadia, an interactive data story that uses data humanism to shift the dialogue from crisis-focused to action-focused. One study with the original IMF visualisations (N = 17) and two studies in public spaces (N = 12 and N = 64) point to the contextualization of the data and presenting actionable solutions helping in engaging users with climate change issues; help in creating solution-focused narratives and interpreting and relating with climate data. From these results, we derive insights for designing empowering interactive data visualizations for resilient climate change engagement.</t>
  </si>
  <si>
    <t>Connecting audiences with climate change</t>
  </si>
  <si>
    <t>This looks like a pilot/feasibility study for the 'Finding Arcadia' project. They did a 6-8wk follow-up instead of 6mo. The paper describes in more detail the iterations and design rationale for the FA story.</t>
  </si>
  <si>
    <t>positive framing counterbalances crisis fatigue and can help empower individuals and communities toward positive climate change action</t>
  </si>
  <si>
    <t>"However, there is increasing evidence of “crisis fatigue” – a phenomenon where people become overwhelmed and desensitized by repetitive exposure to negative events and related emotional framings, which leads to decreased concern and public engagement (Beehler, 2019; Flinders, 2020; Bloodhart et al., 2019; Feinberg et al., 2011; O'Neill and Nicholson-Cole, 2009)."</t>
  </si>
  <si>
    <t>engagement as message tailoring, focusing on individual's particular needs and avoiding a one-size-fits-all approach. 
UN Commnicating on Climate Change
-engagement as spending time with data, learning about the information (Van den Bosch et al 2022 - not an original def)</t>
  </si>
  <si>
    <t>spending time with, learning</t>
  </si>
  <si>
    <t>Van den Bosch et al 2022</t>
  </si>
  <si>
    <t>IMI?</t>
  </si>
  <si>
    <t>positive framing</t>
  </si>
  <si>
    <t>Line, Geospatial map, Infographic</t>
  </si>
  <si>
    <t>Personalization, Storytelling, Framing (positive)</t>
  </si>
  <si>
    <t>"This paper intends to deepen the debate surrounding the complexity of engaging diverse audiences with climate change data and building on the challenges of shifting the climate change dialogue from one focused on “doom and gloom” to action-focused narratives." Designing relatable data visualizations focused on solutions might be as important as accuracy.
-placing the data story in 'mundane contexts' like local market can bring the topic to a wider audience, including those who might not have been previously interested in sustainbility topics. equity and acess, particularly in designed spaces, represent challenges for engagement with scientific content.
-scientific data can remain abstract to many, so careful crafting through data vis, by relating the user's context and personal details (humanizing the data) - as called by UND Global Communications, or creating deeper connections through a form of 'participatory' data (Zhao and Sun 2022), greatly helped in understanding the real meaning of the numbers. Information personalization strategies are well positioned to contradict the 'one-size-fits-all' approach of datavis, and can help connect users with climate change data.
-need to link the data to solutions: the story can transmit hope through action. reinforce solution-oriented communication and ensure that positive negagement is translated to longer-term perception. people remember best the information that is linked to what they already know or do.
-longitudinal studies can assess long-term impact.
-how to balance individual action with broader system change. "The focus of this study is not on testing possible behavior change through persuasion, an approach widely used in SHCI but that has been labelled as narrow and possibly ineffective (Brynjarsdottir et al., 2012), but rather on the importance of message creation and communication choices in climate change interactions and how they influence perception-change of such a negatively charged and biased issue. "
-how to counter the common negative framing associated with climate change communication. "People have come to expect negative narratives associated with climate change, and even with different strategies in place to try and counter it, this hard-set bias is challenging to contradict and inevitably takes time and consistent interaction, as discussed by (Lakoff, 2010). In response to this tendency, initiatives like Good Energy (Joyner et al., 2022) or Transmedia for Change (T4C) (Pratten, 2015) urge storytellers to engage audiences through positive messages that inspire and motivate, in line with the proposals for better climate change engagement mentioned in 2.1.1. "</t>
  </si>
  <si>
    <t>this was the pre-study</t>
  </si>
  <si>
    <t>observation in-the-wild</t>
  </si>
  <si>
    <t>no other demographic info collected</t>
  </si>
  <si>
    <t>in-the-wild science museum and local market study</t>
  </si>
  <si>
    <t>survey with IMI questions</t>
  </si>
  <si>
    <t>10min, 6-8wk follow-up</t>
  </si>
  <si>
    <t>in-the-wild approach</t>
  </si>
  <si>
    <t>quant (avg) for ratings, thematic analysis for interviews</t>
  </si>
  <si>
    <t xml:space="preserve">-engaging with different audiences within particular communities, leveraging their own experiences and stories, is a promising avenue for future design applications. digital technologies can assist in this urgent engagement need. apply data humanism in diff cultural contexts, and consider closer links to communities and personal values. or alternative features within the data humanism framework, and diverse datasets to explore.
-lack of longitudinal study, but could provide some insights into the effectiveness of communication strategies
</t>
  </si>
  <si>
    <t>A shift toward positive framing of messages to communicate climate change, rather than negative framing. Inconclusive earlier research related to negative framing. "The comments made by users point ot this need to present more diverse narratives that don't focus only on negative consequences"
-equitable access to scientific content. "science capital" - a concept to assess an individual's relationship with science as a consequence of class and other socio-structural issues, represents a faultline that HCI interventions can assist in addressing. HCI should support science communication efforts- this study takes these concerns from the digital to the physical realm</t>
  </si>
  <si>
    <t>Does this also have to be included? Feels like a repeat of the DIS paper, because it is... or maybe this is the prototyping stage and the DIS paper is the actual exhibit and 6mo follow-up (...just to get another paper out of it?)</t>
  </si>
  <si>
    <t>A038</t>
  </si>
  <si>
    <t>Klettner, S</t>
  </si>
  <si>
    <t>The significance of the cartographic sign: influences of symbol shape on intuitive judgments</t>
  </si>
  <si>
    <t>Some of the maps we encounter in our daily lives have become simpler and smaller, to the extent that they may employ only a single symbol to depict a particular incident. As maps and their symbols are never neutral, research on visual semiotics emphasizes the importance of exploring the implicit, connotative effects of signs on human responses. This study, therefore, aimed to assess the influence of simple monothematic web maps on map users’ judgments. It examined how the severity of negative geospatial events was perceived when represented by cartographic point symbols that varied in shape. In total, 72 maps (12 negative topics, each depicted by six map symbols) were rated by 82 participants. The results showed that asymmetric star symbols led to the highest estimates of the events’ perceived severity, followed by symmetric star symbols. Triangle and rhomb led to the lowest ratings. Circle and square showed the most variable results: they led to high and low ratings depending on the map topic. The findings demonstrate that map symbols influence how people imagine geospatial events. These findings call for a more vigorous focus on the connotative meanings of visual signs in cartographic research and practice.</t>
  </si>
  <si>
    <t>Cartographic Sign</t>
  </si>
  <si>
    <t>To assess the influence of simple monothematic web maps on map users' judgments, specifically icon design.</t>
  </si>
  <si>
    <t>Since map design is never neutral or value-free, they can be designed for emotional impact which has subsequent influence on meaning and interpretation of maps</t>
  </si>
  <si>
    <t>"Maps are the result of a series of decisions on what to communicate and how to depict it. These decisions are shaped by various factors, including the cartographers’ knowledge, perceptions of reality, sociocultural context, skills, etc. These cartographic design choices play a pivotal role in influencing how map users interpret a map, its elements and expressions, and what meaning they derive from it. Maps are thus never neutral or value-free. They carry the imprints of the perspectives, biases, and intentions of their creators."
semioticians proposed two core dimensions of meaning inherent in any sign: reference and sense. reference: cartographic signs function as identifies, serving purpose of informing, indicating, labeling, denoting - aligns with how geospatial information is communicated through maps, emphasizing role of signs as conveyors of factual and objective information. sense: layer of connotations for map signs - do not only inform, but also prescribe, express, stimulate associations. Critical approaches within cartosemiotics underscore need for understanding maps beyond a neutral, referential representation. "they are seen as entities that “invite a particular interpretation, that is formed by experience and social interaction” (Lechner 2020, p. 333)." Signs are open to interpretation.</t>
  </si>
  <si>
    <t>lots of refs about impact of colour, but they investigate shape in this one</t>
  </si>
  <si>
    <t>12 negative map topics chosen a priori by the experimenter</t>
  </si>
  <si>
    <t>Negative emotions (unspecified)</t>
  </si>
  <si>
    <t>Negative valence in general</t>
  </si>
  <si>
    <t>Map, Iconography</t>
  </si>
  <si>
    <t>Map, Pictograph</t>
  </si>
  <si>
    <t>pictograph</t>
  </si>
  <si>
    <t>-armed conflict had highest negative valence rating, avalanche and traffic accidents as the least negatively valenced
-judgments were significantly affected by symbol type - different severity judgments across all depicted negative geospatial events
-SUMMARY: The findings indicate three distinct responses related to symbol shape: First, asymmetric star symbols significantly increased participants’ severity estimates across all map topics. Second, symmetric stars generally elicited second-highest estimations. Third, topics depicted by polygonal and round shapes generally led to significantly lower severity ratings. However, circles and squares, showed the most variability among the shapes, with severity estimations comparable to those triggered by symmetric star symbols, depending on the specific context.
-These findings correspond with results from related research that suggest a general human tendency toward more negative associations for both asymmetric shapes (cites other studies).
-partial support for asymmetric star symbols as having higher perceived severity compared to polygonal or round cartographic point symbols. not consistent however
-asymmetric star: higher severity rating for all 12 topics (except for melting glaciers), less difference also for water scarcity, poverty, coral bleaching - compared to second highest rating?
-symmetric star: second-highest severity rating, in general. higher than circles and squares
-polygonal and round shapes: circle, triangle, square, rhomb generally had lowest severity ratings, and did not show sig diff between one another. exception: floods represented by triangles led to significantly lower raitings compared to circles or rhombus. circles equally high as symmetric stars for: water scarcity, floods, melting glaciers, smog, poverty, coral bleaching; square equally high as symm. stars for ... a bunch
"Floods emerged to be the only topic with significant differences among the polygonal and round shapes. Specifically, triangles led to the lowest severity judgments and were significantly different from circles and rhombs (Map D – Floods). Severity estimates for Map E – Melting Glaciers showed no significant differences among any of the polygonal and round shapes, even exhibiting similar severity judgments as symmetric stars. "</t>
  </si>
  <si>
    <t>style of icon</t>
  </si>
  <si>
    <t>symbol/icons</t>
  </si>
  <si>
    <t>local, regional</t>
  </si>
  <si>
    <t>Bachelor students in a cartography course</t>
  </si>
  <si>
    <t>22.79 avg</t>
  </si>
  <si>
    <t>self-evaluated affinity for graphic design (53.7% moderate), maps (52.4% moderate)</t>
  </si>
  <si>
    <t xml:space="preserve">repeated measures design, all participants rated all 72 stimuli
-rate perceived severity based on symbol shapes, topic judgments (pre-analysis to ensure topics' perceived negative valence)
</t>
  </si>
  <si>
    <t>Likert survey questions</t>
  </si>
  <si>
    <t>LimeSurvey</t>
  </si>
  <si>
    <t>one-way ANOVA
Mauchly's test of sphericity (violation can lead to increased Type I errors- false positives) - greenhouse-geisser correction
post-hoc tests for between-group differences</t>
  </si>
  <si>
    <t>-" A comprehensive understanding of shape connotations in diverse contexts is essential, aiming to uncover the impact simple point symbols may have on how people imagine the geospatial phenomena they represent."
"One that might have contributed to the participants’ judgments, might be the events’ boundedness, referring to how diffuse or bounded an event is in space and time. Yet, this aspect was not examined in the present study. Future research is, therefore, needed to explore the various potential connotations that may contribute to such context-specific relations."
-the effect of animation on connotation, conveying a sense of danger, could induce more negative responses than static symbols. future work can investigate their impact on judgment, especially especiallyw ithin context of more complex thematic maps.
-investigate impact of visual complexity - e.g., using multiple types of symbol in one map. other elements controlled, like colour, texture, size, orientation - so introducing those elements as well.
-have more realistic study settings, e.g., embedding mapsi n news articles, or including a story with the map; topic selection - neutral or positive valence</t>
  </si>
  <si>
    <t>nothing specifically mentioned, but in the conclusion: "The empirical findings lead to the conclusion that map signs are more than neutral identifiers. Through their connotative meanings, they influence people’s judgments about geospatial events, suggesting an impact on how individuals imagine such events."</t>
  </si>
  <si>
    <t>A029</t>
  </si>
  <si>
    <t>Morini, F; Eschenbacher, A; Hartmann, J; Dörk, M</t>
  </si>
  <si>
    <t>From Shock to Shift: Data Visualization for Constructive Climate Journalism</t>
  </si>
  <si>
    <t>We present a multi-dimensional, multi-level, and multi-channel approach to data visualization for the purpose of constructive climate journalism. Data visualization has assumed a central role in environmental journalism and is often used in data stories to convey the dramatic consequences of climate change and other ecological crises. However, the emphasis on the catastrophic impacts of climate change tends to induce feelings of fear, anxiety, and apathy in readers. Climate mitigation, adaptation, and protection-all highly urgent in the face of the climate crisis-are at risk of being overlooked. These topics are more difficult to communicate as they are hard to convey on varying levels of locality, involve multiple interconnected sectors, and need to be mediated across various channels from the printed newspaper to social media platforms. So far, there has been little research on data visualization to enhance affective engagement with data about climate protection as part of solution-oriented reporting of climate change. With this research we characterize the unique challenges of constructive climate journalism for data visualization and share findings from a research and design study in collaboration with a national newspaper in Germany. Using the affordances and aesthetics of travel postcards, we present Klimakarten, a data journalism project on the progress of climate protection at multiple spatial scales (from national to local), across five key sectors (agriculture, buildings, energy, mobility, and waste), and for print and online use. The findings from quantitative and qualitative analysis of reader feedback confirm our overall approach and suggest implications for future work.</t>
  </si>
  <si>
    <t>From Shock to Shift</t>
  </si>
  <si>
    <t>agriculture, buildings, energy, mobility, and waste</t>
  </si>
  <si>
    <t xml:space="preserve">"To foster readers' affective engagement (emotional involvement) with climate protection and promote a shift from negative feelings of shock and hopelessness to positive and actionable attitudes." </t>
  </si>
  <si>
    <t>They want to leverage data visualizations to elicit positive emotions related to "constructive" climate journalism - the positive and educational reporting of climate related news, to boost positive and actionable attitudes. "Given its complexity, which often triggers either anxiety or indifference in readers, we explore the emotional aspects of engagement in the context of constructive climate journalism."</t>
  </si>
  <si>
    <t>Climate change communication benefits from data personalization, localization, and diversification across channels
-is data visualization too linked with traditional reporting?
-task-sensitive process to assist journalists in selecting the most suitable visual representation for their data (Bieh-Zimmert &amp; Felden - Shaping data)
-Dasgupta et al Bridging theory with practice - guidelines to help domain experts to design comprehensible, clear, scientifically accurate visualizations - but remains a need for design principles and practical approaches to effectively convey climage  change related data stories to general audiences
-general audiences need to be able to look through scientific information and data to provide more context when deliberating environmental policies - attitudes toward climate change and social, cultural, and economic context has been taken into consideration (Lorenzoni et al. Barriers perceived to engaging with climate change 2007)
Domain challenges:
-multidimensionality of climate related data, and scope/breadth of topic and everything it impacts
-multilevel - global to local
-multichannel - cuts across generational and cultural boundaries, how to reach people of diff ages, trust, interest across diff media- vis has to be adapted for diff channels, audiences, and contexts
design goals: encourage hopefulness (by showing solutions, positive future scenarios, contextualized data interpretations); low-threshold access (entice curiosity, encourage readers to keep exploring); make it personally relevant, sharing of insights (easily shared amongst readers) - datasets do not speak for themselves, readers should bea ble to exchage thoughts and reactions in context of vis to facilitate affective engagement with the topic; targeted vis in diff contexts and for diff audiences</t>
  </si>
  <si>
    <t>"Engagement can be defined as an experiential attribute of interfaces, including visualizations, with dependencies on users’ decisionmaking [40]. Engagement concerns the emotional, cognitive, and behavioral connection that exists between a user and a resource in or over time [Attfield et al 2011]"
We follow Hung and Parsons’ definition of affective engagement as the “user’s emotional involvement or investment while interacting with a visualization” [10]. Affective engagement extends beyond usability and considers users’ subjective experience with visualizations. This concept is crucial for climate data visualization, as it allows to move from the notion of users’ engagement with an interface to readers’ emotional and intellectual investment in a topic. Focusing on affective engagement is key to counterbalance negative and fear-inducing coverage of climate change, and promote the authoring of positive and constructive data stories that shift from focusing exclusively on climate change to include topics such as climate protection and mitigation.</t>
  </si>
  <si>
    <t>Engagement concerns the emotional, cognitive, and behavioral connection that exists between a user and a resource in or over time [41]"
“user’s emotional involvement or investment while interacting with a visualization”</t>
  </si>
  <si>
    <t>Emotional, cognitive, and behavioural connections between a user and resource at any given point in time, and over time. Engagement an intermediate position between cognition and affect.</t>
  </si>
  <si>
    <t>Hypothesizing that positive emotions can be more impactful for driving positive change than negative framing about climate topic, which is very common</t>
  </si>
  <si>
    <t>Bar, Line, Stream, Area, Lollipop, Donut</t>
  </si>
  <si>
    <t>vis type(s), design element(s), narrative element(s), presentation format</t>
  </si>
  <si>
    <t>chart type, colour, narrative elements, format</t>
  </si>
  <si>
    <t xml:space="preserve">Chart Type:
-hopefulness increased seeing positive (good) data trends
-others felt fear and hopelessness from visualizations, would not send the postcards to anyone, find them awful
Proximity:
-positive feeling from thinking about local example; local context made readers feel more active and increased perceived novelty (local first, zoom out after)
Format:
-no difference in engagement between three formats (online, offline, mixed)
-postcards felt more personal and familiar rather than political
-motivation to share postcards (but not all); shareable nature felt empowering
-offline/mixed format participants felt a stronger call to action and were more motivated to share the postcards, felt more activating; online had a mix of hope and fear
</t>
  </si>
  <si>
    <t>- design concept was perceived as helpful (77.5% or 162 found format and local information very helpful)
- positive feelings (hopefulness) were derived from being able to look at development across sectors, and remembering specific positive local example, positive trend in a sector, feelings of hope and motivation to share postcard and encourage others to explore
- style/aesthetic and surprising statistics (rather than what's 'known' or common knowledge) are "more shareable"
- negative emotions were expressed by some but still with feeling of getting active
- but the format didn't reach some others (not really engaged, did not feel positive about the postcards)
- fear and hopelessness from visualizations- would not send the postcards to anyone, find them awful
- no difference in measured engagement between the three channels (online, offline, mixed). Qual responses gave more insight: online- mix of hope and fear, or wanted more information; offline - would share with friends and family, sometimes cheered on in messages, or tried to motivate others to get involved and active about climate protection; mixed- overall positive responses, more people formulated a call to action, trying to motivate friends or help change their political mindset
- localization - weak effect size of localization, but those who used the feature were more likely to produce structured commentary, mindful of how their own experience connects to the data. Personally relevant local vis made readers feel more active toward the topic, also seemed to increase perceived novelty- contradicts 'overview first, details on demand' mantra
- postcards felt more personal and familiar, rather than political
- shareable nature of postcards felt empowering
- multichannel approach was also more activating (maybe just because they saw it more?)</t>
  </si>
  <si>
    <t>Personalization, rhetoric, experiential vis design: -RZ: consider positive framing, tactile and more personal-type experiences</t>
  </si>
  <si>
    <t>Motives- depending on context (indicator)</t>
  </si>
  <si>
    <t>proximity (space)</t>
  </si>
  <si>
    <t>screen, print</t>
  </si>
  <si>
    <t>participatory, co-design process to develop the stimuli</t>
  </si>
  <si>
    <t>case study, controlled in-the-wild</t>
  </si>
  <si>
    <t>online, newspaper</t>
  </si>
  <si>
    <t>general (typically readers of taz, German newspaper online and on paper)</t>
  </si>
  <si>
    <t>general, Germans</t>
  </si>
  <si>
    <t>50+ (mostly)</t>
  </si>
  <si>
    <t>41% F</t>
  </si>
  <si>
    <t>left-leaning, Green-party supporters</t>
  </si>
  <si>
    <t>survey (in part based on Hung and Parson criteria for measuring engagement with datavis)</t>
  </si>
  <si>
    <t>"guerrilla" style through newspaper (print and online), physically handed out at taz-organized events, conferences, local businesses to reach outside of typical readership as well</t>
  </si>
  <si>
    <t>quantitative, qualitative thematic analysis</t>
  </si>
  <si>
    <t>qualitative analysis- existing analytical frameworks (Hullman et al framework for categorizing commentary to journalistic data vis - context/content oriented, critical/non-critical) and coders' individual sense-making
Kruskal-Wallis and Wilcoxon-Rank-Sum, Cohen's for effect size</t>
  </si>
  <si>
    <t>- multichannel strategies should be explored (e.g. printed visualizations as main outcome? do diff channels need diff design approaches and strategies?)
- localization and comparison was not possible with physical postcards (it worked online)
- self-reported engagement from readers (e.g. intention to send postcards does not reveal actual sharing habits)
- short survey responses felt limiting- fewer participatns or further data collection iterations?
- how to support production of constructive climate journalism and support journalists to make snese of, structure highly complex and multi-dimensional data - creation of authoring systems and strategies is essential to scale reach</t>
  </si>
  <si>
    <t>"We hope this research will motivate visualization scholars
and practitioners to expand this approach to other complex topics of
constructive data journalism, e.g., biodiversity loss and water scarcity.
Expanding our knowledge about the capacity of data visualizations to
support readers’ affective engagement with complex issues can enhance
public engagement with the difficult and urgent challenges of our time."</t>
  </si>
  <si>
    <t>They focus on reframing difficult topics to present data/information in a way that can motivate readers toward positive change, by eliciting positive emotions. Doesn't seem ethically problematic</t>
  </si>
  <si>
    <t>A051</t>
  </si>
  <si>
    <t>Rogha, Milad; Sah, Subham; Karduni, Alireza; Markant, Douglas; Dou, Wenwen</t>
  </si>
  <si>
    <t>The Impact of Elicitation and Contrasting Narratives on Engagement, Recall and Attitude Change with News Articles Containing Data Visualization</t>
  </si>
  <si>
    <t>https://ieeexplore.ieee.org/document/10409610/</t>
  </si>
  <si>
    <t>News articles containing data visualizations play an important role in informing the public on issues ranging from public health to politics. Recent research on the persuasive appeal of data visualizations suggests that prior attitudes can be notoriously difficult to change. Inspired by an NYT article, we designed two experiments to evaluate the impact of elicitation and contrasting narratives on attitude change, recall, and engagement. We hypothesized that eliciting prior beliefs lead to more elaborative thinking that ultimately results in higher attitude change, better recall, and engagement. Our findings revealed that visual elicitation leads to higher engagement in terms of feelings of surprise. While there is an overall attitude change across all experiment conditions, we did not observe a significant effect of belief elicitation on attitude change. With regard to recall error, while participants in the draw trend elicitation exhibited significantly lower recall error than participants in the categorize trend condition,we found no significant difference in recall error when comparing elicitation conditions to no elicitation. In a follow-up study, we added contrasting narratives with the purpose of making the main visualization (communicating data on the focal issue) appear strikingly different. Compared to the results of study 1, we found that contrasting narratives improved engagement in terms of surprise and interest, but interestingly resulted in higher recall error and no significant change in attitude. We discuss the effects of elicitation and contrasting narratives in the context of topic involvement and the strengths of temporal trends encoded in the data visualization.</t>
  </si>
  <si>
    <t>Elicitation and Contrasting Narratives on Engagement, Recall and Attitude Change with News Articles Containing Data Visualization</t>
  </si>
  <si>
    <t>To investigate the impact of elicitation and contrasting narratives on memory, engagement, and ultimately attitude change.</t>
  </si>
  <si>
    <t>Evoking responses like surprise can be an important factor in persuasion and trust. It get people more concerned about the topic presented in the datavis, especially if they were less involved to begin with.</t>
  </si>
  <si>
    <t>Given the increased use of data visualizations in news articles [4], [5], is there anything visualization researchers and designers can do to create higher engagement and “nudge” individuals to elaborate more? Increasing elaboration has been linked to higher chance of attitude change, as outlined through the ELM.
- prior beliefs can bias interpretations of data visualizations, leading viewers to overestimate correlations between variables they believe are related, and underestimate them when they think variables are unrelated [18].
-People can be reluctant to update their prior beliefs, especially when given a reason not to. Research suggests that people are more conservative in updating their beliefs when the data presented in scatterplots are incongruent with their prior beliefs[8], [18]. Xiong et al. discovered that when the variables are “belieftriggering,” there is minimal change between the prior and post beliefs [18]. Kim et al found that participants were less likely to update their belief when other people's expectations aligned with their own initial expectations but not with the data [20].
-work into belief decay (reverting back to old beliefs) and belief persistence (maintaining updated beliefs)
-people remember data better when it matches their expectations, and tend to maintain their own expectaitons and distrust the data when it aligns with others' but differs from the actual data.
-topic involvement: Topic involvement measures personal relevance and motivation to learn about controversial topics [31] and was shown in prior research to impact belief and attitude change [8].
"We believe due to the current polarized conversations around the opioids epidemic, this is an appropriate theme to address and learn about how visualizations and narrative might help with attitude change around polarizing topics."</t>
  </si>
  <si>
    <t>to actively participate in (exploration of data), to pay attention to, to hold interest and elicit response (surprise). 
article engagement- as a proxy for amount of elaborative thinking that occurs in response to each article
user engagement - surprise, recommend, interest - adapted from the User Engagement Scale (UES, OBrien Cairns Hall 2018)</t>
  </si>
  <si>
    <t>User Engagement Scale, capturing attention, exploring, eliciting a response</t>
  </si>
  <si>
    <t>O'Brien Cairns Hall 2018</t>
  </si>
  <si>
    <t>User Engagement Scale capturing/focusing attention, exploring, eliciting a response</t>
  </si>
  <si>
    <t>article engagement- as a proxy for amount of elaborative thinking that occurs in response to each article</t>
  </si>
  <si>
    <t>selected from the User Engagement Scale, including surprise, recommend, having interest</t>
  </si>
  <si>
    <t>Surprise</t>
  </si>
  <si>
    <t>tabular, temporal</t>
  </si>
  <si>
    <t>narrative element(s), interactivity, elicitation</t>
  </si>
  <si>
    <t>narrative elements, interactivity, elicitation</t>
  </si>
  <si>
    <t>Effect of elicitation on recall: participants in the Draw condition were, on average, likely to be more accurate in recreating the trend than participants in the Categorize condition.
Interestingly, the results for Studies 1 and 2 revealed that participants in the Draw elicitation condition were on average more accurate than the Categorize trend condition. However, recall errors from these two conditions were not significantly different than the Control condition. Overall, the magnitude of the effect on recall remains a question to be explored in future studies.
effect of elicitation on engagement: more participants in the Draw condition find the content of the article surprising. The results indicated that participants in the Draw
condition were on average likely to be more surprised compared to the Control and the Categorize conditions, while there was no apparent difference between the Categorize and Control conditions (Table II(a)). no effects for perceived interest or recommend questions.
-The results indicated participants in the Draw condition were on average more likely to indicate higher perceived surprise when compared to the Control and the Categorize conditions, while there was no difference between the Categorize and Control conditions, Table II(b). and again no effect on interest or recommend questions. Many in the Draw condition found the articles extremely surprising, and fewer responded not at all surprising.
effect of eliciation and contrasting: participants likely to be less accurate in recreating trends when contrasting narratives were present, indicating these contrasting narratives have a negative effect on recall accuracy, probably due to being exposed to multiple datasets.
-increased interest and surprise across all conditions in study 2 (which included contrasting narratives) - so these have positive impact on participant engagement with articles. Response to recommend question was higher for darw condition, but still not much for the others.
effect on attitude change: positive attitude change for those who did change (while most did not).
-people who already have higher topic involvement will already give strong initial responses regarding their attitudes
-overall attitude change is not significant between the two studies
Surprise: participants expressed higher levels of surprise in the Draw condition (See Fig. 6). This is interesting because surprise is known to be an important factor in persuasion and trust [43]. One way to explain this response is through the elaboration likelihood model. It is possible that when participants are asked to draw a pattern before being exposed to it, they may elaborate more on the discrepancies and thus report feelings of higher surprise.
Contrasting narratives: This contrast between the first two datasets and the main visualization might amplify the level of surprise at the rapid recent acceleration of the drug overdose crisis and lead to stronger feelings of engagement.</t>
  </si>
  <si>
    <t>elicitation technique (interactivity), contrasting narratives</t>
  </si>
  <si>
    <t>inspiration from the NYT article</t>
  </si>
  <si>
    <t>elicitation would be a form of interaction, very active role of the user
-kept theme in line with the NYT example</t>
  </si>
  <si>
    <t>general, US-based</t>
  </si>
  <si>
    <t>288
307</t>
  </si>
  <si>
    <t>35.6
28.4</t>
  </si>
  <si>
    <t>110 F
148 F</t>
  </si>
  <si>
    <t>ethnic background, education</t>
  </si>
  <si>
    <t>exp 1: 3 conditions- draw trend, categorize trend, no elicitation
exp 2: adding 2 contrasting narratives prior to the focal vis</t>
  </si>
  <si>
    <t>4-item questionnaire by Liao et al 2013</t>
  </si>
  <si>
    <t>13.8
19.1</t>
  </si>
  <si>
    <t>Bayesian statistical analysis</t>
  </si>
  <si>
    <t xml:space="preserve">"One potential confound on drawing a trend leading to better recall compared to categorize a trend is the matching of elicitation and recall technique. It might be interesting to explore in a future study to develop a recall technique that doesn’t match any of the elicitation techniques (draw and categorize) yet still captures participants’ memory in high fidelity."
-studies run at diff time points, could be other differences between samples which contribute to observed effects. Manipulate content of charts to control degree of ocntrast could better isolate the role of contrasting narratives in driving enhanced surprise and interest.
</t>
  </si>
  <si>
    <t>These exerpts are the closest the authors come to dealing with ethics/responsibility wrt this topic, i.e. contentious, highly-polarized topics and how to visualize data for engagement and persuasion.
"We believe due to the current polarized conversations around the opioids epidemic, this is an appropriate theme to address and learn about how visualizations and narrative might help with attitude change around polarizing topics." They picked a contentious topic to see if there is room for datavis to persuade.
"This underscores the necessity for visualization and article designers to provide clear, direct evidence linking data to policy when advocating for a policy through visualization. This situation presents intriguing research possibilities on the complexities and effectiveness of data visualization in promoting contentious policy agendas."</t>
  </si>
  <si>
    <t>A048</t>
  </si>
  <si>
    <t>Kale, Alex; Liu, Danni; Ayala, Maria Gabriela; Schwab, Harper; McNutt, Andrew</t>
  </si>
  <si>
    <t>What Can Interactive Visualization do for Participatory Budgeting in Chicago?</t>
  </si>
  <si>
    <t>https://ieeexplore.ieee.org/document/10669937/</t>
  </si>
  <si>
    <t>Participatory budgeting (PB) is a democratic approach to allocating municipal spending that has been adopted in many places in recent years, including in Chicago. Current PB voting resembles a ballot where residents are asked which municipal projects, such as school improvements and road repairs, to fund with a limited budget. In this work, we ask how interactive visualization can benefit PB by conducting a design probe-based interview study (N=13) with policy workers and academics with expertise in PB, urban planning, and civic HCI. Our probe explores how graphical elicitation of voter preferences and a dashboard of voting statistics can be incorporated into a realistic PB tool. Through qualitative analysis, we find that visualization creates opportunities for city government to set expectations about budget constraints while also granting their constituents greater freedom to articulate a wider range of preferences. However, using visualization to provide transparency about PB requires efforts to mitigate potential access barriers and mistrust. We call for more visualization professionals to help build civic capacity by working in and studying political systems.</t>
  </si>
  <si>
    <t>Interactive vis for participatory budgeting</t>
  </si>
  <si>
    <t>"Future research should involve residents and investigate what kinds of narrative visualization design patterns can improve access to data about the PB process. Prior work on visualization onboarding [84] will be highly relevant to this effort."
"our interviews made clear that visualization tools for PB need not only to facilitate comparisons of interest (e.g., demographic fairness, Fig. 4) but also to provide more narrative framing, exposition, and guidance on how to read charts (e.g., [84]). Such presentations might be personalized based on users’ interest and skill (e.g., [80]). The standardizing approach of dashboards may be poorly suited for PB due to highly heterogeneous municipal data standards (P02, P05, P10) and the messiness of civic engagement [24]. " open civid design to scaffold participation.</t>
  </si>
  <si>
    <t>" In developing visualizations to deploy for public audiences, future work should investigate ways of providing comparable affordances to people who are blind or live with other disabilities that impact the usefulness of visualization tools. Translation across sensorimotor modalities may be especially challenging for graphical elicitation techniques, and for this reason we suggest that button-press and bubble-fill interactions may be preferable to direct manipulation for preference elicitation"</t>
  </si>
  <si>
    <t>"It would be a mistake for the visualization community to view PB merely as another application area for which to build dashboards. The work of building civic capacity weaves the very fabric of our society. In the context of PB, this endeavor deserves and may even require the sustained involvement of visualization professionals, who can help to facilitate for municipal governments and their constituents the mutual support and accountability which enable “empowered participation” [31]."
"Persuasion and personalization. The use cases we envision for deliberation and storytelling require new ways of designing persuasive visualizations that are tailored to the context of a particular individual or group. Residents and PB organizers would benefit from specialized visualization authoring tools for constructing their own data-driven arguments—e.g, using personalized annotations to highlight value conflicts in a community, or presenting evidence from historical data to argue for a particular course of action. This aligns with recent calls to include decision-makers in designing visualizations of the criteria, alternatives, and preferences around decisions [67]. Visualization specialists can provide support in crafting these designs but should avoid attempting to impose the illusion of a neutral “view from nowhere” [Haraway 2016 situated knowledges]. Along with persuasive tools, the visualization community must create ethical standards [Correll ethical dimensions] for how these tools can be used responsibly—e.g., outlining what kinds of design tactics are permissible in a voting interface"
"Wading into politics. As tool-builders, we must recognize how our design choices address political questions, such as one raised by P01, P12, and P13: should PB be viewed more as a mechanism for public discussion or a decision-making procedure? We conclude that to treat PB only as a decision process begets excessive constraint and to treat it as mere discussion begets a lack of accountability; it must be both. It would be impossible to design PB tools in a way that is agnostic to such political questions, and thus, visualization researchers must play a humble role in defining the political processes we help to implement, although it may border on epistemic trespass in uncomfortable ways."</t>
  </si>
  <si>
    <t>They do not deal with emotional engagement, but they talk about some themes/ideas relevant to responsible/ethical use of visualizations in political contexts. So, reference for this</t>
  </si>
  <si>
    <t>A049</t>
  </si>
  <si>
    <t>Lisnic, Maxim; Lex, Alexander; Kogan, Marina</t>
  </si>
  <si>
    <t>"Yeah, this graph doesn't show that": Analysis of Online Engagement with Misleading Data Visualizations</t>
  </si>
  <si>
    <t>https://dl.acm.org/doi/10.1145/3613904.3642448</t>
  </si>
  <si>
    <t>10.1145/3613904.3642448</t>
  </si>
  <si>
    <t>Attempting to make sense of a phenomenon or crisis, social media users often share data visualizations and interpretations that can be erroneous or misleading. Prior work has studied how data visualizations can mislead, but do misleading visualizations reach a broad social media audience? And if so, do users amplify or challenge misleading interpretations? To answer these questions, we conducted a mixed-methods analysis of the public’s engagement with data visualization posts about COVID-19 on Twitter. Compared to posts with accurate visual insights, our results show that posts with misleading visualizations garner more replies in which the audiences point out nuanced fallacies and caveats in data interpretations. Based on the results of our thematic analysis of engagement, we identify and discuss important opportunities and limitations to effectively leveraging crowdsourced assessments to address data-driven misinformation.</t>
  </si>
  <si>
    <t>Yeah, this graph doesn't show that</t>
  </si>
  <si>
    <t>To understand engagement levels with misleading visualizations on social media (e.g., how they are shared, how people interact with/comment on these visuals).
"To capture the variety of responses elicited by data visualization interpretations of others, our paper analyzes engagement with data visualization posts on social media, and describes factors that lead online audiences to agree or disagree and trust or distrust such interpretations."</t>
  </si>
  <si>
    <t>This is not strictly about emotion, but how engagement seems to increase for visualizations that... are misleading?</t>
  </si>
  <si>
    <t>-spread of information on social media, and ability of almost anyone to create professional-looking charts
-"Consequently, however, the problem of well-designed charts being vulnerable to misinterpretations has reached the scale of mass audiences and is used to fuel misinformation arguments on social media, with 42% of COVID-19-skeptic visualizations shared on Twitter1 being screenshots of reputable data explorers with a recognizable style and branding [28]."
"visual disinformation, including misleading visualizations, is “its own type of falsehood [that] differs from textual disinformation” because it allows for a higher level of manipulative sophistication [48]. All of the above points to the existence of a research gap in understanding the public engagement with, and the potential for mitigation of, data visualization-supported misinformation that opens the door for harmful rumors and conspiracies."
"Prior work has documented the potential of data visualizations to mislead their audience, both through deceptive features of visualization design that interfere with viewers’ ability to accurately read off values from a chart [7, 29, 36] and through logical fallacies and confirmation bias that result in visualizations supporting misinformation arguments [23, 28]."
"Differences in how viewers interpret the same data visualizations are likely to occur due to a variety of factors, including the social context a viewer is exposed to [15], individual differences [54], and personal biases [38] between viewers, as well as the curse of knowledge—an assumption that others interpret the chart the same way you do [50]. Existing research primarily focuses on people’s direct reactions to visualizations. Yet, charts shared online typically do not exist in a vacuum but rather are embedded in a post and can be part of a conversation or be accompanied by an interpretation. "
"Weikmann and Lecheler [48] argue that visual disinformation is “its own type of falsehood [that] differs from textual disinformation.” The authors discuss that misleading visuals have both higher modal richness than text and are associated with a higher level of manipulative sophistication, resulting in more credible and convincing disinformation [48]."</t>
  </si>
  <si>
    <t>quantitative engagement: visualizations that are discussed, shared, or liked more than other posts; replies, retweets, quotes, likes. used Twitter API's full-archive search</t>
  </si>
  <si>
    <t>sharing, discussing</t>
  </si>
  <si>
    <t>text</t>
  </si>
  <si>
    <t>-social media engagement generally tends to be highly right skewed, with most posts receiving little to no engagement, few posts going viral
-insight data visualization posts (some interpretation or aspect of the chart discussed) are associated with higher levels of all forms of engagement as well as longer-latsing engagement; an erroneous insight in a post is associated with an additional 60% more replies - more discussion, but does not spread as much.
-analytical wisdom of the crowds: "online crowds can and do reason about the accuracy or misleadingness of data visualization posts and analytically engage with the data and its interpretation. As seen from the subitems in code 2.1 in the final template in Figure 4, we observe six ways in which the audiences analytically assess the data interpretations in their response: 
-sharing personal anecdotes or lived experiences that add context to the data (2.1.1. Anecdote),
-providing more data points of the same metric or a different variable (2.1.2. More data),
-highlighting important statistical or methodological caveats (2.1.3. Caveat),
-reinterpreting the original chart to underscore a different insight (2.1.4. Reinterpretation), 
-raising awareness about the existence of more up-to-date and sufficiently different version of the data or the chart (2.1.5. Update), and 
-generally cautioning against making strong conclusions based on limited data (2.1.6. General caution)." They rely on personal experience and prior knowledge, As a result users are likely biased by the information readily available to them.
" Previous work by Allen et al. finds that, in the context of factual statement-based misinformation, politically aligned users are unlikely to formally fact-check each other [3]. However, although a factual statement can be true or false, Lisnic et al. discuss that most misleading data visualization-supported arguments take the form of an inductive argument, which can be plausible or implausible [28]. As a result, it is possible to arrive at a correct conclusion even through a flawed analysis of data, and consequently it is possible to challenge the analysis without debunking the conclusion."
ON TRUST: the lack of a source for the data or chart negatively affects its credibility, but also a source that a user doesn't agree with can negatively impact trust. "Data or its visual presentations do not exist in a vacuum but rather are entangled with the social media persona sharing it as well as the existing conspiracies and stereotypes concerning the topic of interest. Our results indicate that in many cases users exhibit such a strong sense of trust or distrust of the author or the data source that they do not feel the need to analytically engage with the data insight to decide whether they believe it. ... beyond sharing timely and accurate insights, there is a need for continuous trust-building and engagement with the audience and transparency in data collection and processing methods."
"It follows that data-driven misinformation is most effective at exactly that: forming an illusion of scientific debate and sowing doubt in the existence of actual scientific consensus on a topic. The results of our quantitative study show evidence that data-driven insights with reasoning errors do incentivize such debates by attracting, on average, 60% more engagement that lasts 23% longer."</t>
  </si>
  <si>
    <t>general Twitter?</t>
  </si>
  <si>
    <t xml:space="preserve">quant analysis of engagement metrics, qual analysis of comments left </t>
  </si>
  <si>
    <t>NA, qualitative codebook developed by authors</t>
  </si>
  <si>
    <t>Twitter</t>
  </si>
  <si>
    <t>statistical
qualitative template analysis</t>
  </si>
  <si>
    <t>negative binomial regression models</t>
  </si>
  <si>
    <t>limitation of looking at posts from one source (Twitter). character count limit can limit amount of detail users share in a single tweet. other features not available that help with moderating caveats, e.g., mega threads or reply pinin.g
posts are only related to covid-19 pandemic - a unique topic that had a lot of data-driven discussions online, but also lacked prior resaerch and had a high level of politicization. "We believe that although such events happen rarely, studying the ways to mitigate the spread of misinformation during them is of utmost importance."
" Future work should investigate the impacts of platform affordances on the data-driven discourse by considering other social media sites, as well as the opportunities to address misinformation on various other data-driven topics, such as anthropogenic climate change and vaccine hesitancy."</t>
  </si>
  <si>
    <t>"Oreskes states that excessively communicating stipulations about the uncertainty of scientific findings—amplified by malicious actors who attempt to exaggerate the level of uncertainty—has resulted in general inaction on a variety of topics, such as anthropogenic climate change and the dangers of smoking [34, 35]. As a result, the public severely underestimates the high level of agreement among scientists on a number of seemingly controversial topics, resulting in policy paralysis: oftentimes, scientific consensus is followed by decades of inaction—and the associated costs of inaction—until an idea becomes publicly accepted as fact [40]."
"Besides incentivizing “good data work” and disincentivizing “bad data work,” we acknowledge the existence of important credibility indicators of data-driven insights that go beyond the accuracy of the analysis. Based on our findings, we argue that content creators—especially government- and domain-expert-run accounts—should actively work to build trust in their data and presentation by being transparent about data sources and collection methodologies and forthright about important data processing decisions. Since conversations surrounding posts with data-driven insights last more than twice as long as those for other visualization posts, expert accounts should communicate these details by continuously engaging with the community and directly addressing concerns raised about the trustworthiness of their insights."</t>
  </si>
  <si>
    <t xml:space="preserve">Probably exclude, but relevant for related work: not looking at emotional response to visualizations, focusing on fact-checking and maybe affective trust, but this is related to how people view visualizations from historic data...
"Whether intentional or stemming from misunderstanding, incorrect or incomplete interpretations of visualizations on controversial topics have the potential to cause harm by spreading misinformation. Indeed, research has documented that misleading data visualizations have been used in support of misinformation on a variety of topics, such as COVID-19 skepticism [23, 28], climate change denial [51], false claims of election fraud [30], and QAnon conspiracy theories [12]."
</t>
  </si>
  <si>
    <t>yes</t>
  </si>
  <si>
    <t>A050</t>
  </si>
  <si>
    <t>Omar, Bahiyah; Al-Samarraie, Hosam; Alzahrani, Ahmed Ibrahim; See, Kee Ng</t>
  </si>
  <si>
    <t>Unlocking young people’s engagement with online news: affective or cognitive?</t>
  </si>
  <si>
    <t>https://doi.org/10.1108/OIR-12-2022-0691</t>
  </si>
  <si>
    <t>10.1108/OIR-12-2022-0691</t>
  </si>
  <si>
    <t>Purpose Most new media research focuses on behavior as a measure of engagement, while the psychological state of being occupied with its content has received little attention. This study examined news engagement beyond pure action observation by exploring young people’s psychological experiences with the news.Design/methodology/approach The study carried out a digital native’s survey on 212 people (18–28 years). The focus of the survey was on understanding individuals’ engagement with online news using affective and cognitive components. The authors compared the influence of each type of engagement on youth consumption of and attitudes toward online news.Findings The results of the hierarchical regression analysis showed that affective engagement can be a stronger predictor of online news consumption than cognitive engagement. While affective engagement significantly predicts positive attitudes toward online news, cognitive engagement had no significant effect.Originality/value These findings suggest that “engaging the heart” is more influential than “engaging the mind” in drawing young people to the news in today’s information environment. The study thus contributes to the understanding of the cognitive and emotional focus on news content and their importance in shaping young people’s expectations of online news. The findings from this study could have broader implications for future trends in online news consumption.</t>
  </si>
  <si>
    <t>Unlocking young people’s engagement with online news</t>
  </si>
  <si>
    <t>Information</t>
  </si>
  <si>
    <t>Does not present datavis as stimuli in the study, but they do ask this particular demographic about affective/cognitive engagement with news, and also social media/online news consumption - which is a relevant discussion point for the STAR. therefore can be referenced in discussion</t>
  </si>
  <si>
    <t>A019</t>
  </si>
  <si>
    <t>Schuster, R; Gregory, K; Möller, T; Koesten, L</t>
  </si>
  <si>
    <t>Being Simple on Complex Issues - Accounts on Visual Data Communication About Climate Change</t>
  </si>
  <si>
    <t>Data visualizations play a critical role in both communicating scientific evidence about climate change and in stimulating engagement and action. To investigate how visualizations can be better utilized to communicate the complexities of climate change to different audiences, we conducted interviews with 17 experts in the fields of climate change, data visualization, and science communication, as well as with 12 laypersons. Besides questions about climate change communication and various aspects of data visualizations, we also asked participants to share what they think is the main takeaway message for two exemplary climate change data visualizations. Through a thematic analysis, we observe differences regarding the included contents, the length and abstraction of messages, and the sensemaking process between and among the participant groups. On average, experts formulated shorter and more abstract messages, often referring to higher-level conclusions rather than specific details. We use our findings to reflect on design decisions for creating more effective visualizations, particularly in news media sources geared toward lay audiences. We hereby discuss the adaption of contents according to the needs of the audience, the trade-off between simplification and accuracy, as well as techniques to make a visualization attractive.</t>
  </si>
  <si>
    <t>Being simple on complex issues</t>
  </si>
  <si>
    <t>To understand how visualizations can be better utilized to communicate complexites of climate change to different audiences</t>
  </si>
  <si>
    <t>Emotional engagement was not a primary aim of the study, but the authors identify what elemennts of data visualizations can increase engagement amongst public audiences when communicating about climate change.</t>
  </si>
  <si>
    <t>"However, creating data visualizations that are both scientifically correct and accessible for lay readers is challenging. As Wozniak states, “visual science communication on climate change has always been walking a thin line between scientific accuracy on the one hand and reducing complexity for public understanding and engagement on the other” [42, p. 136]"
"Harold et al.[47]recommend four pillars that the IPCC should consider to create accessible data visualizations: identification of a message, assessment of the audience’s prior knowledge, usage of familiar design formats, and evaluation with the target audience. While current efforts to improve the accessibility of their data visualizations seem to have paid off with informal reactions to a 2021 report being largely positive [48], scientific work has been criticizing IPCC graphics for being inaccessible for non-specialists [49]."</t>
  </si>
  <si>
    <t>no formal definition of emotional engagement, seems to focus on engagement as capturing audience attention and interacting with a visualization</t>
  </si>
  <si>
    <t>no formal definition; working with emotions as a factor in perception and action toward climate change visualizations
Reference Brosch 2021- Affect and emotions as drivers of climate change perception and action: A review</t>
  </si>
  <si>
    <t>Aesthetic Appeal, Manipulation</t>
  </si>
  <si>
    <t>Aesthetic appeal, feeling manipulated</t>
  </si>
  <si>
    <t>perceived aesthetics of a datavis depends on channel, perceived simplicity may increase willingness to look at a datavis; layaudiences found bold design choices to be more attention-grabbing but less trustworthy.
sensemaking: prior knowledge, attitudes, and experiences can influence sensemaking process with a datavis; layaudiences attention guided by colour, lines, text
keeping designs simple and using text for further explanation; criticisms for lack of explanations of complex terminology; leave out uncertainty; experts believe visual literacy of general public is commonly overestimated; infographics more understandable and still trustworthy amongst lay audience
"Visualization types were mentioned as a means to increase relatability, for example, maps to show the consequences for specific regions. Lay participants claimed that climate change content that focuses on the future, showing consequences or solution strategies is most relatable." building on Ferreira 2021 - CC communication in HCI- findings show that messages are most effectively framed in a positive solution-oriented way, which motivates readers to act.</t>
  </si>
  <si>
    <t>Prior analysis of identifying datavis for this study</t>
  </si>
  <si>
    <t>datavis from news websites (BBC, Guardian, IPCC)</t>
  </si>
  <si>
    <t>laypersons, experts (datavis, scicomm, climate)</t>
  </si>
  <si>
    <t>12 laypersons, 17 experts</t>
  </si>
  <si>
    <t>Interviews</t>
  </si>
  <si>
    <t>semi-structured interviews (30-60 min), some questions modified between lay/expert groups</t>
  </si>
  <si>
    <t>30–60</t>
  </si>
  <si>
    <t>purporsive and convenience sampling</t>
  </si>
  <si>
    <t>deductive and inductive thematic analysis</t>
  </si>
  <si>
    <t>participant limitation (European and German-speaking, some focused on local context); need larger and more culturally diverse sample
line charts most common for IPCC authors and amongst news articles, but should try other visual idioms
findings might not be specific to CC but to datavis and scicomm in general</t>
  </si>
  <si>
    <t>In terms of action, layaudiences asked for relatable content (consequences of climate change or individual actions) and were opposed to content that is negatively framed
"the trustworthiness of Vis Guardian were split, with LAY-2 perceiving the figure as a neutral communication of facts and LAY-4 calling the design a “crime against humanity” because of its emotional framing and dark and judgmental design. This was the reason why 4 further participants felt manipulated (Table III)."
"Those findings are partially coherent with previous research stressing the importance of the narrative of visuals [70], [80], as well as users’ focus on the title [Borkin 2016]. Kong et al. [2018] have shown that the framing of a visualization title can influence the perceived main message and warned about viewers’ unwarranted conviction of the neutrality of visualizations."
"Our findings suggest that substantial simplifications in visualizations for the public, for example, compared to IPCC visualizations, are necessary to meet the needs of public audiences. However, visualization designers must be transparent to avoid oversimplifying content and potentially losing the reader’s trust." ...Text can play an important role to bridge the gap between simplifcation and accuracy.</t>
  </si>
  <si>
    <t>A052</t>
  </si>
  <si>
    <t>Schäfer, René; Preuschoff, Paul Miles; Röpke, René; Sahabi, Sarah; Borchers, Jan</t>
  </si>
  <si>
    <t>Fighting Malicious Designs: Towards Visual Countermeasures Against Dark Patterns</t>
  </si>
  <si>
    <t>https://dl.acm.org/doi/10.1145/3613904.3642661</t>
  </si>
  <si>
    <t>10.1145/3613904.3642661</t>
  </si>
  <si>
    <t>Dark patterns are malicious UI design strategies that nudge users towards decisions going against their best interests. To create technical countermeasures against them, dark patterns must be automatically detectable. While researchers have devised algorithms to detect some patterns automatically, there has only been little work to use obtained results to technically counter the effects of dark patterns when users face them on their devices. To address this, we tested three visual countermeasures against 13 common dark patterns in an interactive lab study. The countermeasures we tested either (a) highlighted and explained the manipulation, (b) hid it from the user, or (c) let the user switch between the original view and the hidden version. From our data, we were able to extract multiple clusters of dark patterns where participants preferred specific countermeasures for similar reasons. To support creating effective countermeasures, we discuss our findings with a recent ontology of dark patterns.</t>
  </si>
  <si>
    <t>Fighting Malicious Designs</t>
  </si>
  <si>
    <t>A053</t>
  </si>
  <si>
    <t>Shao, Honbo; Martinez-Maldonado, Roberto; Echeverria, Vanessa; Yan, Lixiang; Gasevic, Dragan</t>
  </si>
  <si>
    <t>Data Storytelling in Data Visualisation: Does it Enhance the Efficiency and Effectiveness of Information Retrieval and Insights Comprehension?</t>
  </si>
  <si>
    <t>http://arxiv.org/abs/2402.12634</t>
  </si>
  <si>
    <t>Data storytelling (DS) is rapidly gaining attention as an approach that integrates data, visuals, and narratives to create data stories that can help a particular audience to comprehend the key messages underscored by the data with enhanced efficiency and effectiveness. It is been posited that DS can be especially advantageous for audiences with limited visualisation literacy, by presenting the data clearly and concisely. However, empirical studies confirming whether data stories indeed provide these benefits over conventional data visualisations are scarce. To bridge this gap, we conducted a study with 103 participants to determine whether DS indeed improve both efficiency and effectiveness in tasks related to information retrieval and insights comprehension. Our findings suggest that data stories do improve the efficiency of comprehension tasks, as well as the effectiveness of comprehension tasks that involve a single insight compared with conventional visualisations. Interestingly, these benefits were not associated with participants' visualisation literacy.</t>
  </si>
  <si>
    <t>Data Storytelling in Data Visualisation</t>
  </si>
  <si>
    <t>They focus on data storytelling as a means to improve gaining insights about specific points, overall comprehension, and overall communication of data. They correlate visual literacy with data storytelling effectiveness.</t>
  </si>
  <si>
    <t>Qualtrics survey</t>
  </si>
  <si>
    <t>"Researchers in fields such as data science, journalism, and education can potentially explore how to adopt its foundational design principles for broader audience engagement [9, 55]."
"ecessity for further studies to delve into the optimal ways of employing data storytelling elements, as several different variations of data storytelling exist [4], aiming not just for clarity and effectiveness of insight communication but also fostering a deeper connection with the audience."</t>
  </si>
  <si>
    <t>"Furthermore, the critical feedback received in our study signals a pathway for investigating the potential downsides of data storytelling, for example, considering the ethical considerations of emphasising certain stories over others, which has started to be explored by Fernandez-Nieto et al. [29]."
"Lastly, we limited our investigation to static data storytelling to maintain study simplicity, excluding interactive elements that can enrich data narratives. Future work can benefit significantly from exploring interactive patterns in data storytelling to enhance user engagement [4]."</t>
  </si>
  <si>
    <t>Exclude: did not measure emotional engagement, although they make a lot of reference to this in RW and in the discussion (implications for research) regarding the use of data storytelling techniques: "Moreover, even if the insights can be identified more effectively, adding annotations and other storytelling elements to conventional visualisations may not always increase engagement [10, 103] or empathy towards the subject matter [11, 58, 64]." (these references are included in the corpus)</t>
  </si>
  <si>
    <t>A054</t>
  </si>
  <si>
    <t>Wang, Lingqi; Zhang, Jiangyue; Weng, Min; Kang, Mengjun; Su, Shiliang</t>
  </si>
  <si>
    <t>Unlocking Semantic Information Representation in Bar Graph Design</t>
  </si>
  <si>
    <t>https://ieeexplore.ieee.org/document/10579785/?arnumber=10579785</t>
  </si>
  <si>
    <t>Bar graphs are routinely used in academic works, official reports, and mass media. Prior studies have focused on the comprehension of numerical information in bar graph design but have largely ignored the semantic information representation. Actually, along with the escalating need to convey semantic information beyond numerical data, unconventional bar graphs emerge and catch increasing eyes, highlighting the necessity of unlocking semantic information representation in bar graph design. In this paper, we attempt to address these gaps through examining the impact of three visual channels—color, shape, and orientation—on viewers' comprehension of semantic information. Drawing from prior research, we formulate a series of research hypotheses and conduct two experiments. Results show that by evoking sensorimotor experiences, conceptually relevant colors and shapes of bars facilitate the representation of semantic information. This facilitation is more pronounced in conveying concrete concepts than abstract concepts. Similarly, by evoking emotional experiences, colors and orientation aligned with the affective valence of concepts aid the representation of semantic information, with a more noticeable enhancement in conveying abstract concepts compared to concrete concepts. Additionally, we find that shape-embellished bars somewhat hinder the judgment of specific numerical values. These findings provide a renewed perspective on how semantic information is represented in bar graphs, offering valuable practical guidance for scientifically representing semantic information.</t>
  </si>
  <si>
    <t>Unlocking Semantic Info in Bar Graphs</t>
  </si>
  <si>
    <t>Income, Happiness Index, Wastewater, Unemployment</t>
  </si>
  <si>
    <t>To examine the effect of altering three visual channels -- colour, shape, orientation -- of bar graphs, on viewers' comprehension of semantic information.</t>
  </si>
  <si>
    <t>Emotional responses are elicited with semantic association of visual elements in data visualizations, and we should consider how to design for those responses.</t>
  </si>
  <si>
    <t xml:space="preserve">"it is worth noting the inherent differences in the semantic representation for abstract and concrete concepts. For instance, abstract concepts like ‘death’ rely more heavily on conveying emotional information, the affective valence in particular, whereas concrete concepts with tangible counterparts, such as ‘ice cream,’ are more suitable to be represented by their physical appearance [23]." Perceptual experience can be classified into two main categories: (1) concrete - bodily (or sensorimotor) experience, derived from sensory-motor systems like vision, touch, hearing, and action; and (2) abstract - emotional experience, stemming from internal emotional states. 
colour: "For instance, common color-concept associations within Chinese context include green for grass, symbolizing vitality; golden for money, connoting opulence; and red for flags, representing patriotism. These associations are often rooted in the physical appearance of objects, metaphorical constructs, or linguistic and cultural conventions [63], [71]. "
"For instance, colors characterized by higher lightness and chroma, such as bright yellow, have been found to elicit feelings of happiness and pleasure, whereas colors with lower lightness and chroma, like dark brown, tend to be associated with feelings of sadness and fear [29], [44]."
on shape: "Owing to their efficacy in conveying semantic information, simple pictographic elements characterized by semantic consistency (e.g., coin-shaped representations for data pertaining to ‘money’), supplanting conventional geometric forms such as the rectangles typical of traditional bar graphs, are frequently used both within The International System Of TYpographic Picture Education (ISOTYPE) and the broader design community for the representation of data [67], [69], [70]. This ISOTYPE-style embellishment has been elucidated to yield enhancements across various facets of comprehension and engagement within bar graphs, including improved recall of previously encountered information, expedited data extraction, and heightened observer engagement [66], [67], [68]."
orientation: Focusing on the representation of numerical information, scholars explain that quantity increasing from bottom to top seems “intuitive” because MORE IS UP schema is prevalent in our daily lives. However, few studies have delved into the conceptual metaphor of semantic information representation, specifically concerning the affect valence of semantic information. Psychological research has revealed a mapping from vertical location to affective valence, where positive concepts, such as ‘happiness,’ are commonly associated with upward locations, whereas negative concepts, such as ‘sadness,’ are associated with downward locations [31]. </t>
  </si>
  <si>
    <t>emotional engagement - to heighten sense of emotional response</t>
  </si>
  <si>
    <t>heightening sense of emotional response</t>
  </si>
  <si>
    <t>Posner, Russell &amp; Petersen 2005</t>
  </si>
  <si>
    <t>Lee-Robbins &amp; Adar 2023</t>
  </si>
  <si>
    <t>previous studies that use valence-arousal a lot</t>
  </si>
  <si>
    <t>Colour, Shape, Orientation</t>
  </si>
  <si>
    <t>EXPERIMENT 2 (focused on emotional response):
-interaction between bar colour and affective valence of concept - Participants were more likely to respond quickly to bar graphs employing colors aligned with the affective valence of concepts, compared to those employing inconsistent colors, which was consistent with Hypothesis 3a.
-interaction between bar colour and valence and concept type - semantic information of abstract concepts when bar graphs employ colours associated with negative feelings to depict negative concepts...
-bar orientation of bars did not affect comprehension
-bar orientation and concept valence - participants more likely to respond quickly to bar graphs where orientation is aligned with schema of affective valence
-similarly with concept type - "participants were more likely to respond quickly to the semantic information of abstract concepts than to that of concrete concepts when the bar graphs employed orientation aligned the schema of affective valence, which was consistent with Hypothesis 4c."
OVERALL: Our experiment highlighted the interaction effects between the color of bars and the affective valence of concept on the comprehension of semantic information in bar graphs. Colors aligned with the affective valence of concepts led to quicker responses, as they evoke emotional experiences associated with the concept. Agrees with Anderson and Robinson (affective colours).
"Specifically, the improvement in understanding abstract concepts was more pronounced than that for concrete concepts. This observation yields novel insights into the functioning of color-affect associations in semantic representation, foregrounding the greater reliance of abstract concepts on evoking emotional experiences compared to concrete concepts."
"For semantic information, our experiment revealed the interaction effects between the orientation of bars and the affective valence of concept. Orientation aligned with the schema of affective valence led to quicker responses, as they evoke emotional experiences associated with the concept."
EXPERIMENT 1: "by evoking sensorimotor experiences, conceptually relevant colors and shapes of bars facilitate the representation of semantic information. This facilitation is more pronounced in conveying concrete concepts than abstract concepts. Similarly, by evoking emotional experiences, colors and orientation aligned with the affective valence of concepts aid the representation of semantic information, with a more noticeable enhancement in conveying abstract concepts compared to concrete concepts. (Vigliocco et al 2009)
-sig main effect of colour of bars (conceptually relevant vs irrel.) on comprehension of semantic information. Sig interaction between bar colour and type of concept (concrete vs abstract)- faster response for concrete concepts.
-sig main effect of bar shape on comprehension - participants were more inclined to respond quickly when retrieving numerical information from bar graphs with minimalist bars than those with shape-embellished bars. Interestingly, the shape of the bars did not significantly affect participants’ comparisons of numerical information, which did not fully align with the expectations outlined in Hypothesis 2
"Conceptually relevant shapes elicit quicker responses as they trigger sensorimotor experiences associated with the concept. This finding supported the previous work by Haroz et al. [67] and Borgo et al. [12], indicating that these embellishments could aid concept grasping. "
"Conversely, other researchers suggest that embellishments may impede visual search, particularly hindering participants’ judgment of specific values [7], [38]. Our results gave support to the latter perspective, indicating that shape-embellished bars result in slower responses when retrieving numerical information. However, despite this hindrance in retrieving specific numerical values, shape-embellished bars had a limited impact on comparing values, a distinction not previously noted in the literature."</t>
  </si>
  <si>
    <t>affective valence of concept (positive, negative)</t>
  </si>
  <si>
    <t>bright yellow- positive feelings 
dark brown - negative feelings
(Bartram 2017, Hanada 2018)</t>
  </si>
  <si>
    <t>university students, China</t>
  </si>
  <si>
    <t>18–28</t>
  </si>
  <si>
    <t>47% F</t>
  </si>
  <si>
    <t>all students, who had to partially fulfill a course requirement</t>
  </si>
  <si>
    <t>exp 1: between - colour (conceptually relevant/irrel.) and shape (conceptually relevant/irrel) for 2x2
within - type of concept (concrete vs abstract), affective valence (positive vs negative) was within-participants</t>
  </si>
  <si>
    <t>Qualtrics survey questionnaire to assess comprehension - retrieve value, make comparison, draw inference - anwers and reaction times recorded</t>
  </si>
  <si>
    <t>repeated-measures ANOVA</t>
  </si>
  <si>
    <t>"Although our experiments observed this phenomenon [linking abstract and concrete concepts, associating concrete concepts with specific colours] through response times, they did not directly monitor the intricate cognitive processes associated with abstract concepts. It would be helpful to conduct additional experiments. For example, eye-tracking studies could be employed to evaluate our hypothesis that abstract concepts lead to increased legend lookups."
"Some research has shown that different cultures have different ways of expressing emotions through color [50]. For example, in Eastern cultures, red is often seen as a symbol of celebration and prosperity [51], while in Western cultures, it may be associated with passion, and energy, and can also represent danger, anger, or warning [41]. A possible criticism of our experiments is that the participants were all Chinese and there were no participants from a Western cultural setting to conduct the control tests."</t>
  </si>
  <si>
    <t>No mention - focus is on whether affective semantic congruence impacts comprehension, and they make design recommendations toward this end. so, responsible affective design should at the very least not deter from accurate comprehension of the data?</t>
  </si>
  <si>
    <t>Exclude: and lump into same group for discussion as the Woodin paper above (on conceptual metaphor in line graphs). So technically they were measuring comprehension, not emotional response. But they centred the study around affective congruence for different elements of charts... so I'm not sure exactly how this fits, probably shouldn't be excluded? Or edge?</t>
  </si>
  <si>
    <t>A055</t>
  </si>
  <si>
    <t>Xie, Liwenhan; Shu, Xinhuan; Su, Jeon Cheol; Wang, Yun; Chen, Siming; Qu, Huamin</t>
  </si>
  <si>
    <t>Creating Emordle: Animating Word Cloud for Emotion Expression</t>
  </si>
  <si>
    <t>https://ieeexplore.ieee.org/document/10153659/?arnumber=10153659</t>
  </si>
  <si>
    <t>We propose emordle, a conceptual design that animates wordles (compact word clouds) to deliver their emotional context to audiences. To inform the design, we first reviewed online examples of animated texts and animated wordles, and summarized strategies for injecting emotion into the animations. We introduced a composite approach that extends an existing animation scheme for one word to multiple words in a wordle with two global factors: the randomness of text animation (entropy) and the animation speed (speed). To create an emordle, general users can choose one predefined animated scheme that matches the intended emotion class and fine-tune the emotion intensity with the two parameters. We designed proof-of-concept emordle examples for four basic emotion classes, namely happiness, sadness, anger, and fear. We conducted two controlled crowdsourcing studies to evaluate our approach. The first study confirmed that people generally agreed on the conveyed emotions from well-crafted animations, and the second one demonstrated that our identified factors helped fine-tune the extent of the emotion delivered. We also invited general users to create their own emordles based on our proposed framework. Through this user study, we confirmed the effectiveness of the approach. We concluded with implications for future research opportunities of supporting emotion expression in visualizations.</t>
  </si>
  <si>
    <t>Creating Emordle</t>
  </si>
  <si>
    <t>To evaluate the effectiveness of animation to convey emotional meaning/context of text to audiences, and feasibility for creating an 'emordle' based on this model.
"Focusing on wordle, our work takes an initial step to democratize affective visualization creation, where we investigated parameter-controlled animation design to incorporate various user-input data."</t>
  </si>
  <si>
    <t xml:space="preserve">Emotional context for wordles is often missing, but can do a lot to convey the meaning of word clouds. </t>
  </si>
  <si>
    <t>-words in different contexts can have a good or bad connotation, e.g., "perfect" could be praising or sarcastic, depending on tone.
-wordles fall within category of casual visualization or personalized visualization</t>
  </si>
  <si>
    <t>in this case, to catch attention, hold audience's interest (based on Malik et al 2009)
also for getting general users to actively participate in the creative authoring experience for wordles (based on Viegas et al 2009)</t>
  </si>
  <si>
    <t>capturing attention, actively participating in, authoring</t>
  </si>
  <si>
    <t>Malik et al. 2009, Viegas et al. 2009</t>
  </si>
  <si>
    <t>Geneva Emotion Wheel 3.0</t>
  </si>
  <si>
    <t>Scherer 2013</t>
  </si>
  <si>
    <t>GEW</t>
  </si>
  <si>
    <t>Amusement, Joy, Pleasure, Tenderness, Wonderment, Surprise, Relief, Longing, Fear, Sadness, Repulsion, Anger</t>
  </si>
  <si>
    <t>Amusement, Joy, Pleasure, Tenderness, Wonderment, Surprise, Relief, Longing, Fear, Despair, Repulsion, Anger</t>
  </si>
  <si>
    <t>word</t>
  </si>
  <si>
    <t>Word cloud</t>
  </si>
  <si>
    <t>Word Cloud</t>
  </si>
  <si>
    <t>-dance, fade, and shiver schemes were in agreement amongst at least 40% of respondents (signiificantly higher than a random choice between four options); each of these first choices was also 20% more than the second selected option.
-explosion - 25.5% thought happiness, 21.6% thought anger, 17.6% fear. people might get a positive impression seeing the text elements burst quickly out to the boundaries
-for the most part they were going in the right direction
QUAL responses:
-dance: reminded people of other high-arousal emotions like surprise, excitement, anxiety.
-fade: calmness and pain
-explosion: most diverse responses - digust, sorry, pain, excitement
-shiver: pain and anxiety
-some misc responses reflect the ambiguous nature of animations and therefore should be tested when designing the backbone text animation scheme
Study II: emotion extent
-for dance, explosion, shiver: low speed and entropy largely decrease emotion intensity, high speed and entropy lead to increased intensity. fade: increased intensity for higher speed and entropy. corresponds with the valence-arousal model (sadness low arousal, happiness, anger, fear have high arousal)
-overall, implicit crowd agreement suggests that parameter combinations other than medium speed and entropy used in study I might deliver the intended emotion
-generally agreed that emordle could be good for engagement and entertainment, but should be wary of using it in a serious context, and might harm the information communication when people are paying more attention to the animation than the textual content (core message could be overshadowed by fancy animations).</t>
  </si>
  <si>
    <t>-corpus coding first
-a pilot study with 50 people to determine quesitonnaire and sample size</t>
  </si>
  <si>
    <t xml:space="preserve">-coding animation styles: some animations mimic or are reminiscent of real-life scenarios, e.g., a shaky word is like trembling in fear, a gradual blurring effect is like someone being lost in reverie
-linguistic features: words going upward is like raising pitch, increasing font weight is like increasing voice volume
-randomness and speed - e.g., unpredictable changes conveys repulsion, calm waves (slow ripple), storm surge (fast). unordered movements arouse negative feelings, cohesive/rhythmic movements convey aesthetic pleasure
-approach assumes there is only one intended emotion in the associated wordle data (no conflict with underlying emotion of each word in intended semantic)
-the animation can augment the underlying emotion, but not reverse the original emotion
</t>
  </si>
  <si>
    <t>70
132 test 2</t>
  </si>
  <si>
    <t>experience creating wordles or not</t>
  </si>
  <si>
    <t>Online crowdsourced study, second user study
4 design cases: dance (happiness), fade (sadness); explosion (anger), shiver (Fear)</t>
  </si>
  <si>
    <t>qualtrics survey
-PrEmo emotion measurement instrument (Desmet 2003)</t>
  </si>
  <si>
    <t>5–6
7</t>
  </si>
  <si>
    <t>qualitative analysis (of open-ended responses)</t>
  </si>
  <si>
    <t>Kruskall-Wallis to compare</t>
  </si>
  <si>
    <t>-trade-offs in animation: must leave some white space between words to allow for movement - the data-ink ratio is lower than a static wordle (I don't think so?)
-people cannot perceive too many minute changes in an animation simultaneously - constrains number of words as well as play speed
-the effectiveness of an emordle is attributed to the backbone animation scheme of a single text element
-a document collection may not have a uniform set of words falling under one emotion
-limited range of emotions explored
-how to accommodate complex wordle
-other cultural backgrounds, etc.
-"In addition, understanding the fundamental construct of emotion delivery remains a critical step towards a more executable taxonomy for affective visualizations for follow-up designs or even automatic generation [8], [16]."</t>
  </si>
  <si>
    <t>nothing specifically. closest is about balancing animation with content, and being careful to not use in inappropriate contexts</t>
  </si>
  <si>
    <t>The paper includes a user study for how people actually use the interface, but this is excluded from analysis since it has to do with usability, mostly, rather than emotional response to the wordles they create (they are trying to make their own emordle anyway)
Interstingly, I guess - this study is about identifying the intended emotion, but it's not necessarily about the users' actual emotional response?</t>
  </si>
  <si>
    <t>A056</t>
  </si>
  <si>
    <t>Yang, Fumeng; Cai, Mandi; Mortenson, Chloe; Fakhari, Hoda; Lokmanoglu, Ayse D.; Hullman, Jessica; Franconeri, Steven; Diakopoulos, Nicholas; Nisbet, Erik C.; Kay, Matthew</t>
  </si>
  <si>
    <t>Swaying the Public? Impacts of Election Forecast Visualizations on Emotion, Trust, and Intention in the 2022 U.S. Midterms</t>
  </si>
  <si>
    <t>https://ieeexplore.ieee.org/document/10309864/?arnumber=10309864</t>
  </si>
  <si>
    <t>We conducted a longitudinal study during the 2022 U.S. midterm elections, investigating the real-world impacts of uncertainty visualizations. Using our forecast model of the governor elections in 33 states, we created a website and deployed four uncertainty visualizations for the election forecasts: single quantile dotplot (1-Dotplot), dual quantile dotplots (2-Dotplot), dual histogram intervals (2-Interval), and Plinko quantile dotplot (Plinko), an animated design with a physical and probabilistic analogy. Our online experiment ran from Oct. 18, 2022, to Nov. 23, 2022, involving 1,327 participants from 15 states. We use Bayesian multilevel modeling and post-stratification to produce demographically-representative estimates of people's emotions, trust in forecasts, and political participation intention. We find that election forecast visualizations can heighten emotions, increase trust, and slightly affect people's intentions to participate in elections. 2-Interval shows the strongest effects across all measures; 1-Dotplot increases trust the most after elections. Both visualizations create emotional and trust gaps between different partisan identities, especially when a Republican candidate is predicted to win. Our qualitative analysis uncovers the complex political and social contexts of election forecast visualizations, showcasing that visualizations may provoke polarization. This intriguing interplay between visualization types, partisanship, and trust exemplifies the fundamental challenge of disentangling visualization from its context, underscoring a need for deeper investigation into the real-world impacts of visualizations. Our preprint and supplements are available at https://doi.org/osf.io/ajq8f.</t>
  </si>
  <si>
    <t>Swaying the Public?</t>
  </si>
  <si>
    <t>Elections</t>
  </si>
  <si>
    <t>To examine the effects of election forecast visualizations on emotions, trust in forecasts, and intention to participate in elections - all of which are potentially far-reaching impacst on the general public.</t>
  </si>
  <si>
    <t>Emotions can impact how people read and make sense of and trust visualizations related to elections, especially when there is uncertainty, and can impact intention to participate in the democratic process. Emotions are also highly associated with polarization</t>
  </si>
  <si>
    <t xml:space="preserve">-high-profile elections are marked by negative campaigning, polarization, misinformation
-election forecast visualizations show uncertainty about predictions of elections, and amy influence general public's perception of elections and participation in the democratic process, so it's crucial to understand their real-world impacts, and consider the consequences of design choices that could potentailly alter election outcomes.
-previous studies about uncertainty vis and effective displays may not account for complex social factors embedded in highly-charge dpolitical contexts with real-world implications
-related work: uncertainty vis, political communication - election forecasts often based on running polls. forecasts can confuse the general public and demobilize voters, while polls can shape both public opinion and policy, influence voter perception and behaviour, and affect voter turnout. Other theories like social pressure, civic duty, bandwagon and underdog effects. 
-journalism - media may be incentivized to forecast elections for reputation and payoff, and to under- or over-report uncertainty for diverse reasions.
Emotion: important driver of political behaviour. Negative emotions like anger may spur actions requiring time or money, anxiety may drive less-costly actions like talking or information seeking, positive emotions like enthusiasm may reinforce existing behaviours. Emotion is closely related to partisan identity and strength, and may have contributed to polarization in the US. Emotion is recognized as a design objective for communicative visualizations, and related to uncertainty tolerance, which can affect individuals' decision-making and well-being.
Trust: in election forecasts should be categorized as institutional trust, which is the perception that social intstitutions adequately perform their roles. trust affects how people respond to informaiton presented, and actions, or following predictions. Trust calibration - correcting undertrust or overtrust - especially after seeing an error, which is closely related to people losing trust in election forecasts due to prior failures in presidential forecasts.
</t>
  </si>
  <si>
    <t>PANAS-X</t>
  </si>
  <si>
    <t>10 emotion subscales: hostility, attentiveness, guilt, self-assurance, joviality, fear, serenity, sadness, surprise, fatigue</t>
  </si>
  <si>
    <t xml:space="preserve">10 items from the PANAS-X that are most relevant to election context, as seen in other literature and in their preliminary studies
later combined into positive, negative, and surprised emotions in analysis
Trust: human-computer trust measure (Madsen and gregor 2000), and distinguish between cognitive and affective trust (McAllister 1995) - affective trust as emotional bond, measured by faith and personal attachment </t>
  </si>
  <si>
    <t>Anger, Attentive, Shame, Confidence, Happiness, Nervous, Relaxed, Sadness, Surprise, Tired</t>
  </si>
  <si>
    <t>Anger, Attentive, Ashamed, Confident, Happy, Nervous, Relaxed, Sad, Surprised, Tired</t>
  </si>
  <si>
    <t>Dotplot, Plinko, Histogram</t>
  </si>
  <si>
    <t>vis type(s), animation</t>
  </si>
  <si>
    <t>chart type, animation</t>
  </si>
  <si>
    <t>OVERALL SUMMARY:
-Election forecast visualizations can change emotions and enhance people’s trust in forecasts, slightly affecting perceptions and intentions for participating in elections;
- The differences in forecast visualizations are small but substantial, and they interact with the effects of the predicted winning party;
- 2-Interval generally has the strongest effects, especially when a Republican candidate is predicted to win, and 1-Dotplot can create large differences between individuals of different party identities;
- When a forecast aligns with a person’s prior belief and accurately predicts an outcome, it can largely improve trust and alleviate much of the distrust;
- There is a misalignment between forecasters’ (designers’) motivations and viewers’ perceptions of those motivations, with forecasts and design choices potentially being linked to prior beliefs and interpreted through a political lens.
SUMMARY: 
-estimated effects are small for several model terms, so they report estimates of an average forecast (avg uncertainty and median performance).
-when a democratic candidate is predicted to win, seeing forecast vis can decrease negative emotions, increase positive emotions and surprise, and improve cognitive trust. a correct forecast post-election has the same.
-after elections, people think that they and their peers are more likely to contribute to campaigns.
-election forecast visualizations can change people's emotions and increase trust; after elections, people change emotions, trust, and slightly their intentions to participate in future elections.
-histograms show the strongest effects, especially when a republican is predicted to win. Increases negative emotions, cognitive and affective trust, voting intention, action, but also had the least surprise.
-single dotplot had most surprise when democrate was predicted to win, but least surprised for R; also gains affective trust more than Plinko, but least likely to increase voting intention.
-1-Dotplot creates large differences between the two parties in 24 positive emotions, 27 negative emotions, and 32 cognitive trust. 2-Interval shows similar effects and makes Republicans think 36 their peers are more likely to vote for their party winning than what it does to Democrats. 2-Dotplot appears to mitigate these partisan differences in 25 positive and 28 negative emotions, and 33 cognitive trust.
DISCUSSION
-"The differences in Democrats’ and Republicans’ feelings about the
two parties are likely caused by affective polarization [49, 81] and
distinct voting cultures [33]."
-"Similarly, if the differences in which of the two parties are predicted to win can be further confirmed in future studies, we might need to consider asking people to register their favored party before showing them election visualizations. Factors like this are rooted deeply in U.S. society, inadvertently contributing to polarization and reinforcing partisan-motivated reasoning. This challenges the objective interpretation of election forecast visualizations, as further elaborated in our qualitative results below."
-The main reason for trusting a forecast visualization is its alignment with pre-existing knowledge or beliefs about election outcomes (263, 25%). also aggregating polls, trustworthy sources, employing scientific methods, considering uncertainty.
-people distrust if they just don't tend to trust forecasts, if it disagrees with prior knowledge, or may not trust the source, or if there is a lack of transparency in the methods.
intention to vote: Emotions also play a role (109,
10%), with both positive and negative emotions potentially encouraging (18, 2%; 22, 2%) or suppressing voting (17, 2%; 20, 2%). Positive emotions may motivate future voting due to winning
reinforcement (57, 6%) or showing a payoff for voters’ efforts and underscoring the importance of voting (59, 7%). Losing the election with a narrower margin (79, 9%) can inspire hope for future wins and motivates voting (26, 3%) [32]. Conversely, negative emotions like loss, regret, and anger motivate voting (99, 11%) [81], while sadness, tiredness, hopelessness, and disappointment discourage it (34, 4%) [85]. Also, winning a large margin (54, 6%) and accurate forecasts (6, &lt;1%) may suppress people’s intentions to vote in the future [19, 86].
-visualizations may provoke polarization, but also intensify emotions, enhnance trust in forecasts, and slightly increase intentions to participate in elections. "This intriguing interplay between visualization types, partisanship, and trust exemplifies the fundamental challenge of disentangling visualization from its context, underscoring a need for deeper investigation into the real-world impacts of visualizations."
-Interval (histogram) had the strongest impacts across nearly all measures, single dotplot had largest increase in trust after elections, both exaggerate differences between different partisan identieis, depending on which of the two parties are predicted to win</t>
  </si>
  <si>
    <t>regional, national</t>
  </si>
  <si>
    <t>preliminary studies informed design
pilot study o test website, fine tune instructions, estimate attrition rate.</t>
  </si>
  <si>
    <t>single quantile dotplot, dual, dual histogram, Plinko
-" We strike a balance between showing one and two distributions, and select one continuous encoding and one animated design. These four visualizations cover three primary design dimensions: dimensionality, visual encoding, and animation."</t>
  </si>
  <si>
    <t>controlled experiment, longitudinal</t>
  </si>
  <si>
    <t>general, US</t>
  </si>
  <si>
    <t>15 US swing/battleground states represented</t>
  </si>
  <si>
    <t>PANAS, Adapted Questionnaire</t>
  </si>
  <si>
    <t>three-wave online longitudinal experiment
Wave 1- demographic info
Wave 2- view map, respond to form
Wave 3- post-election updates</t>
  </si>
  <si>
    <t>Qualtrics survey collecting demographics, affective trust and political particiaption intention</t>
  </si>
  <si>
    <t>3.5–4 mins
4 weeks</t>
  </si>
  <si>
    <t>Bayesian modeling, post-stratification</t>
  </si>
  <si>
    <t>-"The real-world environment is much more complex than a typical controlled experiment, generating results that we normally could not observe, and a single study is insufficient to answer all questions about election forecast visualizations. One highlight is that the interactions with partisanship seem to violate our assumptions about how people interpret visualizations. We do not know if these findings are generalizable to other U.S. elections. Given such complexity, we deliberately chose not to offer explicit recommendations, with the aim to provoke thought and discussion."
-sample appears to be much more politically active than the general turn-out in that election
-study is tailored to the US elections, but diff countries have diff systems and political environments, so findings may not generalize.</t>
  </si>
  <si>
    <t xml:space="preserve">-experiment does not directly intervene in voting decisions, but emotions can drive voter actions in elections and trust in forecasts can affect how people utilize the uncertainty information, both hinting at potential to change voter behaviour and alter election outcomes.
-"Pre-election For validity and ethical considerations, we must present reasonable forecasts and avoid creating misinformation"
thoughts about motivation: perceived the website as unbaised, accurate, realistic. A small portion thought the website is fake or feels manipulated (less than 1%). Some expressed concerns about the impacts. Some think the website has positive influence, can encourage voting without propaganda, educate, raise awareness. 
10% thought the motivation behind the website is immoral - may have a political eagenda, made to influence voting or presuade people to vote a particular way, get profit/newsworthiness, surpress voting, support a specific party, be biased or manipulative.
about how to set up the experiment to see other factors: There are other imperfections in this study, some of which are related to ethics. For example, we had hoped that more of our “close” forecasts would go one way or the other, resulting in several states with “wrong” forecasts to compare against those with “correct” forecasts, but this happened in only one state. In the future, should we instead try to adjust forecasts to make it more likely get different outcomes to happen in experiments (e.g., for forecasts close to 50%, we could nudge it to the other side of 50% for half of the participants)? Would it be ethical? We designed visualizations and annotations to the best of our ability within the real-world timeline, and calibrated the model to the best of our ability, although we may not have collected the most useful data if we had known the future. </t>
  </si>
  <si>
    <t>This was a very long and complex study... i do not understand all the details tbh.</t>
  </si>
  <si>
    <t>A057</t>
  </si>
  <si>
    <t>Zhu, Qian; Yuan, Linping; Xu, Zian; Yang, Leni; Xia, Meng; Wang, Zhuo; Liang, Hai-Ning; Ma, Xiaojuan</t>
  </si>
  <si>
    <t>From reader to experiencer: Design and evaluation of a VR data story for promoting the situation awareness of public health threats</t>
  </si>
  <si>
    <t>https://linkinghub.elsevier.com/retrieve/pii/S1071581923001465</t>
  </si>
  <si>
    <t>Informing people of health threats is crucial as they may lack situation awareness (SA) of risky situations when they do not have personal experiences or lessons learned from dangerous encounters. In this work, we explored the potential of using a VR data story to raise people’s SA of health risks. We first invited seven participants and conducted participatory design studies to capture the design considerations. Then, we implemented the VR data story with five design features referring to the design considerations. Using a between-subjects study (N=62), we evaluated the effects of the data story on raising SA and investigated the role of each design feature. Our results show that the data story can promote SA by enhancing people’s connection to risky situations. Design features such as immersive visualizations, multiple perspectives, and embodied interactions contribute to this connection. Drawing on qualitative and quantitative findings, we discuss the implications of designing data stories in VR for promoting public health.</t>
  </si>
  <si>
    <t>From reader to experiencer</t>
  </si>
  <si>
    <t>To examine the effectiveness of a VR data story to promote situation awareness (SA) about public health communication and user engagement.</t>
  </si>
  <si>
    <t>Emotional response can be heightened with VR as compared to traditional screens (laptops, smartphones) and increase sense of user agency and engagement, might improve situation awareness about health threats.</t>
  </si>
  <si>
    <t>However, it still remains underexplored how to deliver data stories properly in VR to promote health risk communication with viewers, considering the differences between data stories and regular narrative stories (Isenberg et al., 2018). This paper extends the existing literature by investigating how to leverage VR’s immersive capabilities to engage users and convey invisible risks intuitively in a data story. 
-Focus on Covid whihc is one of the most concerning public health events in recent years</t>
  </si>
  <si>
    <t>spending time with, getting interest/attention, focus
'measuring narrative engagement' outlined by Busselle and Bilandzic 2009, which includes measuring emotional engagement eg. empathy, sense of immersion</t>
  </si>
  <si>
    <t>feeling immersed, capturing attention, spending time with, empathizing</t>
  </si>
  <si>
    <t>Amini et al. 2018, Busselle and Bilandzic 2009</t>
  </si>
  <si>
    <t>emotional engagement as empathy toward characters</t>
  </si>
  <si>
    <t>Measuring narrative engagement (includes items about emotional engagement)</t>
  </si>
  <si>
    <t>prior studies, measuring narrative engagement question</t>
  </si>
  <si>
    <t>Enjoyment, Interest, Empathy</t>
  </si>
  <si>
    <t>flow</t>
  </si>
  <si>
    <t>Line, Heatmap, Particles</t>
  </si>
  <si>
    <t xml:space="preserve">Chart Type:
-Heatmap had more interactions than line and particle, but least preferred
-particle vis elicited highest sense of immersion and threat, but was least informative; line was most informative
Format:
-immersive experience provides new perspective, elicits emotional responses such as disgust, uneasiness, sense of being threatened,, and stronger overall response than baseline condition
-first-person perspective enhances subjective feelings, third-person perspective enhances risk comprehension
-immersive experience made participants feel stronger sense of presence, closer to the story
</t>
  </si>
  <si>
    <t>"Our second key finding highlights the significance of immersive visualization in SA-raising. Specifically, we observed that the immersive visualization effectively reveals imperceptible and invisible health threats and elicits emotional responses such as disgust, uneasiness, and a sense of being threatened. These emotional responses contribute to SA-raising by enhancing individuals’ self-projection. Importantly, our study expands the understanding of immersive visualization beyond its traditional applications in data understanding and emotion elicitation (Lee et al., 2020, Ivanov et al., 2019), demonstrating its value in public health promotion. ...Therefore, we conclude that the first-person view can effectively evoke subjective emotions and experiences, while the third-person perspective can aid in comprehending risky information."
-they then recommend: making use of diverse immersive data representations to convey health-related situations. finding the right balance between abstraction and realism in immersive visualizations, considering the specific goals and intended messages of the story. balance between conveying information and enhancing perception of threats.
-both conditions led to significant improvements in situation awraeness across three levels of perception, comprehension, and projection
-larger gain from pre- to post-test responses in the VR group, significantly increased SA to a greater extent than regular story (for comprehension)
-higher level of perceived threat in VR condition - felt like they were in the surroundings and felt a strong sense of crisis. baseline story participants said the visualizations are limited to conveying information without evoking strong emotional responses.
-VR conditions: heatmap more interactions than line or particle vis. PArticle mode received highets votes for immersion and threat (but least informative), but line was most informative. these were also preferred to the heatmap.
-first person view received more votes, and spent more time with the story this way.
-"Regarding perspective-taking in the VR data story, participants frequently chose to view the situation from the teacher’s or the infected student’s perspective. They reported enjoyment in seeing the entire room with the virus from the teacher’s perspective and inspecting the virus above the infected student. Participants expressed a desire for more information from these characters through interactions, such as checking their health status or engaging in conversations."
-VR condition had stat sig: stronger sense of presence, higher affective involvement, and enjoyment
-"First, the immersive experience increases the sense of presence and thus promotes participants’ projection into the future. Approximately half of the participants (15/31) in the VR condition reported a “strong sense of presence” and expressed the feeling of connected to the story situation, as they were fully wrapped in the immersive scene." as compared to base story where participants felt they were a distant spectator, lacks same level of emotional and experiential connection. VR participants felt reminded of personal experiences, which shows VR may enhance personal projection/connection to the story.
-story experience with embodied interaction deepens the situational understanding of the story. VR enabled interacting with the story in a natural way. enhances engagement with story. baseline story evoked less empathy with characters in the story because they could not step into the virtual scen. 
-"Stories in both conditions (1) made the COVID-19 health threat that is hidden in real life visually observable and (2) guided viewers to identify potential causes of the health threat through the narrative. Participants in both conditions all mentioned that they “did not pay much attention to the described situation before viewing the story” (Control, P3), and realized the importance of good ventilation after seeing the “apparent difference before and after the Covid-19 was greatly diluted” (VR, P6)."</t>
  </si>
  <si>
    <t>Balancing emotional and cognitive processes, they should support each other: balance emotional engagement (via experiencing datavis in new ways) with cognitive tasks (risk perception, decision-making). Balance abstraction and realism.</t>
  </si>
  <si>
    <t>storytelling, immersion</t>
  </si>
  <si>
    <t>used NYT data story,
participatory design approach with 7 users to iterate and finalize design</t>
  </si>
  <si>
    <t>-story chosen because it is familiar to people, set in a real-world situation familiar to people, had a complete storyline with visualizations
-from pilot study: multiple perspectives for situational understanding (choose between 1st and 3rd person views), embodied interactions for improving sense of presence</t>
  </si>
  <si>
    <t>general, university students</t>
  </si>
  <si>
    <t>21.9 avg</t>
  </si>
  <si>
    <t>28 F</t>
  </si>
  <si>
    <t>mostly Asian
20 people in VR group had prior VR experience 
-self reported familiarity with 3D gams, 3D modeling</t>
  </si>
  <si>
    <t>Observation, Adapted Questionnaire, Custom semi-structured interview protocol</t>
  </si>
  <si>
    <t>random assignment to 1 of 2 conditions: 2D screen vs VR, user participation design approach to derive design implications
-VR condition had 3 versions (random order presentation of visualizations) to avoid anchoring effect</t>
  </si>
  <si>
    <t>observation during experiments
pre-test questionnaire to assess initial situation awareness of health risks regarding experiences in schools
-post.test on SA, and questionnaire to assess engagement and comprehension
interviews</t>
  </si>
  <si>
    <t>25 base condition
65 VR condition</t>
  </si>
  <si>
    <t>mailing lists, social media</t>
  </si>
  <si>
    <t>summary statistics</t>
  </si>
  <si>
    <t>-specific context of topic, visualizations chosen, etc. (while considering these upfront). may not be generalizable to other types of stories, but may be useful for designing similar VR stories.
-may also explore how to apply genAI to help designers quickly create 3D story scenes and elements, given the amount of effort it would otherwise take.
-test different story types, public health issues. to understand how to enhance risk perception, look at other aspects of VR data stories like incorporating emotional elements in audio or visual representations (they don't say more about this). but would expand design space and make more comprehensive understanding of how to leverage VR storytelilng to communicate about public health issues.</t>
  </si>
  <si>
    <t>find the balance balance between conveying information and enhancing perception of threats (while mitigating risk that some people may feel discomfort?)</t>
  </si>
  <si>
    <t>The whole VR modality is quite different from the original story, wonder about the design and set up of the study to actually compare these two. Bc of course people will say the VR is more immersive/engaging and impactful that way.</t>
  </si>
  <si>
    <t>A092</t>
  </si>
  <si>
    <t>Aune, Solveig Utheim; Hompland, Karen</t>
  </si>
  <si>
    <t>Designing for Attitudes: Testing Affective Design in Persuasive Data Visualizations</t>
  </si>
  <si>
    <t>https://ntnuopen.ntnu.no/ntnu-xmlui/handle/11250/3154948</t>
  </si>
  <si>
    <t>Denne studien utforsker påvirkningen visuelle signaler og elementer har på overbevisning i datavisualiseringer. Datavisualisering er et effektivt verktøy for å formidle informasjon og påvirke brukernes meninger, og denne studien har som formål å addressere mangelen på forskning knyttet til å definere forholdet mellom design og emosjonell effekt i datavisualisering. Ved å samle eksisterende funn fra relevant litteratur ble det utviklet et foreslått designrammeverk, som klassifiserte farger og former basert på positiv/"snill" og negativ/"slem" emosjonell effekt. For å teste rammeverket ble det utviklet interaktive nettsider med datavisualiseringer, som implementerte et 2x2 faktorielt design med følgende dimensjoner: tonen (ønsket emosjonell effekt) av rammeverket, og standpunktet visualiseringen tok (for eller mot tema). Her ble kjernekraft valgt som tema, da forskning antydet at det var noe få deltakere ville ha sterke forutinntatte meninger om. For å sikre en omfattende analyse av visualiseringenes overtalende evner ble både kvalitative og kvantitative data brukt for å adressere problemstillingen. Data ble samlet inn gjennom undersøkelser før og etter eksponering av nettsiden, samt gjennom øyesporing under selve eksponeringen. De kognitive effektene av rammeverket ble utforsket gjennom den teoretiske modellen Elaboration Likelihood Method (ELM). Resultatene antyder at de fleste deltakerne tok den sentrale ruten for elaborasjon, da de generelt hadde høy motivasjon og sterke evner. Studien hadde også en betydelig begrensning knyttet til forutinntatte holdninger til temaet, da en signifikant andel av deltakerne viste seg å ha en positiv initiell holdning til kjernekraft. Effektene av de perifere signalene gjennom designrammeverket ble derfor ikke like betydelige som forventet. Selv om visualiseringene var effektive i å engasjere deltakerne, førte ikke rammeverket til en betydelig holdningsendring. Versjoner med motstridende design og argumenter skapte mer tillit, men totalt sett hadde rammeverket en negativ innvirkning på troverdigheten av visualiseringene. Deltakere med lav motivasjon og evne var mer mottakelige for holdningsendringer, slik ELM tilsier. Det ble observert at estetisk sans påvirker inntrykkene positivt der positivt/"snilt" design er benyttet, og at negativt design økte kognitivt arbeid. Demografisk sett viste venstreorienterte deltakere seg mer åpne for holdningsendring, kvinner seg mer estetisk anlagt, og menn viste seg å ha høyere motivasjon og evne. Når det gjelder implikasjoner for videre utvikling av datavisualiseringer, viser studien at kombinasjonen av tekst og visualiseringer hjelper for forståelse, samt at tekst har størst kognitiv belastning av de elementene som ble inkludert i visualiseringene. Videre foretrakk deltakerne enkle visualiseringer og interaktive elementer. Denne studien bidrar til litteraturen og datavisualiseringsdomenet ved å tilby praktiske erfaringer for fremtidig utvikling av lignende (overbevisende) visualiseringer. Videre tester studiet ut teori knyttet til emosjonelt design i praksis, som gir viktige bidrag til relatert litteratur.</t>
  </si>
  <si>
    <t>Exclude: Masters thesis. But could be interesting to look through for references.</t>
  </si>
  <si>
    <t>A101</t>
  </si>
  <si>
    <t>Fuest, Stefan; Shkedova, Olga; Sester, Monika</t>
  </si>
  <si>
    <t>Promoting favorable routes through visual communication: a design study for creating ‘Social’ route maps for the case of air pollution</t>
  </si>
  <si>
    <t>https://www.tandfonline.com/doi/full/10.1080/23729333.2022.2159781</t>
  </si>
  <si>
    <t>10.1080/23729333.2022.2159781</t>
  </si>
  <si>
    <t>1. When planning a trip from one location to another, travelers tend to favor routes that are efficient in terms of travel time, directness and complexity as main factors. Since the individually pe...</t>
  </si>
  <si>
    <t>Driving</t>
  </si>
  <si>
    <t>Unclear if related to emotional engagement (they cite an earlier study 'Nudging' which is in the corpus). However they measure perceived attractiveness, which could be related to aesthetic emotional response... and/or perhaps affective trust (aesthetic quality). Have to look into.</t>
  </si>
  <si>
    <t>A104</t>
  </si>
  <si>
    <t>Bosch, Catho Van Den; Peeters, Nikki; Urkens, Jolan; Ipers, Gijs; Wolff, Annika; Claes, Sandy</t>
  </si>
  <si>
    <t>Situating data stories in space to entice new audiences to engage with science</t>
  </si>
  <si>
    <t>https://www.tandfonline.com/doi/full/10.1080/0144929X.2024.2408361</t>
  </si>
  <si>
    <t>10.1080/0144929X.2024.2408361</t>
  </si>
  <si>
    <t>1. Recent global challenges, such as climate change, the economic crises, and the COVID-19 pandemic, demonstrate the need for humans to acquire a comprehensive understanding of the underlying scien...</t>
  </si>
  <si>
    <t>Star Listener</t>
  </si>
  <si>
    <t>Astronomy</t>
  </si>
  <si>
    <t>Media studies</t>
  </si>
  <si>
    <t>To investigate how different visual narrative strategies (e..g, tone of voice, dynamic vs static) influence public engaement, and in particular sparking initial engagement, and in particular to reach those who do not usually engage in science news or citizen science.</t>
  </si>
  <si>
    <t>positive emotions elicited via certain visual styles, like comics, can contribute to informal learning</t>
  </si>
  <si>
    <t>"The physical environment and its tacit qualities influence initial engagement with narrative physicalisations (Hornecker et al. Citation2023; Karyda, Wilde, and Kjærsgaard Citation2020)"
"The goal of this physical rendition was to reach audiences that typically do not participate in citizen science, which would result in the representation of a wider demographic range in this citizen science study. "</t>
  </si>
  <si>
    <t>Passive-Active-Discovery model of public displays (PACD) Memarovic et al 2012
-passive engagement (glance), active/sustained engagement (more than a few seconds), discovery (spending time)</t>
  </si>
  <si>
    <t>Passive-Active-Discovery model</t>
  </si>
  <si>
    <t>Memarovic et al. 2012</t>
  </si>
  <si>
    <t>Details of PACD: -passive engagement (glance), active/sustained engagement (more than a few seconds), discovery (spending time)</t>
  </si>
  <si>
    <t>Curiosity, Trust</t>
  </si>
  <si>
    <t xml:space="preserve">-the news explainer attracts more passive onlookers at the outset, but the comic explainer was better in sustaining engagement once it has been initiated
-there is an effect size and stat sig correlation between age and ranking of articles (younger participants ranked the baseline more frequently. 
-including the logo of a known news brand, and following their brand style, established trust
-the comic explainer grabbed the attention of those who are less innately interested in science topics - "Moreover, our results indicate the public environment allowed people that report to ignore science communication news online to spontaneously engage with science stories. The combination of the creation of spontaneous encounters and the informal tone of the story allowed us to tap into new audiences to engage with science."
-some found the cat explainer childish, but it was good for younger audiences
-" The comic allowed for personal relevance, evoking emotional reactions, which are powerful ways to establish engagement with data (Matuk et al. Citation2023). "
-5/15 were attracted by the news connection
-5/!5 interested in science topics, were attracted because of this
-3/15 were attracted by the novelty of the display (it was new/not there before)
-6/10 who were not interested in science news were instead attracted by the comics
</t>
  </si>
  <si>
    <t>voice (news-based, comic/character-based)</t>
  </si>
  <si>
    <t>comic, story, character</t>
  </si>
  <si>
    <t>screen, walk-through</t>
  </si>
  <si>
    <t>expert team brainstormed to forward the narrative requirements for information on the physical intallation</t>
  </si>
  <si>
    <t>43.6 avg</t>
  </si>
  <si>
    <t>17 F</t>
  </si>
  <si>
    <t>50% interested in science news, 30% attracted to engage because it was something of the news
4 interviewees mentioned link between news and established trust</t>
  </si>
  <si>
    <t>Ethnographic, short interview</t>
  </si>
  <si>
    <t>Observation, Short semi-structured interview about engagement/interaction with the display</t>
  </si>
  <si>
    <t>attendees to the exhibition</t>
  </si>
  <si>
    <t>thematic analysis, statistical</t>
  </si>
  <si>
    <t>Spearman's rank correlation coefficient</t>
  </si>
  <si>
    <t>-observational method did not allow researchers to follow entire path for participants, or fully cpature the role of the visual design in sustaining engagement
"Future work may explore the role of tone of voice in narrative physicalisations on other topics. Further investigation is also needed to better understand the specific role of humour in physicalisations. Finally, we also want to question the role of the physical attributes or environmental conditions in supporting an informal tone of voice in situated data representation in general."</t>
  </si>
  <si>
    <t>Edge: This study emphasizes the physicalization (walk-through) of presented data stories/comics, but otherwise it seems to be mainly people looking at/watching videos, etc. So it's still primarily visual, although there is also sonification, and later on a mini interactive game. So this could be considered edge, and some of the points they discuss are relevant, e.g., level of engagement, emotional response.
The results are also not presented very clearly and it has hard to find the main points..</t>
  </si>
  <si>
    <t>A110</t>
  </si>
  <si>
    <t>Alebri, Muna; Costanza, Enrico; Panagiotidou, Georgia; Brumby, Duncan P.; Althani, Fatima; Bovo, Riccardo</t>
  </si>
  <si>
    <t>Visualisations with semantic icons: Assessing engagement with distracting elements</t>
  </si>
  <si>
    <t>https://www.sciencedirect.com/science/article/pii/S1071581924001265</t>
  </si>
  <si>
    <t>As visualisations reach a broad range of audiences, designing visualisations that attract and engage becomes more critical. Prior work suggests that semantic icons entice and immerse the reader; however, little is known about their impact with informational tasks and when the viewer’s attention is divided because of a distracting element. To address this gap, we first explored a variety of semantic icons with various visualisation attributes. The findings of this exploration shaped the design of our primary comparative online user studies, where participants saw a target visualisation with a distracting visualisation on a web page and were asked to extract insights. Their engagement was measured through three dependent variables: (1) visual attention, (2) effort to write insights, and (3) self-reported engagement. In Study 1, we discovered that visualisations with semantic icons were consistently perceived to be more engaging than the plain version. However, we found no differences in visual attention and effort between the two versions. Thus, we ran Study 2 using visualisations with more salient semantic icons to achieve maximum contrast. The results were consistent with our first Study. Furthermore, we found that semantic icons elevated engagement with visualisations depicting less interesting and engaging topics from the participant’s perspective. We extended prior work by demonstrating the semantic value after performing an informational task (extracting insights) and reflecting on the visualisation, besides its value to the first impression. Our findings may be helpful to visualisation designers and storytellers keen on designing engaging visualisations with limited resources. We also contribute reflections on engagement measurements with visualisations and provide future directions.</t>
  </si>
  <si>
    <t>Does not specifically measure emotional response to visualizations, but rather 'engagement' in general.</t>
  </si>
  <si>
    <t>A041</t>
  </si>
  <si>
    <t>Blair, Carter; Wang, Xiyao; Perin, Charles</t>
  </si>
  <si>
    <t>Quantifying Emotional Responses to Immutable Data Characteristics and Designer Choices in Data Visualizations</t>
  </si>
  <si>
    <t>https://ieeexplore.ieee.org/document/10673804/?arnumber=10673804</t>
  </si>
  <si>
    <t>Canada, Netherlands</t>
  </si>
  <si>
    <t>Emotion is an important factor to consider when designing visualizations as it can impact the amount of trust viewers place in a visualization, how well they can retrieve information and understand the underlying data, and how much they engage with or connect to a visualization. We conducted five crowdsourced experiments to quantify the effects of color, chart type, data trend, data variability and data density on emotion (measured through self-reported arousal and valence). Results from our experiments show that there are multiple design elements which influence the emotion induced by a visualization and, more surprisingly, that certain data characteristics influence the emotion of viewers even when the data has no meaning. In light of these findings, we offer guidelines on how to use color, scale, and chart type to counterbalance and emphasize the emotional impact of immutable data characteristics.</t>
  </si>
  <si>
    <t>Quantifying Emotional Responses</t>
  </si>
  <si>
    <t>To examine the relationship between emotion and three immutable data characteristics (data trend, variance, and density) and two visual features (colour and chart type).
To quantify the effect of visualization features, other than colour, on emotional response. The first paper to show that, even if data has no semantic meaning, certain data charactersits influence the emotion of viewers.</t>
  </si>
  <si>
    <t>Emotions can impact extent to which viewers engage with or connect to a visualization, and can also impact trust, understanding, and decision-making based on visualizations.</t>
  </si>
  <si>
    <t xml:space="preserve">"emotional priming with positive emotion-inducing stimuli increases the accuracy of information extraction from visualizations [22]; negative emotions have controversial effects and can sometimes increase long-term recall [34]; emotion can affect engagement with data [30]; and there is a relationship be-tween color, perceived beauty, and the degree to which a visualization is trusted by viewers [39]. In data storytelling also, creating narratives that induce emotion is an important consideration [56] to help viewers engage with and relate to the information [15]."
-background on how to measure emotion: behavioural, psychological, experiential. 
-good background on other possible features/elements, like motino, shape, shape stimuli/topic, symmetry, complexity. Chart type can influence perception of trend, determine shape of visualization and therefore affecting users' preferences and memorability. Motion and shape can be manipulated by the designer, but they can also be influenced by immutable data characteristics like trend, variance, and density, that then create the direction of motion.
-immutable data characterstics: cannot be manipulated
 </t>
  </si>
  <si>
    <t>how users interact with and pay attention to data visualizations, modulated by emotion</t>
  </si>
  <si>
    <t>"Emotion is commonly characterized through three factors: arousal, valence, and dominance"</t>
  </si>
  <si>
    <t>Bradley &amp; Lang 1994</t>
  </si>
  <si>
    <t>"Given a stimulus, arousal corresponds to the intensity of emotion it induces, valence to its pleasantness and dominance to its perceived power [68]. Because arousal and valence are more significant and discriminatory [13], [50] and more reliable [13], [47] measures than dominance"</t>
  </si>
  <si>
    <t>valence, arousal, based on the SAM (a validated measure for crowdsourced studies)</t>
  </si>
  <si>
    <t>Line, Bar, Scatterplot</t>
  </si>
  <si>
    <t>vis type(s), design element(s), data characteristic(s)</t>
  </si>
  <si>
    <t>chart type, colour, data characteristics</t>
  </si>
  <si>
    <t>-SAM scale and crowdsourced methods are validated, results replicated from Bartram
Colour: grey colourscale palette is not neutral, but palette tested has lowest effect on emotion (both VA); colour palettes from outside visualizations are broadly transferrable to vis, but small variations may exist; effect of colour palette on emotion (both VA) is larger than data trend
Data variance: higher data variance induces higher arousal, lower valence
Data trend: positive data trends induce higher VA than neutral trends, which also induce higher VA than negative trends
Data density: higher induces higher arousal;  higher data density does not seem to induce higher valence in scatterplots, but lower valence in line charts
Chart type: charts good at showing trends, like line and scatterplot, might be more sensitive to the efefct of trend on AV than charts that do not show trends, like bar; flat trends: charts with round features (eg smoothed line chart) induce lower arousal than sharp features, data trend has much stronger effect than chart type on emotion (both VA); rounded features like smoothed linechart induce higher valence than charts with sharp features (like jagged line), especially when there is a negative data trend; line charts induce higher arousal than scatterplots
-"From these results, we provide guidelines on how to manipulate color, scale, and chart type to counterbalance or emphasize the emotional impact of immutable data characteristics."
on immutable data characteristics: "Designers can employ logarithmic scales or adjust axis start and end values to amplify or diminish trend perception. For instance, shortening the range of the vertical axis in a visualization with a positive data trend would diminish the perception of that trend and counterbalance the heightened valence and arousal induced by a positive trend. or... designers can increase the range of values of the y axis to make that data appear as if it has lower variance - leading to lower arousal and higher valence. Since high data density is associated with high arousal and low valence, designers could also make a visualization larger to make the data appear as if it is less dense - leading to lower arousal and higher valence."
on chart type: "However, our results provide evidence that emotion is yet another aspect that designers should consider when selecting a type of chart, as it can influence the induced emotion, and it can be used to alter the emotional impact of the data trend. For instance, a designer may want to avoid bar charts if. heightening induced valence is a goal. ..This observation echoes findings that trend is less discernible in bar charts [16], as a greater emotional impact from data trend would be expected when trends are more easily perceived. ...As a result, a designer should prefer line graphs over scatterplots and scatterplots over bar charts if h eightening induced arousal is a goal." on shape: " This means that designers can smoothen a line chart to increase its induced valence without altering its induced arousal."
On colour use: "consider color at the end of a visualization design process and as a way to inhibit, balance, or strengthen an emotion based on the data characteristics (trend, density, variance) and based on what other visualization features have been used (chart type, shape) - a guideline often suggested based on experience and established visualization guidelines that is given additional importance here, from the perspective of emotion." - e.g., to represent a dataset about an economic crisis with negative trend in a neutral way, use an exciting colour palette to counterbalance the negative emotional response induced by the negative trend.
-techniques like scaling an axis to exaggerate trends could increase perceived valence of a visualization, act as a sort of positive visual priming which could lead to improved visual judgment - however the distortion can also alter the perceived message and make comparing values difficult.</t>
  </si>
  <si>
    <t>50 per exp</t>
  </si>
  <si>
    <t>varied,</t>
  </si>
  <si>
    <t>online crowdsourced, 5 experiments: colour and data trends, data trends and chart types, variance and chart types, data density and chart types. each had two independent variables: a design choice and a data characteristic.</t>
  </si>
  <si>
    <t>SAM on 9-point scales
surveymonkey, qualtrics</t>
  </si>
  <si>
    <t>effect sizes and CI</t>
  </si>
  <si>
    <t>-data trends are roughly linear with same coefficients - to what extent does the form or the intensity influence results? e.g., would an exponential triend have a stronger effect on emotion than a linear trend?
-there might be a nonlinear relationship between data variance and arousal but experiments do not show enough granularity
-only horizontal data density was varied, but vertical desntity may have a diff relationship with emotion. why is the valence of scatterplots inversely related to density?
-did not consider accuracy of information extraction - which is essential for designing good visualizations
-smoothing creates visual artifacts that are not true to the data - modifications like smoothing, scattering, blurring, aggregating are likely to affect readability of information. Size of stimulus also a similar concern - accuracy and efficiency of information retrieval depends on size of visula idioms - too small or too large can be hard to read, or too cluttered. future work could look into emotional response and task-based performance metrics of these aspects
-control for ink ratio in S3, with thinner bars, which may have reduced prominence and therefore contributed to lower perceived arousal ratings
-culture on emotions - English speaking from western countries, cultural differences in colour meanings and reading direction likely alter visual interpretation - culture should be investigated
-excluded semantics to isolate effects of experimental factors - but semantics surely affect a viewer's emotions, and real-life charts do have semantics. data storytelling with visualization could make viewers emotionally connect with the story, and work related to emotion has studied how storytelling can persuade viewers, or empathize with a topic. semantics and visualization features studies should be done.</t>
  </si>
  <si>
    <t>no mention, but they talk about counterbalancing the effect of negative trends/bad news with positive colours... which is interesting.</t>
  </si>
  <si>
    <t>Their note about using an exciting colour palette to counterbalance the negative effect of a negative/bad news data trend (e.g. economic crisis) is weird - and goes against the semantic congruence findings from other studies.</t>
  </si>
  <si>
    <t>A106</t>
  </si>
  <si>
    <t>Pokojná, Hana; Isenberg, Tobias; Bruckner, Stefan; Kozlíková, Barbora; Garrison, Laura</t>
  </si>
  <si>
    <t>The Language of Infographics: Toward Understanding Conceptual Metaphor Use in Scientific Storytelling</t>
  </si>
  <si>
    <t>https://ieeexplore.ieee.org/document/10682437</t>
  </si>
  <si>
    <t>We apply an approach from cognitive linguistics by mapping Conceptual Metaphor Theory (CMT) to the visualization domain to address patterns of visual conceptual metaphors that are often used in science infographics. Metaphors play an essential part in visual communication and are frequently employed to explain complex concepts. However, their use is often based on intuition, rather than following a formal process. At present, we lack tools and language for understanding and describing metaphor use in visualization to the extent where taxonomy and grammar could guide the creation of visual components, e.g., infographics. Our classification of the visual conceptual mappings within scientific representations is based on the breakdown of visual components in existing scientific infographics. We demonstrate the development of this mapping through a detailed analysis of data collected from four domains (biomedicine, climate, space, and anthropology) that represent a diverse range of visual conceptual metaphors used in the visual communication of science. This work allows us to identify patterns of visual conceptual metaphor use within the domains, resolve ambiguities about why specific conceptual metaphors are used, and develop a better overall understanding of visual metaphor use in scientific infographics. Our analysis shows that ontological and orientational conceptual metaphors are the most widely applied to translate complex scientific concepts. To support our findings we developed a visual exploratory tool based on the collected database that places the individual infographics on a spatio-temporal scale and illustrates the breakdown of visual conceptual metaphors.</t>
  </si>
  <si>
    <t>Exclude: Not an empirical study, but can be referenced when it comes to discussion of metaphor and data, emotional aspects, etc.</t>
  </si>
  <si>
    <t>A115</t>
  </si>
  <si>
    <t>Moin, Sara; Belani, Manshul; Singh, Pragya; Phutela, Nishtha; Singh, Pushpendra</t>
  </si>
  <si>
    <t>"But I Won't Say That It Was Bad Seeing a Real Vagina": Understanding Perspectives toward Learning Sensitive-Critical Health Topic</t>
  </si>
  <si>
    <t>https://dl.acm.org/doi/10.1145/3706598.3713807</t>
  </si>
  <si>
    <t>10.1145/3706598.3713807</t>
  </si>
  <si>
    <t>India</t>
  </si>
  <si>
    <t>In India, topics related to sexual and reproductive health (SRH) are rarely discussed openly due to stigma. Cervical cancer, a part of this SRH sphere, is the second most common cancer among women in India, yet its awareness remains low. To understand the attitudes towards SRH, we designed a Cervical cancer awareness tutorial in Virtual Reality and collected data from 66 participants across genders and life stages (single, married, and married with children) through interviews, self-reported emotions, and physiological sensor data. Our findings revealed an acute lack of knowledge about self-body anatomy and a need for creating health literacy. Our participants appreciated receiving detailed information despite the presence of explicit imagery and advocated that critical health information should not be moderated. We offer recommendations to the HCI community for teaching cervical cancer and suggest extending these approaches to enhance education on similar critical SRH issues in India.</t>
  </si>
  <si>
    <t>Women's Health</t>
  </si>
  <si>
    <t>A089</t>
  </si>
  <si>
    <t>Sheppard, Stephen R J; Shaw, Alison; Flanders, David; Burch, Sarah</t>
  </si>
  <si>
    <t>Can Visualisation Save the World? – Lessons for Landscape Architects from Visualizing Local Climate Change</t>
  </si>
  <si>
    <t>This paper addresses the potential role of visualisation tools in rapidly increasing peoples’ awareness of climate change and possibly affecting behaviour and policy, together with ethical dilemmas to be overcome if such a course of action is pursued. The urgent need to mitigate and adapt to climate change is becoming more widely understood in scientific and some policy circles, but public awareness and policy change are lagging well behind. Emerging visualisation theory suggests that realistic landscape visualisations may offer special advantages in bringing the possible consequences of climate change home to people in a compelling manner. Recent research results on a local climate change visioning process conducted in British Columbia is providing new evidence of this effect. A participatory process to localize, spatialize, and visualize climate change implications in case study communities was successful in raising community awareness, increasing the sense of urgency, and articulating for the first time holistic community options in mitigating and adapting to climate change at the local level. Potentially, such methods could accelerate policy change and action, representing a powerful social marketing tool. The authors conclude that the persuasive use of visualisations and visioning processes by landscape architects is justified, and indeed imperative in communicating climate change. It also offers new opportunities for professional leadership in tackling a global crisis. However, in attempting to move communities on to a more sustainable path, we need to address the ethical and professional dilemmas raised by the fundamental shift in moving from an objective ‘neutral’ paradigm to a more persuasive approach which deliberately engages the emotions with visual imagery. Such efforts need to address the ‘3 Ds’ of visualising the future with climate change: disclosure, drama, and defensibility. We need stronger professional standards or an adapted code of ethics if we are to use visualisation to convey effectively and vividly the science of climate change, acknowledging the uncertainties and maintaining professional credibility.</t>
  </si>
  <si>
    <t>"Assuming that visualisation could motivate action on climate change, is it right to change
people’s minds and behaviour with visualisations?" need for disclosure, using powerful visualization tools to shape public values on sustainable practices, for example. Scientifically-produced visualizations are needed to counter misinformation issued by cliamte change deniers or the media (intentionally or in error). Change public behaviour on emissions through a process of leadership, dialogue, and facilitation: vis can help to project "visions for a sustainable way of living".
"If it is accepted that we should take an advocacy role, and indeed have a moral obligation
to do so, we must confront a major dilemma, pitting the traditional role of landscape
visualisations as an objective decision-making or design tool against the deliberate intent to
change attitudes and persuade." - they focus on rhetoric of simulation.
The dominant scientific and professional paradigm has been the goal of achieving
honest and accurate visualisations with high standards of defensibility, staying a respectful
distance from their use as entertainment or even avoiding too much engagement
(MCQUILLAN 1998, SHEPPARD 1989, SHEPPARD 2001).  impartial information vs. advocacy
proposed a Code of Ethics for conventional use of landscape visualisation, which identifies the following principles or criteria that may be relevant to climate change applications: accuracy, representitiveness, visual clarity, interest and engagement of audience, legitimacy/accountability, including transparency of data and production process, accessbility of the vis to public and potential users.
Questions persist about permissible levels of drama, and the
degree of “scientific license” we may use. Do the potential benefits outweigh the risks?
Practical or even legal dilemmas could arise for example when showing communitymembers pictures of their houses being flooded in a future storm event, for example,
raising issues of potentially declining property values and planning blight. Given the
nature of the climate change debate, how robust can the scientific underpinnings of
visualisation be with such great uncertainty?</t>
  </si>
  <si>
    <t>RELATED WORK: it appears to be reporting on another case study and is not a primary/firsthand source of research, but touches on ethical issues and other aspects for visualizing climate change and promoting community engagement. e.g., the 3Ds of CC: disclosure, drama, defensibility</t>
  </si>
  <si>
    <t>A094</t>
  </si>
  <si>
    <t>Bancilhon, Melanie; Padilla, Lace; Ottley, Alvitta</t>
  </si>
  <si>
    <t>Evaluating Visualization Decision-Making with Cognitive Models</t>
  </si>
  <si>
    <t>In visualization research, evaluation is a crucial step to assess the impact of visualization on decision-making. Existing work often gauges how good a visualization is by measuring its ability to induce accurate and fast judgment. While those measures provide some insight into the eﬃcacy of a graph, underlying cognitive processes responsible for reasoning and judgment are often overlooked when they can have signiﬁcant implications for visualization recommendation. Cognitive processes do not need to be a black box. There exist multiple models that explain decision processes, such as theories from behavioral economics and dual process theories. In this chapter, we compare and contrast diﬀerent models and advocate for integrating a dual-process approach to visualization evaluation in the context of decision-making. Our goal is to guide visualization researchers to adopt a more granular approach to evaluation at the intersection of visualization and cognitive science.</t>
  </si>
  <si>
    <t>Book chapter</t>
  </si>
  <si>
    <t>Author short</t>
  </si>
  <si>
    <t>Short Title</t>
  </si>
  <si>
    <t>Research area</t>
  </si>
  <si>
    <t>Domain application</t>
  </si>
  <si>
    <t>Corpus Category</t>
  </si>
  <si>
    <t>Abstract Note</t>
  </si>
  <si>
    <t>Publisher</t>
  </si>
  <si>
    <t>DOI</t>
  </si>
  <si>
    <t>Url</t>
  </si>
  <si>
    <t>Author</t>
  </si>
  <si>
    <t>Date</t>
  </si>
  <si>
    <t>Access Date</t>
  </si>
  <si>
    <t>Pages</t>
  </si>
  <si>
    <t>Issue</t>
  </si>
  <si>
    <t>Volume</t>
  </si>
  <si>
    <t>Journal Abbreviation</t>
  </si>
  <si>
    <t>Rights</t>
  </si>
  <si>
    <t>Library Catalog</t>
  </si>
  <si>
    <t>Extra</t>
  </si>
  <si>
    <t>Automatic Tags</t>
  </si>
  <si>
    <t>Conference Name</t>
  </si>
  <si>
    <t>Sorapure</t>
  </si>
  <si>
    <t>Anthropographics in COVID-19 simulations</t>
  </si>
  <si>
    <t>Analysis</t>
  </si>
  <si>
    <t>Data visualization researchers and designers have explored a range of approaches to ensure that non-expert audiences understand and derive value from their work. Using anthropomorphized data graphics—or anthropographics—is one strategy that can help create a connection between data and audiences. Anthropographics have been defined as “visualizations that represent data about people in a way that is intended to promote prosocial feelings (e.g. compassion or empathy) or prosocial behavior (e.g. donating or helping).” However, during the SARS-CoV-2 pandemic, anthropographics were used in data visualizations that had an expanded range of rhetorical goals beyond promoting prosocial feelings and behavior—for instance, informing people about the pandemic, persuading them to adopt certain behaviors, or memorializing those killed by the virus. In particular, anthropographics were used in visualized simulations to model possible futures for audiences, showing the spread and impact of the virus in various scenarios. These simulations used anthropomorphizing strategies in text as well as in graphics, along with interactive options that enabled audiences to explore personal connections with the data. As demonstrated through a close reading of several of these COVID-19 simulations, anthropographics can be viewed holistically as a design strategy that incorporates text and interactivity as well as graphical marks in representing data. Findings from this analysis suggest several additions to the design space for anthropographics.</t>
  </si>
  <si>
    <t>Big Data &amp; Society</t>
  </si>
  <si>
    <t>10.1177/20539517221098414</t>
  </si>
  <si>
    <t>https://doi.org/10.1177/20539517221098414</t>
  </si>
  <si>
    <t>Sorapure, Madeleine</t>
  </si>
  <si>
    <t>20539517221098414</t>
  </si>
  <si>
    <t>SAGE Journals</t>
  </si>
  <si>
    <t>Citation Key: dimara_2020_TaskBasedTaxonomyCognitive</t>
  </si>
  <si>
    <t>Beyond (Mis)Representation</t>
  </si>
  <si>
    <t>This article provides one of the first analyses of visuals in misinformation concerning COVID-19. A mixed-methods analysis of ninety-six examples of visuals in misinformation rated false or misleading by independent professional fact-checkers from the first three months of 2020 identifies and examines six frames and three distinct functions of visuals in pieces of misinformation: how visuals illustrate and selectively emphasize arguments and claims, purport to present evidence for claims, and impersonate supposedly authoritative sources for claims. Notably, visuals in more than half of the pieces of misinformation analyzed explicitly serve as evidence for false claims, most of which are mislabelled rather than manipulated. While this analysis uncovered a small number of manipulated visuals, all were produced using simple tools; there were no examples of “deepfakes” or other artificial intelligence-based techniques. In recognizing the diverse functions of visuals in misinformation and drawing on recent literature on scientific visualization, this article demonstrates the value in both attending to visual content in misinformation and expanding our focus beyond a concern with only the representational aspects and functions of misinformation.</t>
  </si>
  <si>
    <t>The International Journal of Press/Politics</t>
  </si>
  <si>
    <t>10.1177/1940161220964780</t>
  </si>
  <si>
    <t>https://doi.org/10.1177/1940161220964780</t>
  </si>
  <si>
    <t>Beyond (Mis)Representation: Visuals in COVID-19 Misinformation</t>
  </si>
  <si>
    <t>Brennen, J. Scott; Simon, Felix M.; Nielsen, Rasmus Kleis</t>
  </si>
  <si>
    <t>277-299</t>
  </si>
  <si>
    <t>Citation Key: boehner_2005_AffectInformationInteraction</t>
  </si>
  <si>
    <t>Aarhus05: 4th Aarhus Conference 2005 - Critical Computing; between Sense and Sensibility</t>
  </si>
  <si>
    <t>Misleading Beyond Visual Tricks</t>
  </si>
  <si>
    <t>Data visualizations can empower an audience to make informed decisions. At the same time, deceptive representations of data can lead to inaccurate interpretations while still providing an illusion of data-driven insights. Existing research on misleading visualizations primarily focuses on examples of charts and techniques previously reported to be deceptive. These approaches do not necessarily describe how charts mislead the general population in practice. We instead present an analysis of data visualizations found in a real-world discourse of a significant global event—Twitter posts with visualizations related to the COVID-19 pandemic. Our work shows that, contrary to conventional wisdom, violations of visualization design guidelines are not the dominant way people mislead with charts. Specifically, they do not disproportionately lead to reasoning errors in posters’ arguments. Through a series of examples, we present common reasoning errors and discuss how even faithfully plotted data visualizations can be used to support misinformation.</t>
  </si>
  <si>
    <t>Proceedings of the 2023 CHI Conference on Human Factors in Computing Systems</t>
  </si>
  <si>
    <t>10.1145/3544548.3580910</t>
  </si>
  <si>
    <t>https://dl.acm.org/doi/10.1145/3544548.3580910</t>
  </si>
  <si>
    <t>Misleading Beyond Visual Tricks: How People Actually Lie with Charts</t>
  </si>
  <si>
    <t>Lisnic, Maxim; Polychronis, Cole; Lex, Alexander; Kogan, Marina</t>
  </si>
  <si>
    <t>1-21</t>
  </si>
  <si>
    <t>ACM</t>
  </si>
  <si>
    <t>DOI.org (Crossref)</t>
  </si>
  <si>
    <t>Moere &amp; Purchase</t>
  </si>
  <si>
    <t>Role of design in infovis</t>
  </si>
  <si>
    <t>Every information visualization developer is engaged in a complex process of design – balancing the three requirements of utility, soundness and attractiveness within given constraints. This paper investigates the oftoverlooked requirement of attractiveness (or ‘aesthetics’) in visualization, and, in doing so, discusses a wider role for the design process which emphasizes the benefits of disseminating design rationale. In presenting a model of three potential roles for design in information visualization, we suggest that the field would benefit from encompassing a broader scope that includes visualizations produced as part of commercial practice or artistic exploration. We conclude with a discussion on the practical consequences to the academic community of adopting our model – consequences that will require a paradigm shift in the way we value, teach and conduct information visualization research.</t>
  </si>
  <si>
    <t>Information Visualization</t>
  </si>
  <si>
    <t>10.1177/1473871611415996</t>
  </si>
  <si>
    <t>https://journals.sagepub.com/doi/10.1177/1473871611415996</t>
  </si>
  <si>
    <t>On the role of design in information visualization</t>
  </si>
  <si>
    <t>Moere, Andrew Vande; Purchase, Helen</t>
  </si>
  <si>
    <t>356-371</t>
  </si>
  <si>
    <t>PMID: 28462104 PMCID: PMC5381435 Citation Key: lim_2016_CulturalDifferencesEmotion</t>
  </si>
  <si>
    <t>The Language of Infographics</t>
  </si>
  <si>
    <t>IEEE VIS</t>
  </si>
  <si>
    <t>http://arxiv.org/abs/2407.13416</t>
  </si>
  <si>
    <t>arXiv</t>
  </si>
  <si>
    <t>arXiv.org</t>
  </si>
  <si>
    <t>Citation Key: kennedy_2016_EngagingBigData</t>
  </si>
  <si>
    <t>Ferreira et al.</t>
  </si>
  <si>
    <t>The Russia-Ukraine war and climate change</t>
  </si>
  <si>
    <t>Design</t>
  </si>
  <si>
    <t>Climate, War</t>
  </si>
  <si>
    <t>The Russian invasion of Ukraine in February 2022 escalated a conflict that began in 2014, resulting in massive casualties and the largest refugee crisis since World War II. The war has also disrupted global food and energy trade, significantly impacting the environment, including damage to critical infrastructure, increased greenhouse gas emissions, and dire consequences on biodiversity and environmental health – connecting the war to climate change. Effective communication is crucial in helping the public understand and feel engaged with these complex topics. This study aims to understand how the research communities and broader media have linked the war to climate change, how this connection has been visualised, and what can be learned from the approaches. We surveyed 1192 papers or articles from ten research and media venues. We collected 202 data visualisations, 59 from articles connecting the dimensions of the war and climate change, concluding that energy is the most explored topic, with finance/commerce also significantly represented, and that data visualisation strategies used are limited in narrative and chart types. The study leverages this knowledge to propose implications for the design of future climate change interactions.</t>
  </si>
  <si>
    <t>IASDR 2023: Life-Changing Design</t>
  </si>
  <si>
    <t>10.21606/iasdr.2023.431</t>
  </si>
  <si>
    <t>https://dl.designresearchsociety.org/iasdr/iasdr2023/fullpapers/147</t>
  </si>
  <si>
    <t>The Russia-Ukraine war and climate change: Analysis of one year of data-visualisations</t>
  </si>
  <si>
    <t>Ferreira, Marta; Nunes, Nuno; Ceccarini, Chiara; Prandi, Catia; Nisi, Valentina</t>
  </si>
  <si>
    <t>Design Research Society</t>
  </si>
  <si>
    <t>Citation Key: hepworth_2020_MakeMeCare</t>
  </si>
  <si>
    <t>Care ethics; Compassion; Science communication; Visualization</t>
  </si>
  <si>
    <t>Understanding Mental Health Organizations’ Instagram Through Visuals</t>
  </si>
  <si>
    <t>This study analyzed the content, visual features, and audience engagement data of Instagram posts from two mental health organizations over one year (N = 725). For content features, mental health literacy and communicative strategies were examined. Posts that promoted knowledge of mental disorders and treatments, used information and community strategy were more likely to receive higher audience engagement. Visual features of demographic segments, visual composition, and visual framing topics were analyzed. Images that covered an unspecific population, used illustrated images, and focused on anti-stigma topical frames obtained more engagement. Theoretical contributions and practical applications regarding visual message design and management on social media to promote mental health are also offered.</t>
  </si>
  <si>
    <t>10.1080/10410236.2023.2185350</t>
  </si>
  <si>
    <t>https://doi.org/10.1080/10410236.2023.2185350</t>
  </si>
  <si>
    <t>Understanding Mental Health Organizations’ Instagram Through Visuals: A Content Analysis</t>
  </si>
  <si>
    <t>Jia, Moyi; Ju, Ran; Zhu, Jian</t>
  </si>
  <si>
    <t>Taylor and Francis+NEJM</t>
  </si>
  <si>
    <t>Citation Key: popova_2015_IntelligenceEmotionsPhilosopher</t>
  </si>
  <si>
    <t>Viral Visualizations</t>
  </si>
  <si>
    <t>Controversial understandings of the coronavirus pandemic have turned data visualizations into a battleground. Defying public health officials, coronavirus skeptics on US social media spent much of 2020 creating data visualizations showing that the government’s pandemic response was excessive and that the crisis was over. This paper investigates how pandemic visualizations circulated on social media, and shows that people who mistrust the scientific establishment often deploy the same rhetorics of data-driven decision-making used by experts, but to advocate for radical policy changes. Using a quantitative analysis of how visualizations spread on Twitter and an ethnographic approach to analyzing conversations about COVID data on Facebook, we document an epistemological gap that leads pro- and anti-mask groups to draw drastically different inferences from similar data. Ultimately, we argue that the deployment of COVID data visualizations reflect a deeper sociopolitical rift regarding the place of science in public life.</t>
  </si>
  <si>
    <t>Proceedings of the 2021 CHI Conference on Human Factors in Computing Systems</t>
  </si>
  <si>
    <t>10.1145/3411764.3445211</t>
  </si>
  <si>
    <t>https://dl.acm.org/doi/10.1145/3411764.3445211</t>
  </si>
  <si>
    <t>Viral Visualizations: How Coronavirus Skeptics Use Orthodox Data Practices to Promote Unorthodox Science Online</t>
  </si>
  <si>
    <t>Lee, Crystal; Yang, Tanya; Inchoco, Gabrielle D; Jones, Graham M.; Satyanarayan, Arvind</t>
  </si>
  <si>
    <t>1-18</t>
  </si>
  <si>
    <t>Publisher: Society for Technical Communication</t>
  </si>
  <si>
    <t>Visualization Guardrails</t>
  </si>
  <si>
    <t>Primary Data guardrails provide contextual data by directly plotting the primary data—meaning data at the same level of granularity and of the same units as the main data in the chart. Primary Data guardrails are shown in blue in Figure 1. The main advantage of Primary Data guardrails is their simplicity (both to implement and to understand): while they should be visually distinct from the main data, they still use the units as the chosen items and need virtually no explanation to be understood. This advantage is especially strong in a Superimposed Primary Data guardrail: it utilizes the same visual encoding and exists on the same axes as the main data, and thus its meaning is self-explanatory. Summary guardrails, on the other hand, condense the primary data into a summary form for the purposes of providing context. They are shown in orange in Figure 1. There are many possibilities for the exact implementation of Summary guardrails, and, consequently, the designer should deliberate over what type of summary is the most meaningful, given data and domain. For instance, a simpler Summary could provide the average, inter-quartile range, or extrema of the data set. A more complicated Summary could show information about the variance or the shape of the distribution of the data.</t>
  </si>
  <si>
    <t>10.31219/osf.io/4j9nr</t>
  </si>
  <si>
    <t>https://osf.io/4j9nr</t>
  </si>
  <si>
    <t>Visualization Guardrails: Designing Interventions Against Cherry-Picking in Interactive Data Explorers</t>
  </si>
  <si>
    <t>Lisnic, Maxim; Cutler, Zach; Kogan, Marina; Lex, Alexander</t>
  </si>
  <si>
    <t>https://creativecommons.org/licenses/by/4.0/legalcode</t>
  </si>
  <si>
    <t>Open Science Framework</t>
  </si>
  <si>
    <t>Citation Key: kennedy_2016_WorkThatVisualisation</t>
  </si>
  <si>
    <t>Hullman &amp; Diakopoulos</t>
  </si>
  <si>
    <t>Visualization Rhetoric</t>
  </si>
  <si>
    <t>IEEE Transactions on Visualization and Computer Graphics</t>
  </si>
  <si>
    <t>10.1109/TVCG.2011.255</t>
  </si>
  <si>
    <t>2231-2240</t>
  </si>
  <si>
    <t>IEEE Trans. Visual. Comput. Graphics</t>
  </si>
  <si>
    <t>DOI: 10.7551/mitpress/11805.001.0001 Citation Key: dignazio_2020_DataFeminism</t>
  </si>
  <si>
    <t>Climate Change Communication Research</t>
  </si>
  <si>
    <t>To better understand the structure, development, and function of the climate change communication knowledge domain, we performed time-evolving bibliometric mapping and topic modeling on 2,995 climate change communication publications from Web of Science. Structural and visual representations of scholarship are useful for identifying areas of opportunity and coordinating effort in interdisciplinary and action-oriented knowledge domains. Our analysis reveals a cohesive and dense yet ossified knowledge structure which suggests that while a systems approach is being applied in climate communication, there is a need to explore more constitutive strategies for the communication of climate change.</t>
  </si>
  <si>
    <t>Journal of Science Communication</t>
  </si>
  <si>
    <t>10.22323/2.21070203</t>
  </si>
  <si>
    <t>https://jcom.sissa.it/article/pubid/JCOM_2107_2022_A03/</t>
  </si>
  <si>
    <t>Visualizing the structure and development of climate change communication research</t>
  </si>
  <si>
    <t>Canon, Chelsea R.; Boyle, Douglas P.; McAfee, Stephanie A.</t>
  </si>
  <si>
    <t>A03</t>
  </si>
  <si>
    <t>JCOM</t>
  </si>
  <si>
    <t>DOI: 10.5117/9789463722902 Citation Key: engebretsen_2020_DataVisualizationSociety</t>
  </si>
  <si>
    <t>What is the message?</t>
  </si>
  <si>
    <t>Analysis, Empirical</t>
  </si>
  <si>
    <t>Data visualizations are used to communicate messages to diverse audiences. It is unclear whether interpretations of these visualizations match the messages their creators aim to convey. In a mixed-methods study, we investigate how data in the popular science magazine Scientific American are visually communicated and understood. We first analyze visualizations about climate change and pandemics published in the magazine over a fifty-year period. Acting as chart readers, we then interpret visualizations with and without textual elements, identifying takeaway messages and creating field notes. Finally, we compare a sample of our interpreted messages to the intended messages of chart producers, drawing on interviews conducted with magazine staff. These data allow us to explore understanding visualizations through three perspectives: that of the charts, visualization readers, and visualization producers. Building on our findings from a thematic analysis, we present in-depth insights into data visualization sensemaking, particularly regarding the role of messages and textual elements; we propose a message typology, and we consider more broadly how messages can be conceptualized and understood.</t>
  </si>
  <si>
    <t>https://arxiv.org/abs/2304.10544v1</t>
  </si>
  <si>
    <t>What is the message? Perspectives on Visual Data Communication</t>
  </si>
  <si>
    <t>Koesten, Laura; Gregory, Kathleen; Schuster, Regina; Knoll, Christian; Davies, Sarah; Möller, Torsten</t>
  </si>
  <si>
    <t>Citation key: munn_2020_logicoffeeling</t>
  </si>
  <si>
    <t>Think Fast, Think Slow, Think Critical</t>
  </si>
  <si>
    <t>Application, Empirical</t>
  </si>
  <si>
    <t>In today's digital age, characterized by rapid news consumption and increasing vulnerability to propaganda, fostering citizens' critical thinking is crucial for stable democracies. This paper introduces the design of ClarifAI, a novel automated propaganda detection tool designed to nudge readers towards more critical news consumption by activating the analytical mode of thinking, following Kahneman's dual-system theory of cognition. Using Large Language Models, ClarifAI detects propaganda in news articles and provides context-rich explanations, enhancing users' understanding and critical thinking. Our contribution is threefold: first, we propose the design of ClarifAI; second, in an online experiment, we demonstrate that this design effectively encourages news readers to engage in more critical reading; and third, we emphasize the value of explanations for fostering critical thinking. The study thus offers both a practical tool and useful design knowledge for mitigating propaganda in digital news.</t>
  </si>
  <si>
    <t>Proceedings of the CHI Conference on Human Factors in Computing Systems</t>
  </si>
  <si>
    <t>10.1145/3613904.3642805</t>
  </si>
  <si>
    <t>https://dl.acm.org/doi/10.1145/3613904.3642805</t>
  </si>
  <si>
    <t>Think Fast, Think Slow, Think Critical: Designing an Automated Propaganda Detection Tool</t>
  </si>
  <si>
    <t>Zavolokina, Liudmila; Sprenkamp, Kilian; Katashinskaya, Zoya; Jones, Daniel Gordon; Schwabe, Gerhard</t>
  </si>
  <si>
    <t>1-24</t>
  </si>
  <si>
    <t>Citation Key: solhart_2024_GoNegativeClicks</t>
  </si>
  <si>
    <t>SkyGlyphs</t>
  </si>
  <si>
    <t>Social</t>
  </si>
  <si>
    <t>Reflection Paper</t>
  </si>
  <si>
    <t>In creating SkyGlyphs, our goal was to develop a data visualization that could possibly capture people’s attention and spark their curiosity to explore a dataset. This work was inspired by a mingling of research including serendipitous interactions, visualizations for public displays, and personal visualizations. SkyGlyphs is a nonconventional whimsical visualization, depicting datapoints as animated balloons in space. We designed it to encourage non-experts to casually browse the contents of a repository through visual interactions like linking and grouping of datapoints. Our contributions include SkyGlyphs’ representation and our design reflection that reveals a perspective on how to design delightful visualizations.</t>
  </si>
  <si>
    <t>2022 IEEE VIS Arts Program (VISAP)</t>
  </si>
  <si>
    <t>10.1109/VISAP57411.2022.00021</t>
  </si>
  <si>
    <t>https://ieeexplore.ieee.org/document/9975615/?arnumber=9975615</t>
  </si>
  <si>
    <t>SKYGLYPHS: REFLECTIONS on the DESIGN of a DELIGHTFUL VISUALIZATION</t>
  </si>
  <si>
    <t>Aseniero, Bon Adriel; Fitzmaurice, George; Carpendale, Sheelagh; Matejka, Justin</t>
  </si>
  <si>
    <t>105-120</t>
  </si>
  <si>
    <t>IEEE Xplore</t>
  </si>
  <si>
    <t>Citation Key: schombs_2024_FaceVisExploringRobot</t>
  </si>
  <si>
    <t>Affective Color in Vis</t>
  </si>
  <si>
    <t>Review Paper</t>
  </si>
  <si>
    <t>Communicating the right affect, a feeling, experience or emotion, is critical in creating engaging visual communication. We carried out three studies examining how different color properties (lightness, chroma and hue) and different palette properties (combinations and distribution of colors) contribute to different affective interpretations in information visualization where the numbers of colors is typically smaller than the rich palettes used in design. Our results show how color and palette properties can be manipulated to achieve affective expressiveness even in the small sets of colors used for data encoding in information visualization.</t>
  </si>
  <si>
    <t>Proceedings of the 2017 CHI Conference on Human Factors in Computing Systems</t>
  </si>
  <si>
    <t>10.1145/3025453.3026041</t>
  </si>
  <si>
    <t>https://dl.acm.org/doi/10.1145/3025453.3026041</t>
  </si>
  <si>
    <t>Affective Color in Visualization</t>
  </si>
  <si>
    <t>Bartram, Lyn; Patra, Abhisekh; Stone, Maureen</t>
  </si>
  <si>
    <t>1364-1374</t>
  </si>
  <si>
    <t>arXiv:2309.01445 [cs] Citation Key: lo_2023_WhyChangeMy</t>
  </si>
  <si>
    <t>Computer Science - Human-Computer Interaction</t>
  </si>
  <si>
    <t>Of course it's political!</t>
  </si>
  <si>
    <t>Framework</t>
  </si>
  <si>
    <t>Recent developments in critical information visualization have brought the field's attention to political, feminist, ethical, and rhetorical aspects of data visualization. However, less work has explored the interplay between design decisions and political ramifications—structures of authority, means of representation, etc. In this paper, we build upon these critical perspectives and highlight the political aspect of civic text visualization especially in the context of democratic decision-making. Based on a critical analysis of survey papers about text visualization in general, followed by a review on the status quo of text visualization in civics, we argue that civic text visualization inherits an exclusively analytic framing. This framing leads to a series of issues and challenges in the fundamentally political context of civics, such as misinterpretation of data, missing minority voices, and excluding the public from decision making processes. To span this gap between political context and analytic framing, we provide a series of two-pole conceptual dimensions, such as from singular user to multiple relationships, and from complexity to inclusivity of visualization design. For each dimension, we discuss how the tensions between these poles can help surface the political ramifications of design decisions in civic text visualization. These dimensions can thus help visualization researchers, designers, and practitioners attend more intentionally to these political aspects and inspire their design choices. We conclude by suggesting that these dimensions may be useful for visualization design across a variety of application domains, beyond civic text visualization.</t>
  </si>
  <si>
    <t>Computer Graphics Forum</t>
  </si>
  <si>
    <t>10.1111/cgf.14518</t>
  </si>
  <si>
    <t>https://onlinelibrary.wiley.com/doi/abs/10.1111/cgf.14518</t>
  </si>
  <si>
    <t>Of Course it's Political! A Critical Inquiry into Underemphasized Dimensions in Civic Text Visualization</t>
  </si>
  <si>
    <t>Baumer, Eric P. S.; Jasim, Mahmood; Sarvghad, Ali; Mahyar, Narges</t>
  </si>
  <si>
    <t>1-14</t>
  </si>
  <si>
    <t>Wiley Online Library</t>
  </si>
  <si>
    <t>Publisher: Frontiers</t>
  </si>
  <si>
    <t>Climate Change; Communication; emotion; gender; Political identity; Public activism</t>
  </si>
  <si>
    <t>Affect: from information to interaction</t>
  </si>
  <si>
    <t>Affective Computing</t>
  </si>
  <si>
    <t>Background</t>
  </si>
  <si>
    <t>While affective computing explicitly challenges the primacy of rationality in cognitivist accounts of human activity, at a deeper level it relies on and reproduces the same information-processing model of cognition. In affective computing, affect is often seen as another kind of information - discrete units or states internal to an individual that can be transmitted in a loss-free manner from people to computational systems and back. Drawing on cultural, social, and interactional critiques of cognition which have arisen in HCI, we introduce and explore an alternative model of emotion as interaction: dynamic, culturally mediated, and socially constructed and experienced. This model leads to new goals for the design and evaluation of affective systems - instead of sensing and transmitting emotion, systems should support human users in understanding, interpreting, and experiencing emotion in its full complexity and ambiguity.</t>
  </si>
  <si>
    <t>Proceedings of the 4th decennial conference on Critical computing: between sense and sensibility</t>
  </si>
  <si>
    <t>10.1145/1094562.1094570</t>
  </si>
  <si>
    <t>https://dl.acm.org/doi/10.1145/1094562.1094570</t>
  </si>
  <si>
    <t>Boehner, Kirsten; DePaula, Rogério; Dourish, Paul; Sengers, Phoebe</t>
  </si>
  <si>
    <t>59-68</t>
  </si>
  <si>
    <t>Citation Key: holder_2024_MustBeTuesday</t>
  </si>
  <si>
    <t>⛔ No DOI found</t>
  </si>
  <si>
    <t>Datavis across different levels of understanding</t>
  </si>
  <si>
    <t>Understanding a visualization is a multi-level process. A reader must extract and extrapolate from numeric facts, understand how those facts apply to both the context of the data and other potential contexts, and draw or evaluate conclusions from the data. A well-designed visualization should support each of these levels of understanding. We diagnose levels of understanding of visualized data by adapting Bloom’s taxonomy, a common framework from the education literature. We describe each level of the framework and provide examples for how it can be applied to evaluate the efﬁcacy of data visualizations along six levels of knowledge acquisition knowledge, comprehension, application, analysis, synthesis, and evaluation. We present three case studies showing that this framework expands on existing methods to comprehensively measure how a visualization design facilitates a viewer’s understanding of visualizations. Although Bloom’s original taxonomy suggests a strong hierarchical structure for some domains, we found few examples of dependent relationships between performance at different levels for our three case studies. If this level-independence holds across new tested visualizations, the taxonomy could serve to inspire more targeted evaluations of levels of understanding that are relevant to a communication goal.</t>
  </si>
  <si>
    <t>2020 IEEE Workshop on Evaluation and Beyond - Methodological Approaches to Visualization (BELIV)</t>
  </si>
  <si>
    <t>10.1109/BELIV51497.2020.00010</t>
  </si>
  <si>
    <t>https://ieeexplore.ieee.org/document/9307754/</t>
  </si>
  <si>
    <t>How to evaluate data visualizations across different levels of understanding</t>
  </si>
  <si>
    <t>Burns, Alyxander; Xiong, Cindy; Franconeri, Steven; Cairo, Alberto; Mahyar, Narges</t>
  </si>
  <si>
    <t>19-28</t>
  </si>
  <si>
    <t>IEEE</t>
  </si>
  <si>
    <t>https://ieeexplore.ieee.org/Xplorehelp/downloads/license-information/IEEE.html</t>
  </si>
  <si>
    <t>Publisher: Routledge _eprint: https://doi.org/10.1080/10696679.2022.2039875 Citation Key: chowdhury_2023_WhatMakesMe</t>
  </si>
  <si>
    <t>Eleven Years of Gender Data Visualization</t>
  </si>
  <si>
    <t>Gender</t>
  </si>
  <si>
    <t>We present an analysis of the representation of gender as a data dimension in data visualizations and propose a set of considerations around visual variables and annotations for gender-related data. Gender is a common demographic dimension of data collected from study or survey participants, passengers, or customers, as well as across academic studies, especially in certain disciplines like sociology. Our work contributes to multiple ongoing discussions on the ethical implications of data visualizations. By choosing specifc data, visual variables, and text labels, visualization designers may, inadvertently or not, perpetuate stereotypes and biases. Here, our goal is to start an evolving discussion on how to represent data on gender in data visualizations and raise awareness of the subtleties of choosing visual variables and words in gender visualizations. In order to ground this discussion, we collected and coded gender visualizations and their captions from fve different scientifc communities (Biology, Politics, Social Studies, Visualisation, and Human-Computer Interaction), in addition to images from Tableau Public and the Information Is Beautiful awards showcase. Overall we found that representation types are community-specifc, color hue is the dominant visual channel for gender data, and nonconforming gender is under-represented. We end our paper with a discussion of considerations for gender visualization derived from our coding and the literature and recommendations for large data collection bodies. A free copy of this paper and all supplemental materials are available at https://osf.io/v9ams/.</t>
  </si>
  <si>
    <t>10.1109/TVCG.2023.3327369</t>
  </si>
  <si>
    <t>https://ieeexplore.ieee.org/document/10304299/</t>
  </si>
  <si>
    <t>Eleven Years of Gender Data Visualization: A Step Towards More Inclusive Gender Representation</t>
  </si>
  <si>
    <t>Cabric, Florent; Bjarnadóttir, Margrét Vilborg; Ling, Meng; Rafnsdóttir, Guðbjörg Linda; Isenberg, Petra</t>
  </si>
  <si>
    <t>Citation Key: lisnic_2024_YeahThisGraph</t>
  </si>
  <si>
    <t>CHI '24: CHI Conference on Human Factors in Computing Systems</t>
  </si>
  <si>
    <t>Theorizing Deception</t>
  </si>
  <si>
    <t>The issue of dark patterns and deceptive designs (DPs) in everyday interfaces and interactions continues to grow. DPs are manipulative and malicious elements within user interfaces that deceive users into making unintended choices. In parallel, research on DPs has significantly increased over the past two decades. As the field has matured, epistemological gaps have also become a salient and pressing concern. In this scoping review, we assessed the academic work so far—51 papers between 2014 to 2023—to identify the state of theory in DP research. We identified the key theories employed, examined how these theories have been referenced, and call for enhancing the incorporation of theory into DP research. We also propose broad theoretical foundations to establish a comprehensive and solid base for contextualizing and informing future DP research from a variety of theoretical scopes and lenses.</t>
  </si>
  <si>
    <t>Extended Abstracts of the CHI Conference on Human Factors in Computing Systems</t>
  </si>
  <si>
    <t>10.1145/3613905.3650997</t>
  </si>
  <si>
    <t>https://dl.acm.org/doi/10.1145/3613905.3650997</t>
  </si>
  <si>
    <t>Theorizing Deception: A Scoping Review of Theory in Research on Dark Patterns and Deceptive Design</t>
  </si>
  <si>
    <t>Chang, Weichen Joe; Seaborn, Katie; Adams, Andrew A.</t>
  </si>
  <si>
    <t>Number: 14 Publisher: Multidisciplinary Digital Publishing Institute</t>
  </si>
  <si>
    <t>affective colormap design; crowdsourced study; human perception; microwave tomography; visualization</t>
  </si>
  <si>
    <t>How Does Automation Shape the Process of Narrative Visualization</t>
  </si>
  <si>
    <t>In recent years, narrative visualization has gained much attention. Researchers have proposed different design spaces for various narrative visualization genres and scenarios to facilitate the creation process. As users’ needs grow and automation technologies advance, increasingly more tools have been designed and developed. In this study, we summarized six genres of narrative visualization (annotated charts, infographics, timelines &amp; storylines, data comics, scrollytelling &amp; slideshow, and data videos) based on previous research and four types of tools (design spaces, authoring tools, ML/AI-supported tools and ML/AI-generator tools) based on the intelligence and automation level of the tools. We surveyed 105 papers and tools to study how automation can progressively engage in visualization design and narrative processes to help users easily create narrative visualizations. This research aims to provide an overview of current research and development in the automation involvement of narrative visualization tools. We discuss key research problems in each category and suggest new opportunities to encourage further research in the related domain.</t>
  </si>
  <si>
    <t>10.1109/TVCG.2023.3261320</t>
  </si>
  <si>
    <t>https://ieeexplore.ieee.org/document/10081398/</t>
  </si>
  <si>
    <t>How Does Automation Shape the Process of Narrative Visualization: A Survey of Tools</t>
  </si>
  <si>
    <t>Chen, Qing; Cao, Shixiong; Wang, Jiazhe; Cao, Nan</t>
  </si>
  <si>
    <t>4429-4448</t>
  </si>
  <si>
    <t>Citation Key: borkin_2016_MemorabilityVisualizationRecognition</t>
  </si>
  <si>
    <t>Chun</t>
  </si>
  <si>
    <t>Framework for understanding news infographics</t>
  </si>
  <si>
    <t>Visual Literacy, Journalism</t>
  </si>
  <si>
    <t>There is a lack of definitional rigour for journalism infographics that allows ambiguity in their evaluation and research. This study is an attempt to remedy this imprecision to understand how the form differs from other visual modes of communication, and to more clearly establish criteria for its analysis. We argue that a news infographic is grounded on three essential criteria—integration, abstraction, and extension. We test the validity of our framework by applying it to case studies of infographics recognized for their excellence. We discuss how our criteria represent an elaboration of a two-part concept of appearance and explanation, and suggest ways in which the framework can be used to judge existing infographics and to guide the creation of future infographics for the news.</t>
  </si>
  <si>
    <t>Journal of Visual Literacy</t>
  </si>
  <si>
    <t>10.1080/1051144X.2023.2192061</t>
  </si>
  <si>
    <t>https://doi.org/10.1080/1051144X.2023.2192061</t>
  </si>
  <si>
    <t>A framework for understanding and evaluating news infographics</t>
  </si>
  <si>
    <t>Chun, Russell S.</t>
  </si>
  <si>
    <t>110-129</t>
  </si>
  <si>
    <t>Citation Key: ferreira_2024_ConnectingAudiencesClimate</t>
  </si>
  <si>
    <t>Correll</t>
  </si>
  <si>
    <t>Ethical Dimensions of Vis Research</t>
  </si>
  <si>
    <t>Theory</t>
  </si>
  <si>
    <t>Proceedings of the 2019 CHI Conference on Human Factors in Computing Systems</t>
  </si>
  <si>
    <t>10.1145/3290605.3300418</t>
  </si>
  <si>
    <t>https://dl.acm.org/doi/10.1145/3290605.3300418</t>
  </si>
  <si>
    <t>Ethical Dimensions of Visualization Research</t>
  </si>
  <si>
    <t>Correll, Michael</t>
  </si>
  <si>
    <t>1-13</t>
  </si>
  <si>
    <t>arXiv:2402.12634 [cs] Citation Key: shao_2024_DataStorytellingData</t>
  </si>
  <si>
    <t>Currie Sivek</t>
  </si>
  <si>
    <t>Both Facts and Feelings</t>
  </si>
  <si>
    <t>Media Literacy</t>
  </si>
  <si>
    <t>News literacy education has long focused on the significance of facts, sourcing, and verifiability. While these are critical aspects of news, rapidly developing emotion analytics technologies intended to respond to and even alter digital news audiences’ emotions also demand that we pay greater attention to the role of emotion in news consumption. This essay explores the role of emotion in the “fake news” phenomenon and the implementation of emotion analytics tools in news distribution. I examine the function of emotion in news consumption and the status of emotion within existing news literacy training programs. Finally, I offer suggestions for addressing emotional responses to news with students, including both mindfulness techniques and psychological research on thinking processes.</t>
  </si>
  <si>
    <t>Journal of Media Literacy Education</t>
  </si>
  <si>
    <t>10.23860/JMLE-2018-10-2-7</t>
  </si>
  <si>
    <t>https://digitalcommons.uri.edu/jmle/vol10/iss2/7/</t>
  </si>
  <si>
    <t>Both Facts and Feelings: Emotion and News Literacy</t>
  </si>
  <si>
    <t>Currie Sivek, Susan</t>
  </si>
  <si>
    <t>123-138</t>
  </si>
  <si>
    <t>JMLE</t>
  </si>
  <si>
    <t>_eprint: https://onlinelibrary.wiley.com/doi/pdf/10.1111/cgf.14817 Citation Key: mittenentzwei_2023_DiseaseStoriesNeed</t>
  </si>
  <si>
    <t>• Human-centered computing → Visualization design and evaluation methods; CCS Concepts; Scientific visualization</t>
  </si>
  <si>
    <t>Dhawka et al.</t>
  </si>
  <si>
    <t>We are the Data</t>
  </si>
  <si>
    <t>Anthropographics are human-shaped visualizations that aim to emphasize the human importance of datasets and the people behind them. However, current anthropographics tend to employ homogeneous human shapes to encode data about diverse demographic groups. Such anthropographics can obscure important differences between groups and contemporary designs exemplify the lack of inclusive approaches for representing human diversity in visualizations. In response, we explore the creation of demographically diverse anthropographics that communicate the visible diversity of demographically distinct populations. Building on previous anthropographics research, we explore strategies for visualizing datasets about people in ways that explicitly encode diversity—illustrating these approaches with examples in a variety of visual styles. We also critically reflect on strategies for creating diverse anthropographics, identifying social and technical challenges that can result in harmful representations. Finally, we highlight a set of forward-looking research opportunities for advancing the design and understanding of diverse anthropographics.</t>
  </si>
  <si>
    <t>10.1145/3544548.3581086</t>
  </si>
  <si>
    <t>https://dl.acm.org/doi/10.1145/3544548.3581086</t>
  </si>
  <si>
    <t>We are the Data: Challenges and Opportunities for Creating Demographically Diverse Anthropographics</t>
  </si>
  <si>
    <t>Dhawka, Priya; He, Helen Ai; Willett, Wesley</t>
  </si>
  <si>
    <t>Conference Name: IEEE Transactions on Visualization and Computer Graphics Citation Key: he_2024_EnthusiasticGroundedAvoidant</t>
  </si>
  <si>
    <t>Data visualization; Diverse audiences; Electronic mail; Government; Information receptivity; Information visualization; Interviews; Open data; Production; Recruitment</t>
  </si>
  <si>
    <t>Task-Based Taxonomy of Cognitive Biases</t>
  </si>
  <si>
    <t>Information visualization designers strive to design data displays that allow for efﬁcient exploration, analysis, and communication of patterns in data, leading to informed decisions. Unfortunately, human judgment and decision making are imperfect and often plagued by cognitive biases. There is limited empirical research documenting how these biases affect visual data analysis activities. Existing taxonomies are organized by cognitive theories that are hard to associate with visualization tasks. Based on a survey of the literature we propose a task-based taxonomy of 154 cognitive biases organized in 7 main categories. We hope the taxonomy will help visualization researchers relate their design to the corresponding possible biases, and lead to new research that detects and addresses biased judgment and decision making in data visualization.</t>
  </si>
  <si>
    <t>10.1109/TVCG.2018.2872577</t>
  </si>
  <si>
    <t>https://ieeexplore.ieee.org/document/8476234/</t>
  </si>
  <si>
    <t>A Task-Based Taxonomy of Cognitive Biases for Information Visualization</t>
  </si>
  <si>
    <t>Dimara, Evanthia; Franconeri, Steven; Plaisant, Catherine; Bezerianos, Anastasia; Dragicevic, Pierre</t>
  </si>
  <si>
    <t>1413-1432</t>
  </si>
  <si>
    <t>Citation Key: schafer_2024_FightingMaliciousDesigns</t>
  </si>
  <si>
    <t>Doherty &amp; Doherty</t>
  </si>
  <si>
    <t>Engagement in HCI</t>
  </si>
  <si>
    <t>Engaging users is a priority for designers of products and services of every kind. The need to understand users’ experiences has motivated a focus on user engagement across computer science. However, to date, there has been limited review of how Human--Computer Interaction and computer science research interprets and employs the concept. Questions persist concerning its conception, abstraction, and measurement. This article presents a systematic review of engagement spanning a corpus of 351 articles and 102 definitions. We map the current state of engagement research, including the diverse interpretation, theory, and measurement of the concept. We describe the ecology of engagement and strategies for the design of engaging experiences, discuss the value of the concept and its relationship to other terms, and present a set of guidelines and opportunities for future research.</t>
  </si>
  <si>
    <t>ACM Computing Surveys</t>
  </si>
  <si>
    <t>10.1145/3234149</t>
  </si>
  <si>
    <t>https://dl.acm.org/doi/10.1145/3234149</t>
  </si>
  <si>
    <t>Engagement in HCI: Conception, Theory and Measurement</t>
  </si>
  <si>
    <t>Doherty, Kevin; Doherty, Gavin</t>
  </si>
  <si>
    <t>1-39</t>
  </si>
  <si>
    <t>ACM Comput. Surv.</t>
  </si>
  <si>
    <t>Citation Key: burns_2024_InvisibleVisibleImpacts</t>
  </si>
  <si>
    <t>More Than Data Stories</t>
  </si>
  <si>
    <t>Data visualization and journalism are deeply connected. From early infographics to recent data-driven storytelling, visualization has become an integrated part of contemporary journalism, primarily as a communication artifact to inform the general public. Data journalism, harnessing the power of data visualization, has emerged as a bridge between the growing volume of data and our society. Visualization research that centers around data storytelling has sought to understand and facilitate such journalistic endeavors. However, a recent metamorphosis in journalism has brought broader challenges and opportunities that extend beyond mere communication of data. We present this article to enhance our understanding of such transformations and thus broaden visualization research's scope and practical contribution to this evolving field. We first survey recent significant shifts, emerging challenges, and computational practices in journalism. We then summarize six roles of computing in journalism and their implications. Based on these implications, we provide propositions for visualization research concerning each role. Ultimately, by mapping the roles and propositions onto a proposed ecological model and contextualizing existing visualization research, we surface seven general topics and a series of research agendas that can guide future visualization research at this intersection.</t>
  </si>
  <si>
    <t>10.1109/TVCG.2023.3287585</t>
  </si>
  <si>
    <t>https://ieeexplore.ieee.org/document/10158423/?arnumber=10158423</t>
  </si>
  <si>
    <t>More Than Data Stories: Broadening the Role of Visualization in Contemporary Journalism</t>
  </si>
  <si>
    <t>Fu, Yu; Stasko, John</t>
  </si>
  <si>
    <t>5240-5259</t>
  </si>
  <si>
    <t>Conference Name: IEEE Transactions on Visualization and Computer Graphics Citation Key: arunkumar_2024_ImageInformationExamining</t>
  </si>
  <si>
    <t>Data visualization; Economics; Geology; Human-Centered Computing; Information Visualization; Meteorology; Perception &amp; Cognition; Sports; Takeaways; Task analysis; Visualization</t>
  </si>
  <si>
    <t>D'Ignazio &amp; Klein</t>
  </si>
  <si>
    <t>Data Feminism</t>
  </si>
  <si>
    <t>Book Reference</t>
  </si>
  <si>
    <t>A new way of thinking about data science and data ethics that is informed by the ideas of intersectional feminism.Today, data science is a form of power. I</t>
  </si>
  <si>
    <t>https://direct.mit.edu/books/book/4660/Data-Feminism</t>
  </si>
  <si>
    <t>D'Ignazio, Catherine; Klein, Lauren F.</t>
  </si>
  <si>
    <t>MIT Press</t>
  </si>
  <si>
    <t>direct.mit.edu</t>
  </si>
  <si>
    <t>Conference Name: IEEE Transactions on Visualization and Computer Graphics Citation Key: lan_2022_KinetichartsAugmentingAffective</t>
  </si>
  <si>
    <t>Affective Design; Animation; Data visualization; Interviews; Journalism; Mood; Storytelling; Videos; Visualization</t>
  </si>
  <si>
    <t>Data Visualization in Society</t>
  </si>
  <si>
    <t>Today we are witnessing an increased use of data visualization in society. Across domains such as work, education and the news, various forms of graphs, charts and maps are used to explain, convince and tell stories. In an era in which more and more data are produced and circulated digitally, and digital tools make visualization production increasingly accessible, it is important to study the conditions under which such visual texts are generated, disseminated and thought to be of societal benefit. This book is a contribution to the multi-disciplined and multi-faceted conversation concerning the forms, uses and roles of data visualization in society. Do data visualizations do 'good' or 'bad'? Do they promote understanding and engagement, or do they do ideological work, privileging certain views of the world over others? The contributions in the book engage with these core questions from a range of disciplinary perspectives.</t>
  </si>
  <si>
    <t>https://www.aup.nl/en/book/9789463722902</t>
  </si>
  <si>
    <t>Engebretsen, Martin; Kennedy, Helen; Walker, Jill; Aiello, Giorgia; Uberg, Torgeir; Masson, Eef; Van, Karin; Laaksonen, Salla-Maaria; Pääkkönen, Juho; Snaprud, Mikael; Velazquez, Andrea; L., Arran; Birchall, Christopher; Geenen, Daniela; Wieringa, Maranke; Simpson, Jill; Weber, Wibke; Tønnessen, Elise Seip; D’Ignazio, Catherine; Bhargava, Rahul; Pinney, Lulu; Archer, Arlene; Noakes, Travis; Brinch, Sara; Hiippala, Tuomo; Gray, Jonathan; Lechner, Verena Elisabeth; Alamalhodaei, Aria; Alberda, Alexandra; Feigenbaum, Anna; Wihbey, John P.; Jackson, Sarah J.; Cruz, Pedro M.; Welles, Brooke Foucault; Hill, Rosemary Lucy; Ricker, Britta; Kraak, Menno-Jan; Engelhardt, Yuri; Berti Suman, Anna; Gutiérrez, Miren; Cairo, Alberto</t>
  </si>
  <si>
    <t>Amsterdam University Press</t>
  </si>
  <si>
    <t>https://creativecommons.org/licenses/by-nc-nd/4.0/</t>
  </si>
  <si>
    <t>Conference Name: IEEE Transactions on Visualization and Computer Graphics Citation Key: blair_2024_QuantifyingEmotionalResponses</t>
  </si>
  <si>
    <t>Affect; Atmospheric measurements; Data visualization; Data Visualization; Emotion; Image color analysis; Market research; Particle measurements; Physiology; Quantitative Study; Shape</t>
  </si>
  <si>
    <t>Sutcliffe</t>
  </si>
  <si>
    <t>Designing for User Engagement</t>
  </si>
  <si>
    <t>https://link.springer.com/10.1007/978-3-031-02188-6</t>
  </si>
  <si>
    <t>Designing for User Engagement: Aesthetic and Attractive User Interfaces</t>
  </si>
  <si>
    <t>Sutcliffe, Alistair</t>
  </si>
  <si>
    <t>Springer International Publishing</t>
  </si>
  <si>
    <t>https://www.springer.com/tdm</t>
  </si>
  <si>
    <t>_eprint: https://onlinelibrary.wiley.com/doi/pdf/10.1111/cgf.13980 Citation Key: liem_2020_StructureEmpathyVisual</t>
  </si>
  <si>
    <t>CCS Concepts; • Human-centered computing → Empirical studies in visualization</t>
  </si>
  <si>
    <t>Munn</t>
  </si>
  <si>
    <t>Logic of Feeling</t>
  </si>
  <si>
    <t>Combining a close analysis of contemporary technologies such as Affectiva, Facebook, and Alexa with critical media theory, Logic of Feeling: Technology’s Quest to Capitalize Emotion examines how ...</t>
  </si>
  <si>
    <t>https://rowman.com/ISBN/9781538148365/Logic-of-Feeling-Technologys-Quest-to-Capitalize-Emotion</t>
  </si>
  <si>
    <t>Logic of Feeling: Technology's Quest to Capitalize Emotion</t>
  </si>
  <si>
    <t>Munn, Luke</t>
  </si>
  <si>
    <t>Rowman &amp; Littlefield Publishers</t>
  </si>
  <si>
    <t>rowman.com</t>
  </si>
  <si>
    <t>arXiv:2211.03296 [cs] Citation Key: lan_2022_ChartExcitesMe</t>
  </si>
  <si>
    <t>Fogg</t>
  </si>
  <si>
    <t>Persuasive technology</t>
  </si>
  <si>
    <t>Computers</t>
  </si>
  <si>
    <t>Mother Nature knows best--How engineered organizations of the future will resemble natural-born systems.</t>
  </si>
  <si>
    <t>Ubiquity</t>
  </si>
  <si>
    <t>10.1145/764008.763957</t>
  </si>
  <si>
    <t>https://dl.acm.org/doi/10.1145/764008.763957</t>
  </si>
  <si>
    <t>Persuasive technology: using computers to change what we think and do</t>
  </si>
  <si>
    <t>Fogg, B. J.</t>
  </si>
  <si>
    <t>December</t>
  </si>
  <si>
    <t>Citation Key: rogha_2024_ImpactElicitationContrasting</t>
  </si>
  <si>
    <t>Hopium or empowering hope?</t>
  </si>
  <si>
    <t>Psychology</t>
  </si>
  <si>
    <t>Meta-Analysis</t>
  </si>
  <si>
    <t>Researchers are increasingly examining whether hope can motivate action on climate change, or conversely, whether it might demotivate such action. We present a meta-analysis (&lt;italic&gt;k&lt;/italic&gt; = 46) of quantitative studies examining the relationships between measures and manipulations of hope with climate engagement. On average, &lt;italic&gt;measured&lt;/italic&gt; hope was associated with greater climate engagement (&lt;italic&gt;r&lt;/italic&gt; = 0.18); however, this effect differed based on the target of hope. Hope regarding the possibility of respondents taking action was particularly strongly associated with greater engagement (&lt;italic&gt;r&lt;/italic&gt; = 0.40), while in contrast, hope grounded in climate change not being a problem was associated with less engagement (&lt;italic&gt;r&lt;/italic&gt; = −0.40). Hope in response to climate change generally, and domain-general hope, were only weakly associated with greater engagement (&lt;italic&gt;r&lt;/italic&gt;s = 0.13, 0.20). On average, hope &lt;italic&gt;manipulations&lt;/italic&gt; fostered increased engagement, though the increase was small (Cohen’s &lt;italic&gt;d&lt;/italic&gt; = 0.08). Subgroup analyses suggested two promising types of hope manipulations warranting future research: &lt;italic&gt;personal efficacy&lt;/italic&gt; (&lt;italic&gt;k&lt;/italic&gt; = 2, &lt;italic&gt;d&lt;/italic&gt; = 0.18) and &lt;italic&gt;in-depth&lt;/italic&gt; (&lt;italic&gt;k&lt;/italic&gt; = 2, &lt;italic&gt;d&lt;/italic&gt; = 0.49). In contrast, messages suggesting societal efficacy (i.e., providing a sense of possibility that climate change could be addressed) did not significantly or substantially boost (nor discourage) engagement (&lt;italic&gt;d&lt;/italic&gt; = 0.05), and status quo-framed messages (i.e., messages highlighting that environmental conditions could stay the same if climate action is taken) had a marginally significant negative effect on engagement (&lt;italic&gt;d&lt;/italic&gt; = −0.18). After excluding a single outlier, the extent to which manipulations increased hope were not correlated with increases in climate engagement, suggesting the possibility that hope might be incidental to the success of some manipulations rather than a necessary component for promoting engagement. Overall, our meta-analysis does not suggest that increasing hope decreases climate engagement, with the possible exceptions of denial hope and status quo framed messages. Conversely, however, results provide partial yet inconclusive evidence for the hypothesis that increasing hope increases climate engagement. Given the existing published literature, we argue that future researchers should consider study designs that align with theoretical perspectives on how hope promotes climate engagement (e.g., longitudinal designs) and also consider directly assessing populations of interest (e.g., climate activists).&lt;/p&gt;</t>
  </si>
  <si>
    <t>Frontiers in Psychology</t>
  </si>
  <si>
    <t>10.3389/fpsyg.2023.1139427</t>
  </si>
  <si>
    <t>https://www.frontiersin.org/journals/psychology/articles/10.3389/fpsyg.2023.1139427/full</t>
  </si>
  <si>
    <t>Hopium or empowering hope? A meta-analysis of hope and climate engagement</t>
  </si>
  <si>
    <t>Geiger, Nathaniel; Dwyer, Timothy; Swim, Janet K.</t>
  </si>
  <si>
    <t>Front. Psychol.</t>
  </si>
  <si>
    <t>Frontiers</t>
  </si>
  <si>
    <t>DIS '24: Designing Interactive Systems Conference</t>
  </si>
  <si>
    <t>Go Negative for Clicks</t>
  </si>
  <si>
    <t>Environment</t>
  </si>
  <si>
    <t>Content Analysis</t>
  </si>
  <si>
    <t>In light of environmental challenges, environmental advocacy organizations are seeking optimal ways to increase public engagement. There is debate over whether positive or negative sentiment in advocacy messages is more effective. We investigate this by examining how positive and negative sentiment in advocacy messages sent by the Environmental Defense Fund (EDF) through email was associated with the frequency with which recipients opened the email and clicked on a link within the email. We used a computer-assisted content analysis to determine the sentiment of email campaign messages sent by the EDF between November 2011 and February 2020, and then examined how public engagement varied depending on the sentiment of the email messages. Overall, we find that negative sentiment in environmental advocacy emails was associated with increased engagement.</t>
  </si>
  <si>
    <t>Environmental Communication</t>
  </si>
  <si>
    <t>10.1080/17524032.2024.2372579</t>
  </si>
  <si>
    <t>https://www.tandfonline.com/doi/full/10.1080/17524032.2024.2372579</t>
  </si>
  <si>
    <t>Go Negative for Clicks: Negative Sentiment in Environmental Advocacy Emails Is Associated with Increased Public Engagement</t>
  </si>
  <si>
    <t>Sol Hart, P.; Soroka, Stuart N.; Hiaeshutter-Rice, Dan</t>
  </si>
  <si>
    <t>Citation Key: correll_2020_TruncatingYAxisThreat</t>
  </si>
  <si>
    <t>Personalized Comics for Healthcare Comms</t>
  </si>
  <si>
    <t>Design Study</t>
  </si>
  <si>
    <t>Through co-design with patients undergoing hemodialysis and their healthcare professionals, we worked towards discovering how to create a personalised, welcoming, yet quick and accurate method for medical instruction communication. Exploring possibilities of meeting the widely differing goals of patients and their healthcare professionals led to designing a personalise-able method for creating comics. Through ongoing discussions during the comic creation process, we explored variations in comic styles and personalisation factors such as choosing and modifying the appearance of the comic personalities, the settings, the central topics, and word usage to create the comics. Interest in using the approach that supports the creation of medical comics was high among patients and healthcare professionals. Rich feedback was obtained about information to be included and future direction for such medical comic creation support. We reflect on lessons learned during co-design with healthcare givers and patients.</t>
  </si>
  <si>
    <t>Proceedings of the 2024 ACM Designing Interactive Systems Conference</t>
  </si>
  <si>
    <t>10.1145/3643834.3661506</t>
  </si>
  <si>
    <t>https://dl.acm.org/doi/10.1145/3643834.3661506</t>
  </si>
  <si>
    <t>Exploring Using Personalised Comics for Healthcare Communication for Patients Living With Hemodialysis</t>
  </si>
  <si>
    <t>Waseem, Komal; Sturdee, Miriam; Wang, Zezhong; Lewis, Rachel A; Tonelli, Marcello; Carpendale, Sheelagh</t>
  </si>
  <si>
    <t>Citation Key: omar_2024_UnlockingYoungPeople</t>
  </si>
  <si>
    <t>FaceVis</t>
  </si>
  <si>
    <t>Design study</t>
  </si>
  <si>
    <t>In this paper we examine the use of a robot’s face as an interface for affective visualisation design, a concept that we name FaceVis. We conducted a design workshop with 9 experts to explore metaphorical ideas on how to leverage a robot’s physicality, appearance and agency to convey data and communicate emotion. We present insights on potential challenges, benefits and pitfalls when using a robot’s face to visualise data. Our results show that this approach has the potential to enhance user engagement, support self-reflection and elicit empathic concern. We contribute three design considerations and provide future research directions to investigate a robot’s face as an interface for visualisation design.</t>
  </si>
  <si>
    <t>10.1145/3613905.3650910</t>
  </si>
  <si>
    <t>FaceVis: Exploring a Robot's Face for Affective Visualisation Design</t>
  </si>
  <si>
    <t>Schömbs, Sarah; Pan, Jiahe; Zhang, Yan; Goncalves, Jorge; Johal, Wafa</t>
  </si>
  <si>
    <t>Zotero</t>
  </si>
  <si>
    <t>Conference Name: IEEE Transactions on Visualization and Computer Graphics Citation Key: elhamdadi_2024_VistrustMultidimensionalFramework</t>
  </si>
  <si>
    <t>Atmospheric measurements; Computer science; Data visualization; framework; Games; Investment; Particle measurements; science; Trust; visualization; Visualization</t>
  </si>
  <si>
    <t>Why Change My Design</t>
  </si>
  <si>
    <t>Although visualization tools are widely available and accessible, not everyone knows the best practices and guidelines for creating accurate and honest visual representations of data. Numerous books and articles have been written to expose the misleading potential of poorly constructed charts and teach people how to avoid being deceived by them or making their own mistakes. These readings use various rhetorical devices to explain the concepts to their readers. In our analysis of a collection of books, online materials, and a design workshop, we identified six common explanation methods. To assess the effectiveness of these methods, we conducted two crowdsourced studies (each with N = 125) to evaluate their ability to teach and persuade people to make design changes. In addition to these existing methods, we brought in the idea of Explorable Explanations, which allows readers to experiment with different chart settings and observe how the changes are reflected in the visualization. While we did not find significant differences across explanation methods, the results of our experiments indicate that, following the exposure to the explanations, the participants showed improved proficiency in identifying deceptive charts and were more receptive to proposed alterations of the visualization design. We discovered that participants were willing to accept more than 60% of the proposed adjustments in the persuasiveness assessment. Nevertheless, we found no significant differences among different explanation methods in convincing participants to accept the modifications.</t>
  </si>
  <si>
    <t>http://arxiv.org/abs/2309.01445</t>
  </si>
  <si>
    <t>Why Change My Design: Explaining Poorly Constructed Visualization Designs with Explorable Explanations</t>
  </si>
  <si>
    <t>Lo, Leo Yu-Ho; Cao, Yifan; Yang, Leni; Qu, Huamin</t>
  </si>
  <si>
    <t>Citation Key: lin_2021_VisualizationAestheticsBias</t>
  </si>
  <si>
    <t>Aesthetics; Beauty-is-good Stereotype; Causal Effects; Data Visualizations; Misinformation; Public Trust; Publication Bias</t>
  </si>
  <si>
    <t>Image or Information?</t>
  </si>
  <si>
    <t>Empirical</t>
  </si>
  <si>
    <t>How do people internalize visualizations: as images or information? In this study, we investigate the nature of internalization for visualizations (i.e., how the mind encodes visualizations in memory) and how memory encoding affects its retrieval. This exploratory work examines the influence of various design elements on a user's perception of a chart. Specifically, which design elements lead to perceptions of visualization as an image (aims to provide visual references, evoke emotions, express creativity, and inspire philosophic thought) or as information (aims to present complex data, information, or ideas concisely and promote analytical thinking)? Understanding how design elements contribute to viewers perceiving a visualization more as an image or information will help designers decide which elements to include to achieve their communication goals. For this study, we annotated 500 visualizations and analyzed the responses of 250 online participants, who rated the visualizations on a bilinear scale as ‘image’ or ‘information.’ We then conducted an in-person study (n = 101) using a free recall task to examine how the image/information ratings and design elements impacted memory. The results revealed several interesting findings: Image-rated visualizations were perceived as more aesthetically ‘appealing,’ ‘enjoyable,’ and ‘pleasing.’ Information-rated visualizations were perceived as less ‘difficult to understand’ and more aesthetically ‘likable’ and ‘nice,’ though participants expressed higher ‘positive’ sentiment when viewing image-rated visualizations and felt less ‘guided to a conclusion.’ The presence of axes and text annotations heavily influenced the likelihood of participants rating the visualization as ‘information.’ We also found different patterns among participants that were older. Importantly, we show that visualizations internalized as ‘images’ are less effective in conveying trends and messages, though they elicit a more positive emotional judgment, while ‘informative’ visualizations exhibit annotation focused recall and elicit a more positive design judgment. We discuss the implications of this dissociation between aesthetic pleasure and perceived ease of use in visualization design.</t>
  </si>
  <si>
    <t>10.1109/TVCG.2023.3326919</t>
  </si>
  <si>
    <t>https://ieeexplore.ieee.org/document/10294209/?arnumber=10294209</t>
  </si>
  <si>
    <t>Arunkumar, Anjana; Padilla, Lace; Bae, Gi-Yeul; Bryan, Chris</t>
  </si>
  <si>
    <t>1030-1040</t>
  </si>
  <si>
    <t>Citation Key: kale_2024_WhatCanInteractive</t>
  </si>
  <si>
    <t>10.1109/TVCG.2024.3456361</t>
  </si>
  <si>
    <t>10.1109/TVCG.2022.3231716</t>
  </si>
  <si>
    <t>1-16</t>
  </si>
  <si>
    <t>arXiv:2407.17291 [cs] Citation Key: lo_2024_HowGoodBad</t>
  </si>
  <si>
    <t>Computer Science - Artificial Intelligence; Computer Science - Computation and Language; Computer Science - Computer Vision and Pattern Recognition; Computer Science - Human-Computer Interaction</t>
  </si>
  <si>
    <t>Vistrust</t>
  </si>
  <si>
    <t>10.1109/TVCG.2023.3326579</t>
  </si>
  <si>
    <t>https://ieeexplore.ieee.org/document/10308716/?arnumber=10308716</t>
  </si>
  <si>
    <t>Elhamdadi, Hamza; Stefkovics, Adam; Beyer, Johanna; Moerth, Eric; Pfister, Hanspeter; Bearfield, Cindy Xiong; Nobre, Carolina</t>
  </si>
  <si>
    <t>348-358</t>
  </si>
  <si>
    <t>Publisher: Routledge _eprint: https://doi.org/10.1080/1051144X.2023.2192061 Citation Key: chun_2023_FrameworkUnderstandingEvaluating</t>
  </si>
  <si>
    <t>information design; visual journalism; information graphics; news graphics; News Infographics</t>
  </si>
  <si>
    <t>Ferreira &amp; Hsi</t>
  </si>
  <si>
    <t>Designing Interactive Systems Conference</t>
  </si>
  <si>
    <t>Citation Key: lee-robbins_2022_AffectiveLearningObjectives</t>
  </si>
  <si>
    <t>International Journal of Human-Computer Studies</t>
  </si>
  <si>
    <t>10.1016/j.ijhcs.2024.103341</t>
  </si>
  <si>
    <t>Citation Key: burns_2020_HowEvaluateData</t>
  </si>
  <si>
    <t>Towards Relatable Climate Change Data</t>
  </si>
  <si>
    <t>3029-3045</t>
  </si>
  <si>
    <t>Citation Key: mahyar_2015_taxonomy</t>
  </si>
  <si>
    <t>10.1109/TVCG.2023.3326917</t>
  </si>
  <si>
    <t>1435-1445</t>
  </si>
  <si>
    <t>Citation Key: cowles_2024_WhenSeeingIsn</t>
  </si>
  <si>
    <t>Holder et al.</t>
  </si>
  <si>
    <t>Equity-Oriented Visualizations of Population Health Disparities</t>
  </si>
  <si>
    <t>Citation Key: zanan_2022_ReviewVisualDesign</t>
  </si>
  <si>
    <t>Communication effectiveness; Data analysis; Data visualization; Decision making; Education; Five-Factor Model; Information visualization; Medical services; Personality Traits; Storytelling; User Preferences; Visualization; Visualization Design Styles.; Visualization tool</t>
  </si>
  <si>
    <t>2022 IEEE 7th International Conference on Information Technology and Digital Applications (ICITDA)</t>
  </si>
  <si>
    <t>10.1109/TVCG.2024.3456343</t>
  </si>
  <si>
    <t>Citation Key: bartram_2017_AffectiveColorVisualization</t>
  </si>
  <si>
    <t>CHI '17: CHI Conference on Human Factors in Computing Systems</t>
  </si>
  <si>
    <t>We present a multi-dimensional, multi-level, and multi-channel approach to data visualization for the purpose of constructive climate journalism. Data visualization has assumed a central role in environmental journalism and is often used in data stories to convey the dramatic consequences of climate change and other ecological crises. However, the emphasis on the catastrophic impacts of climate change tends to induce feelings of fear, anxiety, and apathy in readers. Climate mitigation, adaptation, and protection—all highly urgent in the face of the climate crisis—are at risk of being overlooked. These topics are more difficult to communicate as they are hard to convey on varying levels of locality, involve multiple interconnected sectors, and need to be mediated across various channels from the printed newspaper to social media platforms. So far, there has been little research on data visualization to enhance affective engagement with data about climate protection as part of solution-oriented reporting of climate change. With this research we characterize the unique challenges of constructive climate journalism for data visualization and share findings from a research and design study in collaboration with a national newspaper in Germany. Using the affordances and aesthetics of travel postcards, we present Klimakarten, a data journalism project on the progress of climate protection at multiple spatial scales (from national to local), across five key sectors (agriculture, buildings, energy, mobility, and waste), and for print and online use. The findings from quantitative and qualitative analysis of reader feedback confirm our overall approach and suggest implications for future work.</t>
  </si>
  <si>
    <t>10.1109/TVCG.2023.3327185</t>
  </si>
  <si>
    <t>https://ieeexplore.ieee.org/abstract/document/10308621</t>
  </si>
  <si>
    <t>Morini, Francesca; Eschenbacher, Anna; Hartmann, Johanna; Dörk, Marian</t>
  </si>
  <si>
    <t>1413-1423</t>
  </si>
  <si>
    <t>Citation Key: lan_2023_AffectiveVisualizationDesign</t>
  </si>
  <si>
    <t>Online Information Review</t>
  </si>
  <si>
    <t>ahead-of-print</t>
  </si>
  <si>
    <t>Emerald Insight</t>
  </si>
  <si>
    <t>Publisher: Taylor &amp; Francis _eprint: https://doi.org/10.1080/15230406.2022.2102077 Citation Key: prestby_2024_DesignTechniquesCOVID19</t>
  </si>
  <si>
    <t>cartographic design; content analysis; data journalism; health communication; story maps; Visual storytelling</t>
  </si>
  <si>
    <t>10.1109/TVCG.2024.3355884</t>
  </si>
  <si>
    <t>Citation Key: chen_2024_HowDoesAutomation</t>
  </si>
  <si>
    <t>Citation Key: chang_2024_TheorizingDeceptionScoping</t>
  </si>
  <si>
    <t>10.1145/3613904.3643022</t>
  </si>
  <si>
    <t>Ulnocking Semantic Info in Bar Graphs</t>
  </si>
  <si>
    <t>10.1109/TVCG.2024.3418145</t>
  </si>
  <si>
    <t>Citation Key: morais_2021_CanAnthropographicsPromote</t>
  </si>
  <si>
    <t>CHI '21: CHI Conference on Human Factors in Computing Systems</t>
  </si>
  <si>
    <t>10.1109/TVCG.2023.3286392</t>
  </si>
  <si>
    <t>5198-5211</t>
  </si>
  <si>
    <t>Citation Key: dhawka_2024_BetterLittlePeople</t>
  </si>
  <si>
    <t>10.1109/TVCG.2023.3327356</t>
  </si>
  <si>
    <t>23-33</t>
  </si>
  <si>
    <t>Citation Key: doherty_2019_EngagementHCIConception</t>
  </si>
  <si>
    <t>10.1016/j.ijhcs.2023.103137</t>
  </si>
  <si>
    <t>Citation Key: correll_2019_EthicalDimensionsVisualization</t>
  </si>
  <si>
    <t>CHI '19: CHI Conference on Human Factors in Computing Systems</t>
  </si>
  <si>
    <t>10.1109/TVCG.2023.3326914</t>
  </si>
  <si>
    <t>Citation key: dvs_2024_about</t>
  </si>
  <si>
    <t>Journal of Marketing Theory and Practice</t>
  </si>
  <si>
    <t>173-184</t>
  </si>
  <si>
    <t>Citation key: iib_awards</t>
  </si>
  <si>
    <t>Nudging travellers to societally favourable routes</t>
  </si>
  <si>
    <t>Transportation Research</t>
  </si>
  <si>
    <t>Transportation Research Interdisciplinary Perspectives</t>
  </si>
  <si>
    <t>10.1016/j.trip.2023.100829</t>
  </si>
  <si>
    <t>https://linkinghub.elsevier.com/retrieve/pii/S2590198223000763</t>
  </si>
  <si>
    <t>Fuest, Stefan; Sester, Monika; Griffin, Amy L.</t>
  </si>
  <si>
    <t>Citation Key: oecd_2011_betterlife</t>
  </si>
  <si>
    <t>Holder &amp; Xiong</t>
  </si>
  <si>
    <t>10.1109/TVCG.2023.3326512</t>
  </si>
  <si>
    <t>Citation Key: 17GOALSSustainable</t>
  </si>
  <si>
    <t>Working With AI to Persuade</t>
  </si>
  <si>
    <t>Artificial Intelligence (AI) is a transformative force in communication and messaging strategy, with potential to disrupt traditional approaches. Large language models (LLMs), a form of AI, are capable of generating high-quality, humanlike text. We investigate the persuasive quality of AI-generated messages to understand how AI could impact public health messaging. Specifically, through a series of studies designed to characterize and evaluate generative AI in developing public health messages, we analyze COVID-19 pro-vaccination messages generated by GPT-3, a state-of-the-art instantiation of a large language model. Study 1 is a systematic evaluation of GPT-3's ability to generate pro-vaccination messages. Study 2 then observed peoples' perceptions of curated GPT-3-generated messages compared to human-authored messages released by the CDC (Centers for Disease Control and Prevention), finding that GPT-3 messages were perceived as more effective, stronger arguments, and evoked more positive attitudes than CDC messages. Finally, Study 3 assessed the role of source labels on perceived quality, finding that while participants preferred AI-generated messages, they expressed dispreference for messages that were labeled as AI-generated. The results suggest that, with human supervision, AI can be used to create effective public health messages, but that individuals prefer their public health messages to come from human institutions rather than AI sources. We propose best practices for assessing generative outputs of large language models in future social science research and ways health professionals can use AI systems to augment public health messaging.</t>
  </si>
  <si>
    <t>Proceedings of the ACM on Human-Computer Interaction</t>
  </si>
  <si>
    <t>10.1145/3579592</t>
  </si>
  <si>
    <t>https://dl.acm.org/doi/10.1145/3579592</t>
  </si>
  <si>
    <t>Working With AI to Persuade: Examining a Large Language Model's Ability to Generate Pro-Vaccination Messages</t>
  </si>
  <si>
    <t>Karinshak, Elise; Liu, Sunny Xun; Park, Joon Sung; Hancock, Jeffrey T.</t>
  </si>
  <si>
    <t>1-29</t>
  </si>
  <si>
    <t>CSCW1</t>
  </si>
  <si>
    <t>Proc. ACM Hum.-Comput. Interact.</t>
  </si>
  <si>
    <t>Citation Key: zeller_2022_AffectiveHandSculptedGlyph</t>
  </si>
  <si>
    <t>Conference Name: IEEE Computer Graphics and Applications Citation Key: wang_2019_EmotionalResponseValue</t>
  </si>
  <si>
    <t>Art; Data visualization; History; Human computer interaction; Shape; Solid modeling; User experience</t>
  </si>
  <si>
    <t>Do Disease Stories Need a Hero?</t>
  </si>
  <si>
    <t>10.1111/cgf.14817</t>
  </si>
  <si>
    <t>https://onlinelibrary.wiley.com/doi/abs/10.1111/cgf.14817</t>
  </si>
  <si>
    <t>Mittenentzwei, S.; Weiß, V.; Schreiber, S.; Garrison, L. A.; Bruckner, S.; Pfister, M.; Preim, B.; Meuschke, M.</t>
  </si>
  <si>
    <t>123-135</t>
  </si>
  <si>
    <t>© 2023 The Authors. Computer Graphics Forum published by Eurographics - The European Association for Computer Graphics and John Wiley &amp; Sons Ltd.</t>
  </si>
  <si>
    <t>Publisher: SAGE Publications Ltd Citation Key: sorapure_2022_AnthropographicsCOVID19Simulations</t>
  </si>
  <si>
    <t>Wu &amp; Szafir</t>
  </si>
  <si>
    <t>2023 IEEE Workshop on Visualization for Social Good (VIS4Good)</t>
  </si>
  <si>
    <t>10.1109/VIS4Good60218.2023.00007</t>
  </si>
  <si>
    <t>Citation Key: samsel_2018_ArtAffectColor</t>
  </si>
  <si>
    <t>2018 IEEE VIS Arts Program (VISAP)</t>
  </si>
  <si>
    <t>1-17</t>
  </si>
  <si>
    <t>Publisher: SAGE Publications Inc</t>
  </si>
  <si>
    <t>Designing With Pictographs</t>
  </si>
  <si>
    <t>Past studies have shown that when a visualization uses pictographs to encode data, they have a positive effect on memory, engagement, and assessment of risk. However, little is known about how pictographs affect one’s ability to understand a visualization, beyond memory for values and trends. We conducted two crowdsourced experiments to compare the effectiveness of using pictographs when showing part-to-whole relationships. In Experiment 1, we compared pictograph arrays to more traditional bar and pie charts. We tested participants’ ability to generate high-level insights following Bloom’s taxonomy of educational objectives via 6 freeresponse questions. We found that accuracy for extracting information and generating insights did not differ overall between the two versions. To explore the motivating differences between the designs, we conducted a second experiment where participants compared charts containing pictograph arrays to more traditional charts on 5 metrics and explained their reasoning. We found that some participants preferred the way that pictographs allowed them to envision the topic more easily, while others preferred traditional bar and pie charts because they seem less cluttered and faster to read. These results suggest that, at least in simple visualizations depicting part-to-whole relationships, the choice of using pictographs has little inﬂuence on sensemaking and insight extraction. When deciding whether to use pictograph arrays, designers should consider visual appeal, perceived comprehension time, ease of envisioning the topic, and clutteredness.</t>
  </si>
  <si>
    <t>10.1109/TVCG.2021.3092680</t>
  </si>
  <si>
    <t>https://ieeexplore.ieee.org/document/9465643/</t>
  </si>
  <si>
    <t>Designing With Pictographs: Envision Topics Without Sacrificing Understanding</t>
  </si>
  <si>
    <t>4515-4530</t>
  </si>
  <si>
    <t>Information Design Journal</t>
  </si>
  <si>
    <t>71-86</t>
  </si>
  <si>
    <t>IDJ</t>
  </si>
  <si>
    <t>CHI '20: CHI Conference on Human Factors in Computing Systems</t>
  </si>
  <si>
    <t>Duan et al.</t>
  </si>
  <si>
    <t>Visualizing climate change</t>
  </si>
  <si>
    <t>This study examines how the level of concreteness and abstraction of climate change imagery influences people’s responses via emotional valence, and how such effect is moderated by people’s visual literacy. Findings show that concrete images promote negative feelings, which subsequently reduce people’s perceived distance to climate change, and encourage concern and behavioral intention. Less visually literate people are more influenced by the visuals’ effect and are more motivated by concrete images. Our study integrates theoretical perspectives from construal level, emotional valence, and visual literacy, while also offering practical advice regarding how to effectively visualize climate change to engage a wide audience.</t>
  </si>
  <si>
    <t>Climatic Change</t>
  </si>
  <si>
    <t>10.1007/s10584-021-03291-x</t>
  </si>
  <si>
    <t>https://doi.org/10.1007/s10584-021-03291-x</t>
  </si>
  <si>
    <t>Visualizing climate change: the role of construal level, emotional valence, and visual literacy</t>
  </si>
  <si>
    <t>Duan, Ran; Bombara, Christian</t>
  </si>
  <si>
    <t>Springer Link</t>
  </si>
  <si>
    <t>Citation Key: markant_2022_CanDataVisualizations</t>
  </si>
  <si>
    <t>2022 IEEE Workshop on Visualization for Social Good (VIS4Good)</t>
  </si>
  <si>
    <t>10.1109/TVCG.2022.3209377</t>
  </si>
  <si>
    <t>Citation Key: panagiotidou_2022_CommunicatingUncertaintyDigital</t>
  </si>
  <si>
    <t>10.1109/TVCG.2021.3114775</t>
  </si>
  <si>
    <t>https://ieeexplore.ieee.org/document/9552240/?arnumber=9552240</t>
  </si>
  <si>
    <t>Lan, Xingyu; Shi, Yang; Wu, Yanqiu; Jiao, Xiaohan; Cao, Nan</t>
  </si>
  <si>
    <t>933-943</t>
  </si>
  <si>
    <t>Conference Name: IEEE Transactions on Visualization and Computer Graphics Citation Key: woodin_2022_ConceptualMetaphorGraphical</t>
  </si>
  <si>
    <t>Data visualization; Psychology; Visualization; axis reversal; cognition; Cognitive science; Conceptual metaphor theory; emotional valence; empirical evaluation; handedness; line graph; linguistics; Linguistics; Market research; mental number line; more is up; Random sequences</t>
  </si>
  <si>
    <t>Citation Key: harris_2015_ConnectingDots</t>
  </si>
  <si>
    <t>10.1109/VIS4Good57762.2022.00005</t>
  </si>
  <si>
    <t>https://doi.org/10.15223/policy-029</t>
  </si>
  <si>
    <t>Conference Name: IEEE Transactions on Visualization and Computer Graphics Citation Key: xie_2024_CreatingEmordleAnimating</t>
  </si>
  <si>
    <t>affective visualization; animation; Animation; authoring; casual visualization; Data visualization; Entropy; Image color analysis; Tag clouds; Videos; Visualization; Wordle</t>
  </si>
  <si>
    <t>Does electricity consumption make happy?</t>
  </si>
  <si>
    <t>Energy Management</t>
  </si>
  <si>
    <t>Energy</t>
  </si>
  <si>
    <t>Due to the current situation regarding climate change, smart home energy management systems help to provide an overview of a household’s electricity consumption at appliance level by means of time-scaled visualizations. Such electricity consumption graphs need to be visually appealing to unleash potentials for a positive contribution to energy transition. Triggered emotions in particular play a crucial role for visualization design. Therefore, this paper presents an in-depth facial expression analysis and eye-tracking investigation with a sample of n = 48 non-expert participants with the aim to determine the triggered emotions by different time-scaled electricity consumption graphs at appliance level. Participants were randomly assigned to one of three groups with different time-scaled electricity consumption graphs at appliance level. Within each group, the participants had to complete three tasks based on the presented consumption graph. Results revealed that time-scaled electricity consumption graphs at appliance level have the potential to trigger the emotions joy, surprise, anger, contempt, disgust and sadness. Surprise, contempt and disgust in particular were triggered more frequently than anger and sadness. Furthermore, electricity consumption graphs at appliance level triggered joy more frequently among women than men. However, the type of electricity consumption graph did not influence the extent of triggered emotions. Nevertheless, smart home energy management system suppliers should consider this triggering effect on human emotions to provide adequate solutions that unleash the full potential to support the energy transition.</t>
  </si>
  <si>
    <t>Energy Conversion and Management: X</t>
  </si>
  <si>
    <t>10.1016/j.ecmx.2022.100279</t>
  </si>
  <si>
    <t>https://linkinghub.elsevier.com/retrieve/pii/S2590174522001027</t>
  </si>
  <si>
    <t>Pfeiffer, Christian; Kremsner, Thomas P.; Maier, Claudia; Stolavetz, Christina</t>
  </si>
  <si>
    <t>Citation Key: gray_2023_DarkPatternsEmerging</t>
  </si>
  <si>
    <t>2022 IEEE 15th Pacific Visualization Symposium (PacificVis)</t>
  </si>
  <si>
    <t>10.1109/PacificVis53943.2022.00028</t>
  </si>
  <si>
    <t>176-180</t>
  </si>
  <si>
    <t>Citation Key: garreton_2023_DataStoriesWater</t>
  </si>
  <si>
    <t>Proceedings of the 2022 CHI Conference on Human Factors in Computing Systems</t>
  </si>
  <si>
    <t>1–22</t>
  </si>
  <si>
    <t>Association for Computing Machinery</t>
  </si>
  <si>
    <t>ACM Digital Library</t>
  </si>
  <si>
    <t>Citation Key: wu_2023_DataDataEverywhere</t>
  </si>
  <si>
    <t>CHI '23: CHI Conference on Human Factors in Computing Systems</t>
  </si>
  <si>
    <t>Dark Side of Perceptual Manipulations in VR</t>
  </si>
  <si>
    <t>"Virtual-Physical Perceptual Manipulations" (VPPMs) such as redirected walking and haptics expand the user's capacity to interact with Virtual Reality (VR) beyond what would ordinarily physically be possible. VPPMs leverage knowledge of the limits of human perception to effect changes in the user's physical movements, becoming able to (perceptibly and imperceptibly) nudge their physical actions to enhance interactivity in VR. We explore the risks posed by the malicious use of VPPMs. First, we define, conceptualize and demonstrate the existence of VPPMs. Next, using speculative design workshops, we explore and characterize the threats/risks posed, proposing mitigations and preventative recommendations against the malicious use of VPPMs. Finally, we implement two sample applications to demonstrate how existing VPPMs could be trivially subverted to create the potential for physical harm. This paper aims to raise awareness that the current way we apply and publish VPPMs can lead to malicious exploits of our perceptual vulnerabilities.</t>
  </si>
  <si>
    <t>CHI Conference on Human Factors in Computing Systems</t>
  </si>
  <si>
    <t>10.1145/3491102.3517728</t>
  </si>
  <si>
    <t>https://dl.acm.org/doi/10.1145/3491102.3517728</t>
  </si>
  <si>
    <t>The Dark Side of Perceptual Manipulations in Virtual Reality</t>
  </si>
  <si>
    <t>Tseng, Wen-Jie; Bonnail, Elise; McGill, Mark; Khamis, Mohamed; Lecolinet, Eric; Huron, Samuel; Gugenheimer, Jan</t>
  </si>
  <si>
    <t>1-15</t>
  </si>
  <si>
    <t>Citation Key: romat_2020_DearPictographInvestigating</t>
  </si>
  <si>
    <t>Conceptual Metaphor and Grahpical Convention</t>
  </si>
  <si>
    <t>Many metaphors in language reflect conceptual metaphors that structure thought. In line with metaphorical expressions such as ‘high number’, experiments show that people associate larger numbers with upward space. Consistent with this metaphor, high numbers are conventionally depicted in high positions on the yy-axis of line graphs. People also associate good and bad (emotional valence) with upward and downward locations, in line with metaphorical expressions such as ‘uplifting’ and ‘down in the dumps’. Graphs depicting good quantities (e.g., vacation days) are consistent with graphical convention and the valence metaphor, because ‘more’ of the good quantity is represented by higher yy-axis positions. In contrast, graphs depicting bad quantities (e.g., murders) are consistent with graphical convention, but not the valence metaphor, because more of the bad quantity is represented by higher (rather than lower) yy-axis positions. We conducted two experiments (N = 300 per experiment) where participants answered questions about line graphs depicting good and bad quantities. For some graphs, we inverted the conventional axis ordering of numbers. Line graphs that aligned (versus misaligned) with valence metaphors (up = good) were easier to interpret, but this beneficial effect did not outweigh the adverse effect of inverting the axis numbering. Line graphs depicting good (versus bad) quantities were easier to interpret, as were graphs that depicted quantity using the xx-axis (versus yy-axis). Our results suggest that conceptual metaphors matter for the interpretation of line graphs. However, designers of line graphs are warned against subverting graphical convention to align with conceptual metaphors.</t>
  </si>
  <si>
    <t>10.1109/TVCG.2021.3088343</t>
  </si>
  <si>
    <t>https://ieeexplore.ieee.org/abstract/document/9451590</t>
  </si>
  <si>
    <t>Woodin, Greg; Winter, Bodo; Padilla, Lace</t>
  </si>
  <si>
    <t>1209-1221</t>
  </si>
  <si>
    <t>Publisher: SAGE Publications Inc Citation Key: southwell_2022_DefiningMeasuringScientific</t>
  </si>
  <si>
    <t>Lin &amp; Thornton</t>
  </si>
  <si>
    <t>10.31234/osf.io/dnr9s</t>
  </si>
  <si>
    <t>OSF</t>
  </si>
  <si>
    <t>OSF Preprints</t>
  </si>
  <si>
    <t>DOI: 10.1007/978-3-031-02188-6 Citation Key: sutcliffe_2010_DesigningUserEngagement</t>
  </si>
  <si>
    <t>Affective Colormap Design</t>
  </si>
  <si>
    <t>Industrial Microwave Tomography</t>
  </si>
  <si>
    <t>The design of colormaps can help tomography operators obtain accurate visual comprehension, thereby assisting safety-critical decisions. The research presented here is about deploying colormaps that promote the best affective responses for industrial microwave tomography (MWT). To answer the two research questions related to our study, we firstly conducted a quantitative analysis of 11 frequently-used colormaps on a segmentation task. Secondly, we presented the same colormaps within a crowdsourced study comprising two parts to verify the quantitative outcomes. The first part encoded affective responses from participants into a prevailing four-quadrant valence–arousal grid; the second part recorded participant ratings towards the accuracy of each colormap on MWT segmentation. We concluded that three colormaps are the best suited in the context of MWT tasks. We also found that the colormaps triggering emotions in the positive–exciting quadrant can facilitate more accurate visual comprehension than other affect-related quadrants. A synthetic colormap design guideline was consequently proposed.</t>
  </si>
  <si>
    <t>Sensors</t>
  </si>
  <si>
    <t>10.3390/s21144766</t>
  </si>
  <si>
    <t>https://www.mdpi.com/1424-8220/21/14/4766</t>
  </si>
  <si>
    <t>Zhang, Yuchong; Fjeld, Morten; Fratarcangeli, Marco; Said, Alan; Zhao, Shengdong</t>
  </si>
  <si>
    <t>http://creativecommons.org/licenses/by/3.0/</t>
  </si>
  <si>
    <t>www.mdpi.com</t>
  </si>
  <si>
    <t>Citation Key: burns_2022_DesigningPictographsEnvision</t>
  </si>
  <si>
    <t>Health</t>
  </si>
  <si>
    <t>Proceedings of the 2020 CHI Conference on Human Factors in Computing Systems</t>
  </si>
  <si>
    <t>Citation Key: holder_2022_DispersionVsDisparity</t>
  </si>
  <si>
    <t>Truncating the Y-Axis</t>
  </si>
  <si>
    <t>Bar charts with y-axes that don't begin at zero can visually exaggerate effect sizes. However, advice for whether or not to truncate the y-axis can be equivocal for other visualization types. In this paper we present examples of visualizations where this y-axis truncation can be beneficial as well as harmful, depending on the communicative and analytic intent. We also present the results of a series of crowd-sourced experiments in which we examine how y-axis truncation impacts subjective effect size across visualization types, and we explore alternative designs that more directly alert viewers to this truncation. We find that the subjective impact of axis truncation is persistent across visualizations designs, even for designs with explicit visual cues that indicate truncation has taken place. We suggest that designers consider the scale of the meaningful effect sizes and variation they intend to communicate, regardless of the visual encoding.</t>
  </si>
  <si>
    <t>10.1145/3313831.3376222</t>
  </si>
  <si>
    <t>https://dl.acm.org/doi/10.1145/3313831.3376222</t>
  </si>
  <si>
    <t>Truncating the Y-Axis: Threat or Menace?</t>
  </si>
  <si>
    <t>Correll, Michael; Bertini, Enrico; Franconeri, Steven</t>
  </si>
  <si>
    <t>1–12</t>
  </si>
  <si>
    <t>Citation Key: lam-gonzalez_2023_EmotionsMatterReviewing</t>
  </si>
  <si>
    <t>277-289</t>
  </si>
  <si>
    <t>© 2020 The Author(s) Computer Graphics Forum © 2020 The Eurographics Association and John Wiley &amp; Sons Ltd. Published by John Wiley &amp; Sons Ltd.</t>
  </si>
  <si>
    <t>Citation Key: cabric_2023_ElevenYearsGender</t>
  </si>
  <si>
    <t>Feminist cartography and the United Nations Sustainable Development Goal on gender equality</t>
  </si>
  <si>
    <t>Canadian Geographies / Géographies canadiennes</t>
  </si>
  <si>
    <t>184-198</t>
  </si>
  <si>
    <t>Citation Key: alebri_2023_EmbellishmentsRevisitedPerceptions</t>
  </si>
  <si>
    <t>Citation Key: cernea_2015_EmotionprintsInteractiondrivenEmotion</t>
  </si>
  <si>
    <t>Visualization and Data Analysis 2015</t>
  </si>
  <si>
    <t>Communication</t>
  </si>
  <si>
    <t>Climate Change</t>
  </si>
  <si>
    <t>Frontiers in Communication</t>
  </si>
  <si>
    <t>10.3389/fcomm.2018.00063</t>
  </si>
  <si>
    <t>Front. Commun.</t>
  </si>
  <si>
    <t>Citation Key: wu_2023_EmpoweringPeopleIntellectual</t>
  </si>
  <si>
    <t>Cognitive processes; Conferences; Data visualization; Equalizers; Human-centered computing—Visualization; Humancentered computing—Accessibility; Oral communication; Reflection; Sociology</t>
  </si>
  <si>
    <t>Allen</t>
  </si>
  <si>
    <t>Public Understanding of Science</t>
  </si>
  <si>
    <t>906-922</t>
  </si>
  <si>
    <t>Public Underst Sci</t>
  </si>
  <si>
    <t>_eprint: https://onlinelibrary.wiley.com/doi/pdf/10.1111/cgf.14553 Citation Key: morais_2022_ExploringHowVisualization</t>
  </si>
  <si>
    <t>• Human-centered computing → Empirical studies in visualization; CCS Concepts</t>
  </si>
  <si>
    <t>Kennedy &amp; Hill</t>
  </si>
  <si>
    <t>Visualization, Sociology</t>
  </si>
  <si>
    <t>Sociology</t>
  </si>
  <si>
    <t>10.1177/0038038516674675</t>
  </si>
  <si>
    <t>https://doi.org/10.1177/0038038516674675</t>
  </si>
  <si>
    <t>Kennedy, Helen; Hill, Rosemary Lucy</t>
  </si>
  <si>
    <t>830-848</t>
  </si>
  <si>
    <t>Citation Key: campbell_2022_FeelingNumbersEmotional</t>
  </si>
  <si>
    <t>Beyond Memorability</t>
  </si>
  <si>
    <t>In this paper we move beyond memorability and investigate how visualizations are recognized and recalled. For this study we labeled a dataset of 393 visualizations and analyzed the eye movements of 33 participants as well as thousands of participantgenerated text descriptions of the visualizations. This allowed us to determine what components of a visualization attract people’s attention, and what information is encoded into memory. Our ﬁndings quantitatively support many conventional qualitative design guidelines, including that (1) titles and supporting text should convey the message of a visualization, (2) if used appropriately, pictograms do not interfere with understanding and can improve recognition, and (3) redundancy helps effectively communicate the message. Importantly, we show that visualizations memorable “at-a-glance” are also capable of effectively conveying the message of the visualization. Thus, a memorable visualization is often also an effective one.</t>
  </si>
  <si>
    <t>10.1109/TVCG.2015.2467732</t>
  </si>
  <si>
    <t>https://ieeexplore.ieee.org/document/7192646/</t>
  </si>
  <si>
    <t>Beyond Memorability: Visualization Recognition and Recall</t>
  </si>
  <si>
    <t>Borkin, Michelle A.; Bylinskii, Zoya; Kim, Nam Wook; Bainbridge, Constance May; Yeh, Chelsea S.; Borkin, Daniel; Pfister, Hanspeter; Oliva, Aude</t>
  </si>
  <si>
    <t>519-528</t>
  </si>
  <si>
    <t>_eprint: https://onlinelibrary.wiley.com/doi/pdf/10.1111/cag.12575 Citation Key: pirani_2020_FeministCartographyUnited</t>
  </si>
  <si>
    <t>affect; cartes thématiques; cartographie; cartography; emotion; émotion; thematic maps</t>
  </si>
  <si>
    <t>How do People Make Sense of Unfamiliar Visualizations?</t>
  </si>
  <si>
    <t>In this paper, we would like to investigate how people make sense of unfamiliar information visualizations. In order to achieve the research goal, we conducted a qualitative study by observing 13 participants when they endeavored to make sense of three unfamiliar visualizations (i.e., a parallel-coordinates plot, a chord diagram, and a treemap) that they encountered for the first time. We collected data including audio/video record of think-aloud sessions and semi-structured interview; and analyzed the data using the grounded theory method. The primary result of this study is a grounded model of NOvice's information VIsualization Sensemaking (NOVIS model), which consists of the five major cognitive activities: 1 encountering visualization, 2 constructing a frame, 3 exploring visualization, 4 questioning the frame, and 5 floundering on visualization. We introduce the NOVIS model by explaining the five activities with representative quotes from our participants. We also explore the dynamics in the model. Lastly, we compare with other existing models and share further research directions that arose from our observations.</t>
  </si>
  <si>
    <t>10.1109/TVCG.2015.2467195</t>
  </si>
  <si>
    <t>https://ieeexplore.ieee.org/document/7192668/?arnumber=7192668</t>
  </si>
  <si>
    <t>How do People Make Sense of Unfamiliar Visualizations?: A Grounded Model of Novice's Information Visualization Sensemaking</t>
  </si>
  <si>
    <t>Lee, Sukwon; Kim, Sung-Hee; Hung, Ya-Hsin; Lam, Heidi; Kang, Youn-Ah; Yi, Ji Soo</t>
  </si>
  <si>
    <t>499-508</t>
  </si>
  <si>
    <t>Proceedings of the 33rd Annual ACM Conference on Human Factors in Computing Systems</t>
  </si>
  <si>
    <t>1449-1458</t>
  </si>
  <si>
    <t>Conference Name: IEEE Transactions on Visualization and Computer Graphics Citation Key: morini_2024_ShockShiftData</t>
  </si>
  <si>
    <t>Data visualization; Visualization; Storytelling; Anxiety disorders; Climate change; Complexity theory; Constructive Climate Journalism; Frameworks; Journalism; Media; Meteorology</t>
  </si>
  <si>
    <t>1191-1200</t>
  </si>
  <si>
    <t>_eprint: https://doi.org/10.1146/annurev-publhealth-071321-031118 PMID: 36207008 Citation Key: southwell_2023_HealthMisinformationExposure</t>
  </si>
  <si>
    <t>health behavior; health disparities; health disparity; misinformation; misperception; structural racism</t>
  </si>
  <si>
    <t>1187-1190</t>
  </si>
  <si>
    <t>Journal of the Association for Information Science and Technology</t>
  </si>
  <si>
    <t>1988-2005</t>
  </si>
  <si>
    <t>Publisher: Frontiers Citation Key: geiger_2023_HopiumEmpoweringHope</t>
  </si>
  <si>
    <t>Behavior; Climate engagement; discussion; hope; information seeking; Meta-analysis; policy support; Systematic review</t>
  </si>
  <si>
    <t>10.1109/TVCG.2014.2346419</t>
  </si>
  <si>
    <t>2211-2220</t>
  </si>
  <si>
    <t>Citation Key: pandey_2015_HowDeceptiveAre</t>
  </si>
  <si>
    <t>CHI '15: CHI Conference on Human Factors in Computing Systems</t>
  </si>
  <si>
    <t>10.1109/TVCG.2013.234</t>
  </si>
  <si>
    <t>2306-2315</t>
  </si>
  <si>
    <t>Conference Name: IEEE Transactions on Visualization and Computer Graphics Citation Key: lee_2016_HowPeopleMake</t>
  </si>
  <si>
    <t>Data visualization; Encoding; grounded theory; Hidden Markov models; Image color analysis; information visualization; Interviews; novice users; qualitative study; Sensemaking model; Vehicles; Visualization</t>
  </si>
  <si>
    <t>Can GPT-4 Detect Misleading Vis</t>
  </si>
  <si>
    <t>Empirical (non-human)</t>
  </si>
  <si>
    <t>The proliferation of misleading visualizations online, particularly during critical events like public health crises and elections, poses a significant risk. This study investigates the capability of GPT-4 models (4V, 4o, and 4o mini) to detect misleading visualizations. Utilizing a dataset of tweet-visualization pairs containing various visual misleaders, we test these models under four experimental conditions with different levels of guidance. We show that GPT-4 models can detect misleading visualizations with moderate accuracy without prior training (naive zero-shot) and that performance notably improves when provided with definitions of misleaders (guided zero-shot). However, a single prompt engineering technique does not yield the best results for all misleader types. Specifically, providing the models with misleader definitions and examples (guided few-shot) proves more effective for reasoning misleaders, while guided zero-shot performs better for design misleaders. This study underscores the feasibility of using large vision-language models to detect visual misinformation and the importance of prompt engineering for optimized detection accuracy.</t>
  </si>
  <si>
    <t>Can GPT-4 Models Detect Misleading Visualizations?</t>
  </si>
  <si>
    <t>Alexander, Jason; Nanda, Priyal; Yang, Kai-Cheng; Sarvghad, Ali</t>
  </si>
  <si>
    <t>Lo &amp; Qu</t>
  </si>
  <si>
    <t>How Good (Or Bad) Are LLMs at Detecting Misleading Vis</t>
  </si>
  <si>
    <t>In this study, we address the growing issue of misleading charts, a prevalent problem that undermines the integrity of information dissemination. Misleading charts can distort the viewer’s perception of data, leading to misinterpretations and decisions based on false information. The development of effective automatic detection methods for misleading charts is an urgent field of research. The recent advancement of multimodal Large Language Models (LLMs) has introduced a promising direction for addressing this challenge. We explored the capabilities of these models in analyzing complex charts and assessing the impact of different prompting strategies on the models’ analyses. We utilized a dataset of misleading charts collected from the internet by prior research and crafted nine distinct prompts, ranging from simple to complex, to test the ability of four different multimodal LLMs in detecting over 21 different chart issues. Through three experiments–from initial exploration to detailed analysis–we progressively gained insights into how to effectively prompt LLMs to identify misleading charts and developed strategies to address the scalability challenges encountered as we expanded our detection range from the initial five issues to 21 issues in the final experiment. Our findings reveal that multimodal LLMs possess a strong capability for chart comprehension and critical thinking in data interpretation. There is significant potential in employing multimodal LLMs to counter misleading information by supporting critical thinking and enhancing visualization literacy. This study demonstrates the applicability of LLMs in addressing the pressing concern of misleading charts.</t>
  </si>
  <si>
    <t>http://arxiv.org/abs/2407.17291</t>
  </si>
  <si>
    <t>How Good (Or Bad) Are LLMs at Detecting Misleading Visualizations?</t>
  </si>
  <si>
    <t>Lo, Leo Yu-Ho; Qu, Huamin</t>
  </si>
  <si>
    <t>Citation Key: lamqaddam_2021_IntroducingLayersMeaning</t>
  </si>
  <si>
    <t>Sensitive Data Donation</t>
  </si>
  <si>
    <t>Theoretical</t>
  </si>
  <si>
    <t>Data donation is an emerging practice for collecting personal data. However, recent data donation approaches are insufficient in intimate research contexts as they perceive data as neutral and objective and do not consider the contexts where data is generated and shaped nor offer choices beyond whether to disclose data. In this paper, we investigate how Data Feminism can inform an alternative form of data donation and propose the Sensitive Data Donation (sDD) method. It recognizes the sensitive nature of data and assumes the importance of situating and contextualizing it through balanced participation from donors, either as contributors, collaborators, or co-creators. To develop the method, we conduct a scoping literature review where we conceptualize data donation theories and practices. These serve as a base to critique recent approaches and propose an alternative: sDD. It comprises five principles integrated into a five-phase approach. We conclude by discussing its limitations and future challenges.</t>
  </si>
  <si>
    <t>10.1145/3643834.3661524</t>
  </si>
  <si>
    <t>https://dl.acm.org/doi/10.1145/3643834.3661524</t>
  </si>
  <si>
    <t>Sensitive Data Donation: A Feminist Reframing of Data Practices for Intimate Research Contexts</t>
  </si>
  <si>
    <t>Gómez Ortega, Alejandra; Bourgeois, Jacky; Kortuem, Gerd</t>
  </si>
  <si>
    <t>Citation Key: haroz_2015_ISOTYPEVisualizationWorking</t>
  </si>
  <si>
    <t>Dark Patterns and Deceptive Designs</t>
  </si>
  <si>
    <t>Growth hacking, particularly within the spectre of surveillance capitalism, has led to the widespread use of deceptive, manipulative, and coercive design techniques in the last decade. These challenges exist at the intersection of many different technology professions that are rapidly evolving and “shapeshifting” their design practices to confront emerging regulation. A wide range of scholars have increasingly addressed these challenges through the label “dark patterns,” describing the content of deceptive and coercive design practices, the ubiquity of these patterns in contemporary digital systems, and the impact of emerging regulatory and legislative action on the presence of dark patterns. Building on this convergent and trans-disciplinary research area, the aims of this SIG are to: 1) Provide an opportunity for researchers and practitioners to address methodologies for detecting, characterizing, and regulating dark patterns; 2) Identify opportunities for additional empirical work to characterize and demonstrate harms related to dark patterns; and 3) Aid in convergence among HCI, design, computational, regulatory, and legal perspectives on dark patterns. These goals will enable an internationally-diverse, engaged, and impactful research community to address the threats of dark patterns on digital systems.</t>
  </si>
  <si>
    <t>Extended Abstracts of the 2023 CHI Conference on Human Factors in Computing Systems</t>
  </si>
  <si>
    <t>10.1145/3544549.3583173</t>
  </si>
  <si>
    <t>https://dl.acm.org/doi/10.1145/3544549.3583173</t>
  </si>
  <si>
    <t>Dark Patterns and the Emerging Threats of Deceptive Design Practices</t>
  </si>
  <si>
    <t>Gray, Colin M.; Santos, Cristiana Teixeira; Tong, Nicole; Mildner, Thomas; Rossi, Arianna; Gunawan, Johanna T.; Sinders, Caroline</t>
  </si>
  <si>
    <t>1–4</t>
  </si>
  <si>
    <t>Citation Key: lisnic_2023_MisleadingVisualTricks</t>
  </si>
  <si>
    <t>Missing the Bigger Picture</t>
  </si>
  <si>
    <t>Research shows that health misinformation is widespread online and poses a potentially significant threat to public health. Visual misinformation has been largely overlooked, a notable gap given the unique features and ubiquity of visual content. In this essay, we (a) provide a working definition of visual misinformation, (b) summarize the main categories of visual misinformation, (c) offer examples of the functions visuals can serve within misinformation content, and (d) outline priorities for advancing research on visual misinformation. A systematic approach to studying visual misinformation can improve efforts to mitigate health misinformation and optimize science communication in the current information environment.</t>
  </si>
  <si>
    <t>10.1177/10755470221113833</t>
  </si>
  <si>
    <t>http://journals.sagepub.com/doi/10.1177/10755470221113833</t>
  </si>
  <si>
    <t>Missing the Bigger Picture: The Need for More Research on Visual Health Misinformation</t>
  </si>
  <si>
    <t>Heley, Kathryn; Gaysynsky, Anna; King, Andy J.</t>
  </si>
  <si>
    <t>514-527</t>
  </si>
  <si>
    <t>Citation Key: heley_2022_MissingBiggerPicture</t>
  </si>
  <si>
    <t>Hepworth</t>
  </si>
  <si>
    <t>Big data visualization</t>
  </si>
  <si>
    <t>A few weeks ago, I was having dinner with a friend when a controversial subject came up. My friend had an extremely strong opinion about the harm caused by vaccination, and his argument went something like this: "I've seen the data. There was an infographic laying it all out." He couldn't remember specific numbers from the visualization he'd seen or the author of the article. He couldn't even remember the name of the publication, but the data visualization's overall argument was firmly lodged in his mind. His situation is not unique, and it provides telling insights on how we, as humans, perceive and respond to big data visualization.</t>
  </si>
  <si>
    <t>Communication Design Quarterly</t>
  </si>
  <si>
    <t>10.1145/3071088.3071090</t>
  </si>
  <si>
    <t>https://dl.acm.org/doi/10.1145/3071088.3071090</t>
  </si>
  <si>
    <t>Big data visualization: promises &amp; pitfalls</t>
  </si>
  <si>
    <t>Hepworth, Katherine</t>
  </si>
  <si>
    <t>7-19</t>
  </si>
  <si>
    <t>Commun. Des. Q. Rev</t>
  </si>
  <si>
    <t>Conference Name: IEEE Transactions on Visualization and Computer Graphics Citation Key: fu_2024_MoreDataStories</t>
  </si>
  <si>
    <t>Biological system modeling; Bridges; computational journalism; Computational modeling; data visualization; Data visualization; data-driven storytelling; Instruments; Journalism; Surveys</t>
  </si>
  <si>
    <t>Make Me Care</t>
  </si>
  <si>
    <t>Design, UX</t>
  </si>
  <si>
    <t>Scientists and data scientists have long aspired to eliminate bias from their visualizations. This paper argues that eliminating bias from visualizations is impossible, efforts to do so have negative real-world consequences for people, and that strategically emphasizing bias in visualizations is not only desirable, but also ethical. The growing public mistrust in science has not been helped by efforts to produce visualizations devoid of bias. This paper further argues that ethical visualization can only be achieved by acknowledging and embracing the treacherous nature of data visualization as a medium, committing to an ethics of care in visualization, investigating the potential for both benefit and harm when visualizing specific data, and then employing strategies to mitigate the harm involved in creating, using, and sharing visualizations. These strategies center around consciously crafting a visual frame (ie bias) for communicating data to a given audience. This paper offers 1) a critical lens on the rhetorical nature of visualizations, 2) the Hippocratic oath as a means of committing to maximizing the benefit, and mitigating the harm, done by visualizations, 3) ethical visualization for impact as a practical strategy for taming treacherous visualizations, and 4) compassionate visualizations as the end goal of following ethical visualization practices.</t>
  </si>
  <si>
    <t>Design, User Experience, and Usability. Interaction Design</t>
  </si>
  <si>
    <t>10.1007/978-3-030-49713-2_27</t>
  </si>
  <si>
    <t>Make Me Care: Ethical Visualization for Impact in the Sciences and Data Sciences</t>
  </si>
  <si>
    <t>Hepworth, Katherine J.</t>
  </si>
  <si>
    <t>385-404</t>
  </si>
  <si>
    <t>Citation Key: fuest_2023_NudgingTravellersSocietally</t>
  </si>
  <si>
    <t>Data Stories of Water</t>
  </si>
  <si>
    <t>Framework, Analysis</t>
  </si>
  <si>
    <t>We present a methodology for making sense of the communicative role of data visualizations in journalistic storytelling and share findings from surveying water-related data stories. Data stories are a genre of long-form journalism that integrate text, data visualization, and other visual expressions (e.g., photographs, illustrations, videos) for the purpose of data-driven storytelling. In the last decade, a considerable number of data stories about a wide range of topics have been published worldwide. Authors use a variety of techniques to make complex phenomena comprehensible and use visualizations as communicative devices that shape the understanding of a given topic. Despite the popularity of data stories, we, as scholars, still lack a methodological framework for assessing the communicative role of visualizations in data stories. To this extent, we draw from data journalism, visual culture, and multimodality studies to propose an interpretative framework in six stages. The process begins with the analysis of content blocks and framing elements and ends with the identification of dimensions, patterns, and relationships between textual and visual elements. The framework is put to the test by analyzing 17 data stories about water-related issues. Our observations from the survey illustrate how data visualizations can shape the framing of complex topics.</t>
  </si>
  <si>
    <t>10.1111/cgf.14815</t>
  </si>
  <si>
    <t>https://onlinelibrary.wiley.com/doi/10.1111/cgf.14815</t>
  </si>
  <si>
    <t>Data Stories of Water: Studying the Communicative Role of Data Visualizations within Long‐form Journalism</t>
  </si>
  <si>
    <t>Garreton, M.; Morini, F.; Paz Moyano, D.; Grün, G.‐C.; Parra, D.; Dörk, M.</t>
  </si>
  <si>
    <t>99-110</t>
  </si>
  <si>
    <t>_eprint: https://onlinelibrary.wiley.com/doi/pdf/10.1111/cgf.14518 Citation Key: baumer_2022_CourseItPolitical</t>
  </si>
  <si>
    <t>CCS Concepts; concepts and paradigms; • Human-centered computing → Visualization theory</t>
  </si>
  <si>
    <t>Hung &amp; Parsons</t>
  </si>
  <si>
    <t>Affective Engagement for Communicative Vis</t>
  </si>
  <si>
    <t>As visualization for communication becomes more prevalent, it is important to have ways to evaluate the “success” of communicative visualizations beyond traditional analysis- and performance-oriented approaches. There are many metrics on which the success of communicative visualizations could be viewed, including those related broadly to the user’s subjective experience. One construct that has received attention in recent years is user engagement. In this paper, we examine the role of affective engagement (AE) in evaluating communicative visualizations. We explore options for assessing AE, and report a literature review on potentially relevant survey instruments. We provide suggestions on how to evaluate AE, discussing steps and analytical methods to develop a self-report assessment based on our ongoing work on AE in information visualization.</t>
  </si>
  <si>
    <t>Affective Engagement for Communicative Visualization: Quick and Easy Evaluation using Survey Instruments</t>
  </si>
  <si>
    <t>Hung, Ya-Hsin; Parsons, Paul</t>
  </si>
  <si>
    <t>Artwork Size: 8 pages ISBN: 9783038680864 Publisher: The Eurographics Association Version Number: 001-008</t>
  </si>
  <si>
    <t>Applied computing; centered computing; Environmental sciences; General and reference; Human; Information visualization; Surveys and overviews</t>
  </si>
  <si>
    <t>Assessing User Engagement in InfoVis</t>
  </si>
  <si>
    <t>Methods</t>
  </si>
  <si>
    <t>Engagement is an important aspect of user experience. While some researchers have investigated user engagement in the context of information visualization, there is still a lack of scholarship on the topic. In this paper we brieﬂy explore the role and signiﬁcance of user engagement in information visualization, and discuss challenges in its characterization and assessment. We present VisEngage, a self-assessment questionnaire that provides insight into 11 different characteristics of user engagement. We report the results of an online pilot study that was conducted using VisEngage, and reﬂect on its potential utility for visualization researchers and designers.</t>
  </si>
  <si>
    <t>Proceedings of the 2017 CHI Conference Extended Abstracts on Human Factors in Computing Systems</t>
  </si>
  <si>
    <t>10.1145/3027063.3053113</t>
  </si>
  <si>
    <t>https://dl.acm.org/doi/10.1145/3027063.3053113</t>
  </si>
  <si>
    <t>Assessing User Engagement in Information Visualization</t>
  </si>
  <si>
    <t>Citation Key: moere_2011_RoleDesignInformation</t>
  </si>
  <si>
    <t>Emotion-prints</t>
  </si>
  <si>
    <t>Emotions are one of the unique aspects of human nature, and sadly at the same time one of the elements that our technological world is failing to capture and consider due to their subtlety and inherent complexity. But with the current dawn of new technologies that enable the interpretation of emotional states based on techniques involving facial expressions, speech and intonation, electrodermal response (EDS) and brain-computer interfaces (BCIs), we are finally able to access real-time user emotions in various system interfaces. In this paper we introduce &lt;i&gt;emotion-prints&lt;/i&gt;, an approach for visualizing user emotional valence and arousal in the context of multi-touch systems. Our goal is to offer a standardized technique for representing user affective states in the moment when and at the location where the interaction occurs in order to increase affective self-awareness, support awareness in collaborative and competitive scenarios, and offer a framework for aiding the evaluation of touch applications through emotion visualization. We show that emotion-prints are not only independent of the shape of the graphical objects on the touch display, but also that they can be applied regardless of the acquisition technique used for detecting and interpreting user emotions. Moreover, our representation can encode any affective information that can be decomposed or reduced to Russell's two-dimensional space of valence and arousal. Our approach is enforced by a BCI-based user study and a follow-up discussion of advantages and limitations.</t>
  </si>
  <si>
    <t>10.1117/12.2076473</t>
  </si>
  <si>
    <t>https://www.spiedigitallibrary.org/conference-proceedings-of-spie/9397/93970A/Emotion-prints--interaction-driven-emotion-visualization-on-multi-touch/10.1117/12.2076473.full</t>
  </si>
  <si>
    <t>Emotion-prints: interaction-driven emotion visualization on multi-touch interfaces</t>
  </si>
  <si>
    <t>Cernea, Daniel; Weber, Christopher; Ebert, Achim; Kerren, Andreas</t>
  </si>
  <si>
    <t>82-96</t>
  </si>
  <si>
    <t>SPIE</t>
  </si>
  <si>
    <t>www.spiedigitallibrary.org</t>
  </si>
  <si>
    <t>arXiv:2304.10540 [cs] Citation Key: prantl_2023_PassionateChartsArguments</t>
  </si>
  <si>
    <t>Amni</t>
  </si>
  <si>
    <t>Hooked on data videos</t>
  </si>
  <si>
    <t>Pictographic representations and animation techniques are commonly incorporated into narrative visualizations such as data videos. General belief is that these techniques may enhance the viewer experience, thus appealing to a broad audience and enticing the viewer to consume the entire video. However, no study has formally assessed the effect of these techniques on data insight communication and viewer engagement. In this paper, we first propose a scale-based questionnaire covering five factors of viewer engagement we identified from multiple application domains such as game design and marketing. We then validate this questionnaire through a crowdsourcing study on Amazon's Mechanical Turk to assess the effect of animation and pictographs in data videos. Our results reveal that each technique has an effect on viewer engagement, impacting different factors. In addition, insights from these studies lead to design considerations for authoring engaging data videos.</t>
  </si>
  <si>
    <t>Proceedings of the 2018 International Conference on Advanced Visual Interfaces</t>
  </si>
  <si>
    <t>10.1145/3206505.3206552</t>
  </si>
  <si>
    <t>https://dl.acm.org/doi/10.1145/3206505.3206552</t>
  </si>
  <si>
    <t>Hooked on data videos: assessing the effect of animation and pictographs on viewer engagement</t>
  </si>
  <si>
    <t>Amini, Fereshteh; Riche, Nathalie Henry; Lee, Bongshin; Leboe-McGowan, Jason; Irani, Pourang</t>
  </si>
  <si>
    <t>1–9</t>
  </si>
  <si>
    <t>Gueddana &amp; Roussel</t>
  </si>
  <si>
    <t>Pele-Mele</t>
  </si>
  <si>
    <t>Communications</t>
  </si>
  <si>
    <t>Pêle-Mêle is a multi-party video communication system that supports a variable degree of engagement. It combines computer vision techniques with spatial and temporal filtering of the video streams and an original layout to support synchronous as well as asynchronous forms of communication ranging from casual awareness to focused face-to-face interactions. This note presents the system's design concept and some of its implementation details.</t>
  </si>
  <si>
    <t>Proceedings of the 2006 20th anniversary conference on Computer supported cooperative work</t>
  </si>
  <si>
    <t>10.1145/1180875.1180938</t>
  </si>
  <si>
    <t>https://dl.acm.org/doi/10.1145/1180875.1180938</t>
  </si>
  <si>
    <t>Pêle-Mêle, a video communication system supporting a variable degree of engagement</t>
  </si>
  <si>
    <t>Gueddana, Sofiane; Roussel, Nicolas</t>
  </si>
  <si>
    <t>423–426</t>
  </si>
  <si>
    <t>ISSN: 2165-8773</t>
  </si>
  <si>
    <t>Affect-Driven-Data-Storytelling; COVID-19; Data visualization; Data-Video; Internet; Pandemics; Persuasion</t>
  </si>
  <si>
    <t>When Seeing Isn’t Believing</t>
  </si>
  <si>
    <t>Reference and information literary services</t>
  </si>
  <si>
    <t>Visual misinformation poses unique challenges to public health due to its potential for persuasiveness and rapid spread on social media. In this article, librarians at the University of Pittsburgh Health Sciences Library System identify four types of visual health misinformation: misleading graphs and charts, out of context visuals, image manipulation in scientific publi­ cations, and AI-generated images and videos. To educate our campus’s health sciences audience and wider community on these topics, we have developed a range of instruction about visual health misinformation. We describe our strategies and provide suggestions for implementing visual misinformation programming for a variety of audiences.</t>
  </si>
  <si>
    <t>Medical Reference Services Quarterly</t>
  </si>
  <si>
    <t>10.1080/02763869.2024.2290963</t>
  </si>
  <si>
    <t>https://www.tandfonline.com/doi/full/10.1080/02763869.2024.2290963</t>
  </si>
  <si>
    <t>When Seeing Isn’t Believing: Navigating Visual Health Misinformation through Library Instruction</t>
  </si>
  <si>
    <t>Cowles, Kelsey; Miller, Rebekah; Suppok, Rachel</t>
  </si>
  <si>
    <t>44-58</t>
  </si>
  <si>
    <t>Citation Key: fogg_2002_PersuasiveTechnologyUsing</t>
  </si>
  <si>
    <t>Engaging with (big) data visualizations</t>
  </si>
  <si>
    <t>As data become more and more ubiquitous, so too do data visualizations, which increasingly circulate online and are an important means through which non-experts get access to data. This paper addresses the factors that affect how people engage with data visualizations, a relatively under-researched focus in visualization research to date. Drawing on qualitative, empirical research with users, we identify six factors that affect engagement: subject matter; source/media location; beliefs and opinions; time; emotions; and confidence and skills. In drawing attention to these factors, we bring HCI concerns together with approaches to media audience research, to identify new themes for visualization research. In particular, we argue that our findings have implications for how effectiveness is conceived and defined in relation to data visualizations and how this varies depending on how, by whom, where and for what purpose visualizations are encountered. Our paper aims to extend the horizons of visualization research, in its focus on factors that affect engagement and how these suggest new definitions of effectiveness.</t>
  </si>
  <si>
    <t>First Monday</t>
  </si>
  <si>
    <t>https://firstmonday.org/ojs/index.php/fm/article/view/6389</t>
  </si>
  <si>
    <t>Engaging with (big) data visualizations: Factors that affect engagement and resulting new definitions of effectiveness</t>
  </si>
  <si>
    <t>Kennedy, Helen; Hill, Rosemary Lucy; Allen, William; Kirk, Andy</t>
  </si>
  <si>
    <t>FM</t>
  </si>
  <si>
    <t>Citation Key: holder_2023_PolarizingPoliticalPolls</t>
  </si>
  <si>
    <t>Visualization Conventions</t>
  </si>
  <si>
    <t>This paper argues that visualisation conventions work to make the data represented within visualisations seem objective, that is, transparent and factual. Interrogating the work that visualisation conventions do helps us to make sense of the apparent contradiction between criticisms of visualisations as doing persuasive work and visualisation designers’ belief that through visualisation, it is possible to ‘do good with data’ [Periscopic. 2014. Home page. Retrieved from http://www.periscopic.com/]. We focus on four conventions which imbue visualisations with a sense of objectivity, transparency and facticity. These include: (a) twodimensional viewpoints; (b) clean layouts; (c) geometric shapes and lines; (d) the inclusion of data sources. We argue that thinking about visualisations from a social semiotic standpoint, as we do in this paper by bringing together what visualisation designers say about their intentions with a semiotic analysis of the visualisations they produce, advances understanding of the ways that data visualisations come into being, how they are imbued with particular qualities and how power operates in and through them. Thus, this paper contributes nuanced understanding of data visualisations and their production, by uncovering the ways in which power is at work within them. In turn, it advances debate about data in society and the emerging ﬁeld of data studies.</t>
  </si>
  <si>
    <t>Information, Communication &amp; Society</t>
  </si>
  <si>
    <t>10.1080/1369118X.2016.1153126</t>
  </si>
  <si>
    <t>http://www.tandfonline.com/doi/full/10.1080/1369118X.2016.1153126</t>
  </si>
  <si>
    <t>The work that visualisation conventions do</t>
  </si>
  <si>
    <t>Kennedy, Helen; Hill, Rosemary Lucy; Aiello, Giorgia; Allen, William</t>
  </si>
  <si>
    <t>715-735</t>
  </si>
  <si>
    <t>Citation Key: vancisin_2023_ProvenanceVisualizationTracing</t>
  </si>
  <si>
    <t>King &amp; Lazard</t>
  </si>
  <si>
    <t>Visual Health Communication</t>
  </si>
  <si>
    <t>During public health crises like the ongoing novel coronavirus pandemic, there is a need to amplify and improve critical health communication messages. This need is due to pandemics producing infodemic conditions, meaning the public information environment is oversaturated with information of questionable accuracy and utility. The strategic use of visuals can be leveraged to improve the quality of health communication during public health crises and lessen the unintended effects of infodemic conditions. In this essay, we review previous visual communication theorizing and research that provide insights for effective and efficient use of graphical (e.g., data visualizations) and illustrative (e.g., photos, illustrations, and content features) visuals. We also discuss and advocate for more systematic research on visual misinformation and visual narratives, as there are significant gaps in the literature about how people interpret, act on, and engage with these visual content types. More systematic research about these areas of visual health communication research will improve public communication during future public health crises.</t>
  </si>
  <si>
    <t>10.1080/10410236.2020.1838094</t>
  </si>
  <si>
    <t>https://www.tandfonline.com/doi/full/10.1080/10410236.2020.1838094</t>
  </si>
  <si>
    <t>Advancing Visual Health Communication Research to Improve Infodemic Response</t>
  </si>
  <si>
    <t>King, Andy J.; Lazard, Allison J.</t>
  </si>
  <si>
    <t>1723-1728</t>
  </si>
  <si>
    <t>Kostelnick</t>
  </si>
  <si>
    <t>Re-Emergence of Emotional Appeals in Datavis</t>
  </si>
  <si>
    <t>Purpose: I argue that emotional appeals, prevalent in charts and graphs during the later nineteenth century but largely dormant since then, have rapidly re-emerged in contemporary data visualization. Changing the relationship between designer and user, this new form of data design has intensified the affective impact of data displays by eliciting emotions ranging from excitement and empathy to anxiety and fear. Methods: This article draws on historical and contemporary sources to build its case. It gives an overview of emotional appeals in the rhetorical tradition, from Aristotle to modern theorists like George Campbell, who emphasized sensory responses through personalization and proximity. The article provides an historical overview of pathos appeals in data design during the later nineteenth century and the shift to modernist minimalism in the twentieth century. Contemporary examples from companies, nonprofits, government agencies, and individual designers illustrate how data visualization arouses emotion. Results: Emotional appeals during the nineteenth century focused primarily on color and design novelty, which, by appealing largely to the senses, fostered emotional responses such as excitement and curiosity. Contemporary data visualization makes similar emotional appeals through the use of color, novelty, and multimodal features; however, digital technology also allows designers to appeal to the emotions by personalizing displays through interactivity, spatial and temporal proximity, and aesthetic and expressive elements. Conclusion: Pathos (emotional) appeals have become an integral part of contemporary data visualization, largely because of the multimodal and interactive affordances of digital technology. Designers who understand this dimension of data design can deploy technology to make their displays more engaging, humane, and usable.</t>
  </si>
  <si>
    <t>Technical Communication</t>
  </si>
  <si>
    <t>https://www.jstor.org/stable/44809638</t>
  </si>
  <si>
    <t>The Re-Emergence of Emotional Appeals in Interactive Data Visualization</t>
  </si>
  <si>
    <t>Kostelnick, Charles</t>
  </si>
  <si>
    <t>116-135</t>
  </si>
  <si>
    <t>JSTOR</t>
  </si>
  <si>
    <t>Do Emotions Matter?</t>
  </si>
  <si>
    <t>Urban Planning</t>
  </si>
  <si>
    <t>Studying emotions in tourism help understand and anticipate tourist behaviour, because emotions can be considered the core of the tourist experience. The measurement of emotions in tourism is a complex research task. Not all negative emotions lead to dissatisfaction and switching to negative behaviour of tourists. Concerning the emotional responses of tourists, it has been found that climate change impacts involve multiple emotional expressions. The purpose of this paper is to identify and analyse the publications of the last eleven years (2012–2022) with respect to the relationships between emotional climate change communication and tourist behaviour. The review results illustrate trends and gaps, and the type of emotions and communication with greater potential to lead behavioural shifts in tourists and tourism stakeholders.</t>
  </si>
  <si>
    <t>Trends in Sustainable Smart Cities and Territories</t>
  </si>
  <si>
    <t>10.1007/978-3-031-36957-5_32</t>
  </si>
  <si>
    <t>Do Emotions Matter? Reviewing the Last Generation of Studies on Climate Change Communication and Tourist Behaviour</t>
  </si>
  <si>
    <t>Lam-González, Yen E.; León, Carmelo J.; de León, Javier; Ebnou, Mohamed Abderrahmane</t>
  </si>
  <si>
    <t>367-377</t>
  </si>
  <si>
    <t>Springer Nature Switzerland</t>
  </si>
  <si>
    <t>ISSN: 2767-7028 Citation Key: aseniero_2022_SKYGLYPHSREFLECTIONSDESIGN</t>
  </si>
  <si>
    <t>Art; Artistic Visualizations; Data visualization; Delightful Visualizations; Design-Study; Information Visualization; Reflection; Research through Design.; Sparks; Visualization</t>
  </si>
  <si>
    <t>Affective Visualization Design</t>
  </si>
  <si>
    <t>In recent years, more and more researchers have reflected on the undervaluation of emotion in data visualization and highlighted the importance of considering human emotion in visualization design. Meanwhile, an increasing number of studies have been conducted to explore emotion-related factors. However, so far, this research area is still in its early stages and faces a set of challenges, such as the unclear definition of key concepts, the insufficient justification of why emotion is important in visualization design, and the lack of characterization of the design space of affective visualization design. To address these challenges, first, we conducted a literature review and identified three research lines that examined both emotion and data visualization. We clarified the differences between these research lines and kept 109 papers that studied or discussed how data visualization communicates and influences emotion. Then, we coded the 109 papers in terms of how they justified the legitimacy of considering emotion in visualization design (i.e., &amp;lt;italic&amp;gt;why&amp;lt;/italic&amp;gt; emotion is important) and identified five argumentative perspectives. Based on these papers, we also identified 61 projects that practiced affective visualization design. We coded these design projects in three dimensions, including design fields (&amp;lt;italic&amp;gt;where&amp;lt;/italic&amp;gt;), design tasks (&amp;lt;italic&amp;gt;what&amp;lt;/italic&amp;gt;), and design methods (&amp;lt;italic&amp;gt;how&amp;lt;/italic&amp;gt;), to explore the design space of affective visualization design.</t>
  </si>
  <si>
    <t>10.1109/TVCG.2023.3327385</t>
  </si>
  <si>
    <t>https://doi.org/10.1109/TVCG.2023.3327385</t>
  </si>
  <si>
    <t>Affective Visualization Design: Leveraging the Emotional Impact of Data</t>
  </si>
  <si>
    <t>Lan, Xingyu; Wu, Yanqiu; Cao, Nan</t>
  </si>
  <si>
    <t>1–11</t>
  </si>
  <si>
    <t>Citation Key: boy_2015_StorytellingInformationVisualizations</t>
  </si>
  <si>
    <t>Lee-Robbins &amp; Adar</t>
  </si>
  <si>
    <t>Affective Learning Objectives</t>
  </si>
  <si>
    <t>When designing communicative visualizations, we often focus on goals that seek to convey patterns, relations, or comparisons (cognitive learning objectives). We pay less attention to affective intents–those that seek to inﬂuence or leverage the audience’s opinions, attitudes, or values in some way. Affective objectives may range in outcomes from making the viewer care about the subject, strengthening a stance on an opinion, or leading them to take further action. Because such goals are often considered a violation of perceived ‘neutrality’ or are ‘political,’ designers may resist or be unable to describe these intents, let alone formalize them as learning objectives. While there are notable exceptions–such as advocacy visualizations or persuasive cartography–we ﬁnd that visualization designers rarely acknowledge or formalize affective objectives. Through interviews with visualization designers, we expand on prior work on using learning objectives as a framework for describing and assessing communicative intent. Speciﬁcally, we extend and revise the framework to include a set of affective learning objectives. This structured taxonomy can help designers identify and declare their goals and compare and assess designs in a more principled way. Additionally, the taxonomy can enable external critique and analysis of visualizations. We illustrate the use of the taxonomy with a critical analysis of an affective visualization.</t>
  </si>
  <si>
    <t>10.1109/TVCG.2022.3209500</t>
  </si>
  <si>
    <t>https://ieeexplore.ieee.org/document/9905872/</t>
  </si>
  <si>
    <t>Affective Learning Objectives for Communicative Visualizations</t>
  </si>
  <si>
    <t>Lee-Robbins, Elsie; Adar, Eytan</t>
  </si>
  <si>
    <t>Conference Name: IEEE Transactions on Visualization and Computer Graphics Citation Key: yang_2024_SwayingPublicImpacts</t>
  </si>
  <si>
    <t>Elections; Emotions; Journalism; Longitudinal study; Political participation; Predictive models; Probabilistic forecasts; Probabilistic logic; Sociology; Trust; Uncertainty; Uncertainty visualization; Visualization; Voting</t>
  </si>
  <si>
    <t>Lim</t>
  </si>
  <si>
    <t>Cultural differences in emotion</t>
  </si>
  <si>
    <t>Culture</t>
  </si>
  <si>
    <t>Whether emotion is universal or social is a recurrent issue in the history of emotion study among psychologists. Some researchers view emotion as a universal construct, and that a large part of emotional experience is biologically based. However, emotion is not only biologically determined, but is also influenced by the environment. Therefore, cultural differences exist in some aspects of emotions, one such important aspect of emotion being emotional arousal level. All affective states are systematically represented as two bipolar dimensions, valence and arousal. Arousal level of actual and ideal emotions has consistently been found to have cross-cultural differences. In Western or individualist culture, high arousal emotions are valued and promoted more than low arousal emotions. Moreover, Westerners experience high arousal emotions more than low arousal emotions. By contrast, in Eastern or collectivist culture, low arousal emotions are valued more than high arousal emotions. Moreover, people in the East actually experience and prefer to experience low arousal emotions more than high arousal emotions. Mechanism of these cross-cultural differences and implications are also discussed.</t>
  </si>
  <si>
    <t>Integrative Medicine Research</t>
  </si>
  <si>
    <t>10.1016/j.imr.2016.03.004</t>
  </si>
  <si>
    <t>https://www.ncbi.nlm.nih.gov/pmc/articles/PMC5381435/</t>
  </si>
  <si>
    <t>Cultural differences in emotion: differences in emotional arousal level between the East and the West</t>
  </si>
  <si>
    <t>Lim, Nangyeon</t>
  </si>
  <si>
    <t>105-109</t>
  </si>
  <si>
    <t>Integr Med Res</t>
  </si>
  <si>
    <t>PubMed Central</t>
  </si>
  <si>
    <t>arXiv:2312.01164 [cs]</t>
  </si>
  <si>
    <t>Computer Science - Human-Computer Interaction; Computer Science - Graphics</t>
  </si>
  <si>
    <t>VIBE</t>
  </si>
  <si>
    <t>The process of forming, expressing, and updating beliefs from data plays a critical role in data-driven decision making. Effectively eliciting those beliefs has potential for high impact across a broad set of applications, including increased engagement with data and visualizations, personalizing visualizations, and understanding users' visual reasoning processes, which can inform improved data analysis and decision making strategies (e.g., via bias mitigation). Recently, belief-driven visualizations have been used to elicit and visualize readers' beliefs in a visualization alongside data in narrative media and data journalism platforms such as the New York Times and FiveThirtyEight. However, there is little research on different aspects that constitute designing an effective belief-driven visualization. In this paper, we synthesize a design space for belief-driven visualizations based on formative and summative interviews with designers and visualization experts. The design space includes 7 main design considerations, beginning with an assumed data set, then structured according to: from who, why, when, what, and how the belief is elicited, and the possible feedback about the belief that may be provided to the visualization viewer. The design space covers considerations such as the type of data parameter with optional uncertainty being elicited, interaction techniques, and visual feedback, among others. Finally, we describe how more than 24 existing belief-driven visualizations from popular news media outlets span the design space and discuss trends and opportunities within this space.</t>
  </si>
  <si>
    <t>10.1111/cgf.14556</t>
  </si>
  <si>
    <t>https://onlinelibrary.wiley.com/doi/abs/10.1111/cgf.14556</t>
  </si>
  <si>
    <t>VIBE: A Design Space for VIsual Belief Elicitation in Data Journalism</t>
  </si>
  <si>
    <t>Mahajan, Shambhavi; Chen, Bonnie; Karduni, Alireza; Kim, Yea-Seul; Wall, Emily</t>
  </si>
  <si>
    <t>477-488</t>
  </si>
  <si>
    <t>Citation Key: yang_2024_BackstorySwayingPublic</t>
  </si>
  <si>
    <t>Taxonomy for User Engagement in InfoVis</t>
  </si>
  <si>
    <t>Nowadays, with the availability of massive amounts of personal data, the role of Information Visualization is getting more and more important. There are a lot of visualization and visual analytics tools to help people to make sense of their personal data in their everyday lives. There is a consensus in the visualization community about the importance of user engagement for personal visual analytics. However, there are many challenges associated with this topic. As of yet, there is no clear and widely accepted deﬁnition for user engagement. Consequently and despite some recent efforts, there are no systematic and uniﬁed methods for evaluating different aspects of user engagement. In this paper, we bring attention to some fundamental open issues in the context of Information Visualization: What is the deﬁnition of engagement? What are the levels of engagement? How to measure engagement? How to improve user engagement level? This research is an initial attempt towards addressing some of these issues. Our main goal is to enable visualization researchers to more accurately measure and evaluate user engagement with visualizations. To this end, we reviewed deﬁnitions, measures, and frameworks from various other disciplines and speciﬁed the gap in the visualization community. We propose a ﬁve level taxonomy for engagement which is deeply inspired by Boloom’s Taxonomy. In addition, we address some important open questions that require further exploration. This paper establishes a groundwork for future research in user engagement with visualizations.</t>
  </si>
  <si>
    <t>Towards a Taxonomy for Evaluating User Engagement in Information Visualization</t>
  </si>
  <si>
    <t>Mahyar, Narges; Kim, Sung-Hee; Kwon, Bum Chul</t>
  </si>
  <si>
    <t>Citation Key: tseng_2022_DarkSidePerceptual</t>
  </si>
  <si>
    <t>CHI '22: CHI Conference on Human Factors in Computing Systems</t>
  </si>
  <si>
    <t>Evoke compassion in the wild</t>
  </si>
  <si>
    <t>Case Study</t>
  </si>
  <si>
    <t>This work explores how the design and situatedness of data representations affect people's compassion with a case study concerning harassment episodes in a public place. Results contribute to advancing the understanding of how visualizations can evoke emotions and their impact on prosocial behaviors, such as helping people in need. Recent literature examined the effect of different on-screen data representations on emotion or prosociality, but little has been done concerning visualizations shown in a public place — especially a space contextually relevant to the data — or presented through unconventional media formats such as physical marks. We conducted two in-the-wild studies to investigate how different factors affect people's self-reported compassion and intention to donate. We compared three ways of presenting data about the harassment cases: (1) communicating data only verbally; (2) using a printed poster with aggregated information; and (3) using a physicalization with detailed information about each story. We found that the physicalization influenced people to donate more than only hearing about the data, but it is unclear if the same applied to the poster visualization. Also, passers-by reported a likely small increase in compassion when they saw the physicalization instead of the poster. We also examined the role of situatedness by showing the physicalization in a site that is not contextually relevant to the data. Our results suggest that people had a similar intention to donate and levels of compassion in both places. Those findings may indicate that using specific visualization designs to support campaigns about sensitive causes (e.g., sexual harassment) can increase the emotional response of passers-by and may motivate them to help, independently of where the data representation is shown. Finally, this work also informs on the strengths and weaknesses of using research in the wild to evaluate data visualizations in public spaces.</t>
  </si>
  <si>
    <t>10.1111/cgf.14553</t>
  </si>
  <si>
    <t>https://onlinelibrary.wiley.com/doi/abs/10.1111/cgf.14553</t>
  </si>
  <si>
    <t>Morais, L.; Andrade, N.; Sousa, D.</t>
  </si>
  <si>
    <t>441-452</t>
  </si>
  <si>
    <t>Publisher: SAGE Publications Ltd Citation Key: kennedy_2018_FeelingNumbersEmotions</t>
  </si>
  <si>
    <t>Politics of datavis</t>
  </si>
  <si>
    <t>Media</t>
  </si>
  <si>
    <t>Data visualisation has become ubiquitous in everyday life, from seeing images in news media to tracking individual health indicators. While the effects of data visualisation on society and people have been explored within a range of literature, there has been far less attention paid to the interconnectedness of data visualisation and policy making. In this special issue, we explore how data visualisation matters for policy priorities, processes and outcomes; how it reﬂects the demands and constraints posed by speciﬁc policy problems; and ﬁnally, what data visualisations reveal about broader political, social, and cultural shifts and the implications for policy.</t>
  </si>
  <si>
    <t>Convergence: The International Journal of Research into New Media Technologies</t>
  </si>
  <si>
    <t>10.1177/13548565221079156</t>
  </si>
  <si>
    <t>https://journals.sagepub.com/doi/10.1177/13548565221079156</t>
  </si>
  <si>
    <t>The politics of data visualisation and policy making</t>
  </si>
  <si>
    <t>Nash, Kathryn; Trott, Verity; Allen, William</t>
  </si>
  <si>
    <t>arXiv:2407.13416 [cs, math] Citation Key: pokojna_2024_LanguageInfographicsUnderstanding</t>
  </si>
  <si>
    <t>Computer Science - Information Theory; Computer Science - Information Retrieval</t>
  </si>
  <si>
    <t>Uncertainty in DH Vis</t>
  </si>
  <si>
    <t>Digital Humanities</t>
  </si>
  <si>
    <t>Due to their historical nature, humanistic data encompass multiple sources of uncertainty. While humanists are accustomed to handling such uncertainty with their established methods, they are cautious of visualizations that appear overly objective and fail to communicate this uncertainty. To design more trustworthy visualizations for humanistic research, therefore, a deeper understanding of its relation to uncertainty is needed. We systematically reviewed 126 publications from digital humanities literature that use visualization as part of their research process, and examined how uncertainty was handled and represented in their visualizations. Crossing these dimensions with the visualization type and use, we identified that uncertainty originated from multiple steps in the research process from the source artifacts to their datafication. We also noted how besides known uncertainty coping strategies, such as excluding data and evaluating its effects, humanists also embraced uncertainty as a separate dimension important to retain. By mapping how the visualizations encoded uncertainty, we identified four approaches that varied in terms of explicitness and customization. This work contributes with two empirical taxonomies of uncertainty and it’s corresponding coping strategies, as well as with the foundation of a research agenda for uncertainty visualization in the digital humanities. Our findings further the synergy among humanists and visualization researchers, and ultimately contribute to the development of more trustworthy, uncertainty-aware visualizations.</t>
  </si>
  <si>
    <t>10.1109/TVCG.2022.3209436</t>
  </si>
  <si>
    <t>https://ieeexplore.ieee.org/document/9904442/</t>
  </si>
  <si>
    <t>Communicating Uncertainty in Digital Humanities Visualization Research</t>
  </si>
  <si>
    <t>Panagiotidou, Georgia; Lamqaddam, Houda; Poblome, Jeroen; Brosens, Koenraad; Verbert, Katrien; Moere, Andrew Vande</t>
  </si>
  <si>
    <t>Citation Key: pandey_2014_PersuasivePowerData</t>
  </si>
  <si>
    <t>How Deceptive are Deceptive Visualizations?</t>
  </si>
  <si>
    <t>In this paper, we present an empirical analysis of deceptive visualizations. We start with an in-depth analysis of what deception means in the context of data visualization, and categorize deceptive visualizations based on the type of deception they lead to. We identify popular distortion techniques and the type of visualizations those distortions can be applied to, and formalize why deception occurs with those distortions. We create four deceptive visualizations using the selected distortion techniques, and run a crowdsourced user study to identify the deceptiveness of those visualizations. We then present the findings of our study and show how deceptive each of these visual distortion techniques are, and for what kind of questions the misinterpretation occurs. We also analyze individual differences among participants and present the effect of some of those variables on participants' responses. This paper presents a first step in empirically studying deceptive visualizations, and will pave the way for more research in this direction.</t>
  </si>
  <si>
    <t>10.1145/2702123.2702608</t>
  </si>
  <si>
    <t>https://dl.acm.org/doi/10.1145/2702123.2702608</t>
  </si>
  <si>
    <t>How Deceptive are Deceptive Visualizations?: An Empirical Analysis of Common Distortion Techniques</t>
  </si>
  <si>
    <t>Pandey, Anshul Vikram; Rall, Katharina; Satterthwaite, Margaret L.; Nov, Oded; Bertini, Enrico</t>
  </si>
  <si>
    <t>1469-1478</t>
  </si>
  <si>
    <t>Popova</t>
  </si>
  <si>
    <t>The Intelligence of Emotions</t>
  </si>
  <si>
    <t>“Emotions are not just the fuel that powers the psychological mechanism of a reasoning creature, they are parts, highly complex and messy parts, of this creature’s reasoning itself.”</t>
  </si>
  <si>
    <t>The Marginalian</t>
  </si>
  <si>
    <t>https://www.themarginalian.org/2015/11/23/martha-nussbaum-upheavals-of-thought-neediness/</t>
  </si>
  <si>
    <t>The Intelligence of Emotions: Philosopher Martha Nussbaum on How Storytelling Rewires Us and Why Befriending Our Neediness Is Essential for Happiness</t>
  </si>
  <si>
    <t>Popova, Maria</t>
  </si>
  <si>
    <t>Citation Key: interactivetechnologiesinstitute-iti/larsysistuniversityoflisbonportugal_2023_RussiaUkraineWarClimate</t>
  </si>
  <si>
    <t>Passionate Charts</t>
  </si>
  <si>
    <t>Aristotle has considered the art of communication as a balance of logos, ethos, and pathos. While in science, logos (reason) and, recently also, ethos (morality) are discussed as aspects not to be neglected, pathos (feeling) is seen critically. In this work, we take a historical perspective on pathos and weigh the pros and cons of applying this rhetorical concept to the field of data visualizations. To better understand data, connecting it to the human way of thinking is imperative - appealing to emotions is one building block. The theoretical and empirical basis originates from different scientific fields, like social sciences, economics, and humanities. Tangible techniques to target empathetic emotions in data visualizations are introduced, as well as other rhetorical devices, such as interactivity and contextual framing, are highlighted. Researching these different approaches can provide new insights regarding the creation and influence of empathetic emotions in data visualizations.</t>
  </si>
  <si>
    <t>http://arxiv.org/abs/2304.10540</t>
  </si>
  <si>
    <t>Passionate Charts: Arguments for Empathetic Emotions in Data Vis</t>
  </si>
  <si>
    <t>Prantl, Verena Ingrid; Moeller, Torsten; Koesten, Laura</t>
  </si>
  <si>
    <t>Citation Key: zavolokina_2024_ThinkFastThink</t>
  </si>
  <si>
    <t>Prestby</t>
  </si>
  <si>
    <t>Design Techniques for COVID-19 Story Maps</t>
  </si>
  <si>
    <t>Story maps have emerged as a popular storytelling device in recent years with cartographers and journalists leveraging geospatial web technologies to create unique spatial narratives. However, empirical research analyzing the design of story maps remains limited. Two recently proposed design frameworks provide promising avenues to characterize story maps in terms of elements of vivid cartography and techniques of map-based storytelling. In this article, I conducted a quantitative content analysis on 117 story maps of COVID-19 to operationalize map-based storytelling and vividness frameworks and to identify common design traits in contemporary story maps. My findings indicated that most story maps are longform infographics that use scrolling to advance the narrative. Stories applied a variety of attention, dosing, and mood techniques to enrich the storytelling experience. Story maps were primarily vivid through their use of color and novelty. Overall, most story maps utilized only a fraction of the map-based storytelling framework techniques. This research also demonstrated that it is challenging to analyze story maps based on these frameworks. Finally, this article improves the frameworks by proposing two new story map techniques and suggesting avenues of refinement.</t>
  </si>
  <si>
    <t>Cartography and Geographic Information Science</t>
  </si>
  <si>
    <t>10.1080/15230406.2022.2102077</t>
  </si>
  <si>
    <t>https://doi.org/10.1080/15230406.2022.2102077</t>
  </si>
  <si>
    <t>Design Techniques for COVID-19 Story Maps: A Quantitative Content Analysis</t>
  </si>
  <si>
    <t>Prestby, Timothy</t>
  </si>
  <si>
    <t>222-241</t>
  </si>
  <si>
    <t>Data storytelling tools from a narrative perspective</t>
  </si>
  <si>
    <t>Narrative Data Storytelling</t>
  </si>
  <si>
    <t>With a large number of data stories expressed in diverse genres of narrative visualization, storytelling is currently growing in popularity in the ﬁeld of visualization. In this paper, we investigate the data storytelling literature over the last 10 years and suggest a brand-new classiﬁcation scheme for authoring tools from narrative perspectives. Our classiﬁcation scheme comprehensively and meticulously summarizes the collected papers. By arranging papers in each category by publication date, we identify the popular topics, and present the current status and future directions of the development of data storytelling authoring tools. There are two contributions in our paper. First, we propose a novel taxonomy that includes two main categories and four sub-categories to classify narrative perspectives in data storytelling authoring tools. Second, we discuss and highlight research challenges and promising potential future research opportunities. We hope that this survey will promote the discussion of data storytelling tools and provide a reference for researchers who wish to delve more deeply into the research areas covered in this ﬁeld.</t>
  </si>
  <si>
    <t>Visual Intelligence</t>
  </si>
  <si>
    <t>10.1007/s44267-023-00011-0</t>
  </si>
  <si>
    <t>https://link.springer.com/10.1007/s44267-023-00011-0</t>
  </si>
  <si>
    <t>Re-understanding of data storytelling tools from a narrative perspective</t>
  </si>
  <si>
    <t>Ren, Pengkun; Wang, Yi; Zhao, Fan</t>
  </si>
  <si>
    <t>Vis. Intell.</t>
  </si>
  <si>
    <t>arXiv:2204.01313 [cs] Citation Key: dragicevic_2022_ImmersiveHumanitarianVisualizations</t>
  </si>
  <si>
    <t>Seeing the Visual</t>
  </si>
  <si>
    <t>Policy and Political Science</t>
  </si>
  <si>
    <t>Visualizations are important for policy debates. In a single image, visuals convey information, values, and emotions. Think of the shocking image of Alan Kurdi’s drowning and the abrupt shift in immigration policy debates in Europe. Visualizations influence policy and politics, but how? This article presents a detailed and analytic overview of the state-of-the-art research on visualizations from the policy and political sciences and suggests a research agenda. We identified five explanatory roles for how visualizations influence policy and policy debates as: 1) sense-making devices for interpreting complex information; 2) emotional triggers to strategically manipulate the viewers’ sentiments for political gains; 3) objects of political meaning making; 4) icons that convey social and cultural norms; and 5) portrayals of the underlying values that matter when representing situations in society. We applied our findings to a visualization of the controversial gene-editing technology CRISPR-Cas applied to food. We claim that these five roles need to be combined to better understand how visualizations are influential over time and for different policy actors. We argue for studying visualizations as boundary objects whose meaning is negotiated between (groups of) policy actors and that can change over time.</t>
  </si>
  <si>
    <t>Policy Studies Yearbook</t>
  </si>
  <si>
    <t>10.18278/psy.12.1.5</t>
  </si>
  <si>
    <t>https://www.psoyearbook.org/wp-content/uploads/2022/04/Seeing-the-Visual.pdf</t>
  </si>
  <si>
    <t>Seeing the Visual: A Literature Review on Why and How Policy Scholars Would Do Well to Study Influential Visualizations</t>
  </si>
  <si>
    <t>Rojas-Padilla, Eduardo; Metze, Tamara; Termeer, Katrien</t>
  </si>
  <si>
    <t>psy</t>
  </si>
  <si>
    <t>Publisher: Routledge _eprint: https://doi.org/10.1080/10410236.2023.2185350 PMID: 36856059 Citation Key: jia_2023_UnderstandingMentalHealth</t>
  </si>
  <si>
    <t>Telling Stories with Data</t>
  </si>
  <si>
    <t>The exponential growth of data has outpaced human ability to process information, necessitating innovative approaches for effective human-data interaction. To transform raw data into meaningful insights, storytelling, and visualization have emerged as powerful techniques for communicating complex information to decision-makers. This article offers a comprehensive, systematic review of the utilization of storytelling in visualizations. It organizes the existing literature into distinct categories, encompassing frameworks, data and visualization types, application domains, narrative structures, outcome measurements, and design principles. By providing a well-structured overview of this rapidly evolving field, the article serves as a valuable guide for educators, researchers, and practitioners seeking to harness the power of storytelling in data visualization.</t>
  </si>
  <si>
    <t>http://arxiv.org/abs/2312.01164</t>
  </si>
  <si>
    <t>Telling stories with data -- A systematic review</t>
  </si>
  <si>
    <t>Schröder, Kay; Eberhardt, Wiebke; Belavadi, Poornima; Ajdadilish, Batoul; van Haften, Nanette; Overes, Ed; Brouns, Taryn; Valdez, André Calero</t>
  </si>
  <si>
    <t>Citation Key: __UnitedStatesGun</t>
  </si>
  <si>
    <t>Health Misinformation Exposure and Health Disparities</t>
  </si>
  <si>
    <t>The concepts of health misinformation and health disparities have been prominent in public health literature in recent years, in part because of the threat that each notion poses to public health. How exactly are misinformation proliferation and health disparities related, however? What roles might misinformation play in explaining the health disparities that we have documented in the United States and elsewhere? How might we mitigate the effects of misinformation exposure among people facing relatively poor health outcomes? In this review, we address such questions by first defining health disparities and misinformation as concepts and then considering how misinformation exposure might theoretically affect health decision-making and account for disparate health behavior and health outcomes. We alsoassess the potential for misinformation-focused interventions to address health disparities based on available literature and call for future research to address gaps in our current evidence base.</t>
  </si>
  <si>
    <t>Annual Review of Public Health</t>
  </si>
  <si>
    <t>10.1146/annurev-publhealth-071321-031118</t>
  </si>
  <si>
    <t>https://doi.org/10.1146/annurev-publhealth-071321-031118</t>
  </si>
  <si>
    <t>Health Misinformation Exposure and Health Disparities: Observations and Opportunities</t>
  </si>
  <si>
    <t>Southwell, Brian G.; Otero Machuca, Jessica; Cherry, Sabrina T.; Burnside, Melissa; Barrett, Nadine J.</t>
  </si>
  <si>
    <t>113-130</t>
  </si>
  <si>
    <t>Annual Reviews</t>
  </si>
  <si>
    <t>Conference Name: IEEE Transactions on Visualization and Computer Graphics Citation Key: wang_2024_UnlockingSemanticInformation</t>
  </si>
  <si>
    <t>Bars; Data visualization; emotional experience; Image color analysis; Information representation; numerical information; Semantic information; Semantics; sensorimotor experience; Shape; visual channel design; Visualization</t>
  </si>
  <si>
    <t>Defining and Measuring Scientific Misinformation</t>
  </si>
  <si>
    <t>Political and Social Science</t>
  </si>
  <si>
    <t>We define scientific misinformation as publicly available information that is misleading or deceptive relative to the best available scientific evidence and that runs contrary to statements by actors or institutions who adhere to scientific principles. Scientific misinformation violates the supposition that claims should be based on scientific evidence and relevant expertise. As such, misinformation is observable and measurable, but research on scientific misinformation to date has often missed opportunities to clearly articulate units of analysis, to consult with experts, and to look beyond convenient sources of misinformation such as social media content. We outline the ways in which scientific misinformation can be thought of as a disorder of public science, identify its specific types and the ways in which it can be measured, and argue that researchers and public actors should do more to connect measurements of misinformation with measurements of effect.</t>
  </si>
  <si>
    <t>The ANNALS of the American Academy of Political and Social Science</t>
  </si>
  <si>
    <t>10.1177/00027162221084709</t>
  </si>
  <si>
    <t>https://doi.org/10.1177/00027162221084709</t>
  </si>
  <si>
    <t>Southwell, Brian G.; Brennen, J. Scott Babwah; Paquin, Ryan; Boudewyns, Vanessa; Zeng, Jing</t>
  </si>
  <si>
    <t>98-111</t>
  </si>
  <si>
    <t>_eprint: https://onlinelibrary.wiley.com/doi/pdf/10.1002/asi.23096 Citation Key: arapakis_2014_UserEngagementOnline</t>
  </si>
  <si>
    <t>human computer interaction; questionnaires; user studies</t>
  </si>
  <si>
    <t>Provenance visualization</t>
  </si>
  <si>
    <t>Provenance disclosure—the documentation of an artifact’s origin and how it was produced—is an important aspect to consider when working with historical records which undergo multiple transformations in preparation for and during digitization. Provenance in this context is commonly communicated through explanatory text or static diagrams. However, the methodological and curatorial decisions that have inﬂuenced the records’ data are easily overlooked, in particular when exploring the records through visualization as a result of digitization processes. We propose a data-driven approach to provenance disclosure which (1) traces provenance back to when the records were created, (2) documents and categorizes the records’ transformations (transcriptions, content modiﬁcations, changes in organization, and representational form), and (3) uses data visualization to disclose provenance in interactive ways. We reﬂect on how this approach can be practically applied in the context of historical record collections, and we present ﬁndings from a qualitative study we conducted to investigate the merits and limitations of provenance-driven visualization. Our ﬁndings suggest that data-driven provenance disclosure has the potential to (1) promote transparency and deeper interpretations of historical records, (2) provide rigor in researching historical document collections and underlying production processes, and (3) encourage ethical considerations by making visible labor and implicit bias that inﬂuence the production and curation of historical records.</t>
  </si>
  <si>
    <t>Digital Scholarship in the Humanities</t>
  </si>
  <si>
    <t>10.1093/llc/fqad020</t>
  </si>
  <si>
    <t>https://academic.oup.com/dsh/article/38/3/1322/7140400</t>
  </si>
  <si>
    <t>Provenance visualization: Tracing people, processes, and practices through a data-driven approach to provenance</t>
  </si>
  <si>
    <t>Vancisin, Tomas; Clarke, Loraine; Orr, Mary; Hinrichs, Uta</t>
  </si>
  <si>
    <t>1322-1339</t>
  </si>
  <si>
    <t>https://creativecommons.org/licenses/by/4.0/</t>
  </si>
  <si>
    <t>_eprint: https://onlinelibrary.wiley.com/doi/pdf/10.1111/cgf.14556 Citation Key: mahajan_2022_VIBEDesignSpace</t>
  </si>
  <si>
    <t>Emotional Response to Value of Vis</t>
  </si>
  <si>
    <t>When assessing the value of visualizations, researchers traditionally focus on efficiency, comprehension, or insight. However, analyzing successful data physicalizations leads to a deep appreciation for hedonic qualities. Informed by the role of emotion in psychology, art, design, marketing, and HCI, we argue for an expanded definition of value, applicable to all forms of data visualization.</t>
  </si>
  <si>
    <t>IEEE Computer Graphics and Applications</t>
  </si>
  <si>
    <t>10.1109/MCG.2019.2923483</t>
  </si>
  <si>
    <t>https://ieeexplore.ieee.org/document/8809393/?arnumber=8809393</t>
  </si>
  <si>
    <t>An Emotional Response to the Value of Visualization</t>
  </si>
  <si>
    <t>Wang, Yun; Segal, Adrien; Klatzky, Roberta; Keefe, Daniel F.; Isenberg, Petra; Hurtienne, Jörn; Hornecker, Eva; Dwyer, Tim; Barrass, Stephen</t>
  </si>
  <si>
    <t>8-17</t>
  </si>
  <si>
    <t>Citation Key: lee_2021_ViralVisualizationsHow</t>
  </si>
  <si>
    <t>Visualiation for Villainy</t>
  </si>
  <si>
    <t>Review Paper, analysis</t>
  </si>
  <si>
    <t>Visualization has long been seen as a dependable and trustworthy tool for carrying out analysis and communication tasks—a view reinforced by the growing interest in applying it to socially positive ends. However, despite the benign light in which visualization is usually perceived, it carries the potential to do harm to people, places, concepts, and things. In this paper, we capitalize on this negative potential to serve an underrepresented (but technologically engaged) group: villains. To achieve these ends, we introduce a design space for this type of graphical violence, which allows us to unify prior work on deceptive visualization with novel datadriven dastardly deeds, such as emotional spear phishing and unsafe data physicalization. By charting this vile charting landscape, we open new doors to collaboration with terrifying domain experts, and hopefully, make the world just a bit worse.</t>
  </si>
  <si>
    <t>http://arxiv.org/abs/2109.06007</t>
  </si>
  <si>
    <t>Visualization for Villainy</t>
  </si>
  <si>
    <t>McNutt, Andrew M.; Huang, Lilian; Koenig, Kathryn</t>
  </si>
  <si>
    <t>Citation Key: elhamdadi_2023_VistrustMultidimensionalFramework</t>
  </si>
  <si>
    <t>Elhamdadi et al.</t>
  </si>
  <si>
    <t>Review Paper, Empirical</t>
  </si>
  <si>
    <t>Trust is an essential aspect of data visualization, as it plays a crucial role in the interpretation and decision-making processes of users. While research in social sciences outlines the multi-dimensional factors that can play a role in trust formation, most data visualization trust researchers employ a single-item scale to measure trust. We address this gap by proposing a comprehensive, multidimensional conceptualization and operationalization of trust in visualization. We do this by applying general theories of trust from social sciences, as well as synthesizing and extending earlier work and factors identiﬁed by studies in the visualization ﬁeld. We apply a two-dimensional approach to trust in visualization, to distinguish between cognitive and affective elements, as well as between visualization and data-speciﬁc trust antecedents. We use our framework to design and run a large crowd-sourced study to quantify the role of visual complexity in establishing trust in science visualizations. Our study provides empirical evidence for several aspects of our proposed theoretical framework, most notably the impact of cognition, affective responses, and individual differences when establishing trust in visualizations.</t>
  </si>
  <si>
    <t>https://ieeexplore.ieee.org/document/10308716/</t>
  </si>
  <si>
    <t>Publisher: SAGE Publications Ltd Citation Key: allen_2018_VisualBrokerageCommunicating</t>
  </si>
  <si>
    <t>Introducing Layers of Meaning (LoM)</t>
  </si>
  <si>
    <t>Review, Co-Design, Framework</t>
  </si>
  <si>
    <t>Information visualization (infovis) is a powerful tool for exploring rich datasets. Within humanistic research, rich qualitative data and domain culture make traditional infovis approaches appear reductive and disconnected, leading to low adoption. In this paper, we use a multi-step approach to scrutinize the relationship between infovis and the humanities and suggest new directions for it. We ﬁrst look into infovis from the humanistic perspective by exploring the humanistic literature around infovis. We validate and expand those ﬁndings though a co-design workshop with humanist and infovis experts. Then, we translate our ﬁndings into guidelines for designers and conduct a design critique exercise to explore their effect on the perception of humanist researchers. Based on these steps, we introduce Layers of Meaning, a framework to reduce the semantic distance between humanist researchers and visualizations of their research material, by grounding infovis tools in time and space, physicality, terminology, nuance, and provenance.</t>
  </si>
  <si>
    <t>10.1109/TVCG.2020.3030426</t>
  </si>
  <si>
    <t>https://ieeexplore.ieee.org/document/9222293/</t>
  </si>
  <si>
    <t>Introducing Layers of Meaning (LoM): A Framework to Reduce Semantic Distance of Visualization In Humanistic Research</t>
  </si>
  <si>
    <t>Lamqaddam, Houda; Vande Moere, Andrew; Vanden Abeele, Vero; Brosens, Koenraad; Verbert, Katrien</t>
  </si>
  <si>
    <t>1084-1094</t>
  </si>
  <si>
    <t>arXiv:2109.06007 [cs] Citation Key: mcnutt_2021_VisualizationVillainy</t>
  </si>
  <si>
    <t>Can Anthropographics Promote Prosociality?</t>
  </si>
  <si>
    <t>Review, Empirical</t>
  </si>
  <si>
    <t>10.1145/3411764.3445637</t>
  </si>
  <si>
    <t>https://dl.acm.org/doi/10.1145/3411764.3445637</t>
  </si>
  <si>
    <t>Can Anthropographics Promote Prosociality?A Review and Large-Sample Study</t>
  </si>
  <si>
    <t>Morais, Luiz; Jansen, Yvonne; Andrade, Nazareno; Dragicevic, Pierre</t>
  </si>
  <si>
    <t>Citation Key: lisnic_2024_VisualizationGuardrailsDesigning</t>
  </si>
  <si>
    <t>Affective Glyph Forms in SciViz</t>
  </si>
  <si>
    <t>Technique</t>
  </si>
  <si>
    <t>As scientific data continues to grow in size, complexity, and density, the representation scope of three-dimensional spaces, data sampling methods, and transfer functions have improved in parallel, allowing visualization practitioners to produce richer multidimensional encodings. Glyphs, in particular, have become an essential encoding tool due to their versatile applications in co-located multivariate volumetric datasets. While prior work has been conducted investigating the perceptual attributes of computationally-generated three-dimensional glyph-forms for scientific visualization, their affective and expressive qualities have yet to be examined. Further, our prior work has demonstrated the benefits of artist hand-created glyph forms in contrast to commonly-used synthetic forms in increasing visual diversity, discrimination, and expressive association in complex environmental datasets. In order to begin to address this gap, we establish preliminary groundwork for an affective design space for hand-created glyph forms, produce a novel set of glyphforms based on this design space, describe a non-verbal method for discovering affective classifications of glyph-forms adopted from current affect theory, and report the results of two studies that explore how these three-dimensional forms produce consistent affective responses across assorted study cohorts.</t>
  </si>
  <si>
    <t>10.1109/VISAP57411.2022.00025</t>
  </si>
  <si>
    <t>https://ieeexplore.ieee.org/document/9975637/</t>
  </si>
  <si>
    <t>Affective, Hand-Sculpted Glyph Forms for Engaging and Expressive Scientific Visualization</t>
  </si>
  <si>
    <t>Zeller, Stephanie; Samsel, Francesca; Bartram, Lyn</t>
  </si>
  <si>
    <t>127-136</t>
  </si>
  <si>
    <t>Citation Key: hullman_2011_VisualizationRhetoricFraming</t>
  </si>
  <si>
    <t>Art, Affect and Color</t>
  </si>
  <si>
    <t>As the complexity of scientiﬁc data and the needs to communicate the science have grown, the requirements for visualization design and use have become more sophisticated. We increasingly need more effective ways of communicating the science across multiple audiences, including non-experts in the ﬁeld. The challenges of enriching the representation have moved from the more naive ideas of making it ”aesthetically attractive” to more profound constructs of visual language: how to enhance nuances in the data, and how to support more expressive visualizations that elicit different cognitive and communicative affect to tell the science story. In this paper, we describe how artistic color techniques drawn from paintings can be operationally applied to produce more evocative and informative scientiﬁc visualization. We illustrate how the color use in a painting can reveal structure and information priority and elicit affect using examples from current work with our scientiﬁc visualization colleagues. Our results highlight the value of engaging with artists in long-term, multidisciplinary science teams, but also emphasize the comprehension gaps that exist across the disciplines and the need for methods and techniques that bridge them so they are accessible to a wider range of data scientists. Our color extraction methods and results are a small example of such bridging techniques.</t>
  </si>
  <si>
    <t>10.1109/VISAP45312.2018.9046053</t>
  </si>
  <si>
    <t>https://ieeexplore.ieee.org/document/9046053/</t>
  </si>
  <si>
    <t>Art, Affect and Color: Creating Engaging Expressive Scientific Visualization</t>
  </si>
  <si>
    <t>Samsel, Francesca; Bartram, Lyn; Bares, Annie</t>
  </si>
  <si>
    <t>Citation Key: duan_2022_VisualizingClimateChange</t>
  </si>
  <si>
    <t>Climate change; Construal level theory; Emotional valence; Experiment; Visual communication</t>
  </si>
  <si>
    <t>Better Little People Pictures</t>
  </si>
  <si>
    <t>We explore the potential of generative AI text-to-image models to help designers efficiently craft unique, representative, and demographically diverse anthropographics that visualize data about people. Currently, creating data-driven iconic images to represent individuals in a dataset often requires considerable design effort. Generative text-to-image models can streamline the process of creating these images, but risk perpetuating designer biases in addition to stereotypes latent in the models. In response, we outline a conceptual workflow for crafting anthropographic assets for visualizations, highlighting possible sources of risk and bias as well as opportunities for reflection and refinement by a human designer. Using an implementation of this workflow with Stable Diffusion and Google Colab, we illustrate a variety of new anthropographic designs that showcase the visual expressiveness and scalability of these generative approaches. Based on our experiments, we also identify challenges and research opportunities for new AI-enabled anthropographic visualization tools.</t>
  </si>
  <si>
    <t>10.1145/3613904.3641957</t>
  </si>
  <si>
    <t>https://dl.acm.org/doi/10.1145/3613904.3641957</t>
  </si>
  <si>
    <t>Better Little People Pictures: Generative Creation of Demographically Diverse Anthropographics</t>
  </si>
  <si>
    <t>Dhawka, Priya; Perera, Lauren; Willett, Wesley</t>
  </si>
  <si>
    <t>Citation Key: canon_2022_VisualizingStructureDevelopment</t>
  </si>
  <si>
    <t>The Backstory to “Swaying the Public”</t>
  </si>
  <si>
    <t>10.1109/TVCG.2024.3456366</t>
  </si>
  <si>
    <t>https://ieeexplore.ieee.org/document/10672524/</t>
  </si>
  <si>
    <t>The Backstory to “Swaying the Public”: A Design Chronicle of Election Forecast Visualizations</t>
  </si>
  <si>
    <t>Yang, Fumeng; Cai, Mandi; Mortenson, Chloe; Fakhari, Hoda; Lokmanoglu, Ayse D.; Diakopoulos, Nicholas; Nisbet, Erik C.; Kay, Matthew</t>
  </si>
  <si>
    <t>Citation Key: koesten_2023_message</t>
  </si>
  <si>
    <t>Weikmann &amp; Lecheler</t>
  </si>
  <si>
    <t>Visual disinformation in a digital age</t>
  </si>
  <si>
    <t>New Media</t>
  </si>
  <si>
    <t>While a fast-growing body of research is concerned with the detrimental consequences of disinformation for democracy, the role of visuals in this context has so far only been discussed superficially. Visuals are expected to amplify the impact of disinformation, but it is rarely specified how, and what exactly distinguishes them from text. This article is one of the first to treat visual disinformation as its own type of falsehood, arguing that it differs from textual disinformation in its production, processing and effects. We suggest that visual disinformation is determined by varying levels of modal richness and manipulative sophistication. Because manipulated visuals are processed differently on a psychological level, they have unique effects on citizens’ behaviours and attitudes.</t>
  </si>
  <si>
    <t>New Media &amp; Society</t>
  </si>
  <si>
    <t>10.1177/14614448221141648</t>
  </si>
  <si>
    <t>http://journals.sagepub.com/doi/10.1177/14614448221141648</t>
  </si>
  <si>
    <t>Visual disinformation in a digital age: A literature synthesis and research agenda</t>
  </si>
  <si>
    <t>Weikmann, Teresa; Lecheler, Sophie</t>
  </si>
  <si>
    <t>3696-3713</t>
  </si>
  <si>
    <t>Conference Name: IEEE Transactions on Visualization and Computer Graphics Citation Key: borkin_2013_WhatMakesVisualization</t>
  </si>
  <si>
    <t>Data visualization; Encoding; information visualization; Information technology; memorability; Taxonomy; Visualization taxonomy</t>
  </si>
  <si>
    <t>Superpowers as inspiration for visualiation</t>
  </si>
  <si>
    <t>We explore how the lens of fictional superpowers can help characterize how visualizations empower people and provide inspiration for new visualization systems. Researchers and practitioners often tout visualizations' ability to “make the invisible visible” and to “enhance cognitive abilities.” Meanwhile superhero comics and other modern fiction often depict characters with similarly fantastic abilities that allow them to see and interpret the world in ways that transcend traditional human perception. We investigate the intersection of these domains, and show how the language of superpowers can be used to characterize existing visualization systems and suggest opportunities for new and empowering ones. We introduce two frameworks: The first characterizes seven underlying mechanisms that form the basis for a variety of visual superpowers portrayed in fiction. The second identifies seven ways in which visualization tools and interfaces can instill a sense of empowerment in the people who use them. Building on these observations, we illustrate a diverse set of “visualization superpowers” and highlight opportunities for the visualization community to create new systems and interactions that empower new experiences with data Material and illustrations are available under CC-BY 4.0 at osf.io/8yhfz.</t>
  </si>
  <si>
    <t>10.1109/TVCG.2021.3114844</t>
  </si>
  <si>
    <t>https://ieeexplore.ieee.org/document/9552195/?arnumber=9552195</t>
  </si>
  <si>
    <t>Perception! Immersion! Empowerment! Superpowers as Inspiration for Visualization</t>
  </si>
  <si>
    <t>Willett, Wesley; Aseniero, Bon Adriel; Carpendale, Sheelagh; Dragicevic, Pierre; Jansen, Yvonne; Oehlberg, Lora; Isenberg, Petra</t>
  </si>
  <si>
    <t>Citation Key: markant_2023_WhenDataVisualizations</t>
  </si>
  <si>
    <t>On Inconvenient Images</t>
  </si>
  <si>
    <t>If there ever was a model theme for information visualization, climate change arguably checks all the boxes. Omnipresent and relevant, yet abstract and statistical by nature, as well as invisible for the naked eye – climate change is a subject matter in need for perception and cognition support par excellence. Consequently, a large number of data journalists and science communicators utilize visual representations of climate change data to provide (a) information, and to (b) raise consciousness and encourage behavioral adaptation. Multiple design strategies have been developed to make the complex (non-)phenomenon accessible for visual perception and reasoning of public audiences. Despite of its obvious societal relevance, the visualization community has not had a systematic look at this nascent application ﬁeld until now. With this paper we aim to close this gap and survey climate change visualizations to explore their design space. With speciﬁc regard to visualizations geared to inform non-expert users in the context of journalism and science communication, we analyze a sample of representations to document design choices and communication strategies, including options of persuasive and engaging design.</t>
  </si>
  <si>
    <t>Workshop on Visualisation in Environmental Sciences (EnvirVis)</t>
  </si>
  <si>
    <t>10.2312/ENVIRVIS.20191098</t>
  </si>
  <si>
    <t>https://diglib.eg.org/handle/10.2312/envirvis20191098</t>
  </si>
  <si>
    <t>On Inconvenient Images: Exploring the Design Space of Engaging Climate Change Visualizations for Public Audiences</t>
  </si>
  <si>
    <t>Windhager, Florian; Schreder, Günther; Mayr, Eva</t>
  </si>
  <si>
    <t>8 pages</t>
  </si>
  <si>
    <t>DOI.org (Datacite)</t>
  </si>
  <si>
    <t>Citation Key: karinshak_2023_WorkingAIPersuade</t>
  </si>
  <si>
    <t>Zanan &amp; Aziz</t>
  </si>
  <si>
    <t>Visual Design Styles in Data Storytelling</t>
  </si>
  <si>
    <t>The proliferation of data analytics has led to a vast application of data visualization and storytelling in a variety of disciplines extending across banking, sports to healthcare. Data, information, and knowledge are transformed into interactive visual representations that convey a meaningful story. In big data analytics, relevant and high-quality graphical insights ought to be factually accurate and relevant to make a key decision. Data storytelling has become an effective way to apply information visualization as it can enhance communication effectiveness. Using visualization as a tool to enhance narrative for the viewers in enforcing data storytelling as a way to understand data and information. Findings suggest that an individual’s personality variations correspond strongly with a user’s preference toward visual design styles for visualization and storytelling. This paper investigates previous studies regarding personality, information visualization, narrative, and storytelling, as well as their interrelationships through online databases. The future direction of the present study.</t>
  </si>
  <si>
    <t>10.1109/ICITDA55840.2022.9971409</t>
  </si>
  <si>
    <t>https://ieeexplore.ieee.org/document/9971409/?arnumber=9971409</t>
  </si>
  <si>
    <t>A Review On The Visual Design Styles In Data Storytelling Based On User Preferences And Personality Differences</t>
  </si>
  <si>
    <t>Zanan, Muhammad Faris Basheer b. Mohd; Aziz, Madihah Sheikh Abdul</t>
  </si>
  <si>
    <t>Zyngier</t>
  </si>
  <si>
    <t>(Re)conceptualising student engagement</t>
  </si>
  <si>
    <t>Student engagement has been identified as an important precursor to student learning. Engagement, especially in the so-called problematic middle years, is now at the centre of mainstream education discussion and debate. Each discourse produces its own distinct understanding of what really defines student engagement. Three contesting epistemological constructions of student engagement are identified, seeking to answer three linked questions: whose conception of engagement is most worthwhile; what actually are the purposes of engagement and who benefits (and gets excluded) from these purposes; and finally how might we conceive of student engagement in order to achieve the twin goals of social justice and academic achievement?</t>
  </si>
  <si>
    <t>Teaching and Teacher Education</t>
  </si>
  <si>
    <t>10.1016/j.tate.2007.09.004</t>
  </si>
  <si>
    <t>https://www.sciencedirect.com/science/article/pii/S0742051X07001102</t>
  </si>
  <si>
    <t>(Re)conceptualising student engagement: Doing education not doing time</t>
  </si>
  <si>
    <t>Zyngier, David</t>
  </si>
  <si>
    <t>Hawkins</t>
  </si>
  <si>
    <t>Show Your Stripes</t>
  </si>
  <si>
    <t>Wild Example</t>
  </si>
  <si>
    <t>These ‘warming stripe’ graphics are visual representations of the change in temperature as measured in each country, region or city over the past 100+ years. Each stripe or bar represents the temperature in that country, region or city averaged over a year. The stripes typically start around the year 1900 and finish in 2023, but for many countries, regions and cities the stripes start in the 19th century or sometimes even the 18th century.</t>
  </si>
  <si>
    <t>National Centre for Atmospheric Science, University of Reading</t>
  </si>
  <si>
    <t>https://showyourstripes.info/</t>
  </si>
  <si>
    <t>Climate Stripes: Show Your Stripes</t>
  </si>
  <si>
    <t>OECD</t>
  </si>
  <si>
    <t>OECD Better Life Initiative. Your Better Life Index.</t>
  </si>
  <si>
    <t xml:space="preserve">The Better Life Index is designed to let you visualise and compare some of the key factors – like education, housing, environment, and so on – that contribute to well-being in OECD countries. It’s an interactive tool that allows you to see how countries perform according to the importance you give to each of 11 topics that make for a better life. </t>
  </si>
  <si>
    <t>http://www.oecdbetterlifeindex.org/</t>
  </si>
  <si>
    <t>OECD Better Life Index</t>
  </si>
  <si>
    <t>Periscopic</t>
  </si>
  <si>
    <t>U.S. Gun Deaths</t>
  </si>
  <si>
    <t>Gun homicide data for 2018 are taken from the Federal Bureau of Investigation’s Supplementary Homicide Report (SHR) Master Files, downloaded on June 24, 2020. This extensive dataset is recorded at the incident level, containing details about the victim, killer, weapon used, circumstance, and location of the crime. The original data covers many types of homicides but here we focus only on those involving firearms. These data are voluntarily reported by police precincts across the country as a part of the FBI’s Uniform Crime Reporting Program and represent about 90% of all eligible law enforcement agencies in the country in 2018.</t>
  </si>
  <si>
    <t>https://guns.periscopic.com/?year=2020</t>
  </si>
  <si>
    <t>U.S. Gun Killings in 2018</t>
  </si>
  <si>
    <t>US Gun Deaths</t>
  </si>
  <si>
    <t>Updated for the 2020 U.S. election, the most recent data on US gun killings: 472,332 stolen years. A look at law enforcement reported gun deaths - by @periscopic http://guns.periscopic.com/</t>
  </si>
  <si>
    <t>https://guns.periscopic.com</t>
  </si>
  <si>
    <t>United States gun death data visualization by Periscopic</t>
  </si>
  <si>
    <t>Rönnlund et al.</t>
  </si>
  <si>
    <t>Dollar Street</t>
  </si>
  <si>
    <t>Imagine the world as a street ordered by income. Everyone lives somewhere on the street. The poorest lives to the left and the richest to the right. Everybody else live somewhere in between. Welcome to visit all homes on Dollar Street! Dollar Street was invented by Anna Rosling Rönnlund at Gapminder. For 15 years she spent her workdays making global public data easier to understand and use. Over time her frustration grew: carefully selecting data to present it in colorful and moving charts made overall global trends and patterns easier to understand. But it did not make everyday life on different income levels understandable. Especially not in places far from home. “People in other cultures are often portrayed as scary or exotic.” Anna explains: “This has to change. We want to show how people really live. It seemed natural to use photos as data so people can see for themselves what life looks like on different income levels. Dollar Street lets you visit many, many homes all over the world. Without travelling.”</t>
  </si>
  <si>
    <t>https://www.gapminder.org/dollar-street</t>
  </si>
  <si>
    <t>Halloran</t>
  </si>
  <si>
    <t>Fallen of WWII</t>
  </si>
  <si>
    <t>History</t>
  </si>
  <si>
    <t>The Fallen of World War II is an interactive documentary that examines the human cost of the second World War and the decline in battle deaths in the years since the war. The 15-minute data visualization uses cinematic storytelling techniques to provide viewers with a fresh and dramatic perspective of a pivotal moment in history. The film follows a linear narration, but it allows viewers to pause during key moments to interact with the charts and dig deeper into the numbers.</t>
  </si>
  <si>
    <t>http://www.fallen.io/ww2/</t>
  </si>
  <si>
    <t>Harris</t>
  </si>
  <si>
    <t>Connecting with the dots</t>
  </si>
  <si>
    <t>Wild Reference</t>
  </si>
  <si>
    <t>Jake Harris on data visualization, empathy, and representing people with dots</t>
  </si>
  <si>
    <t>https://source.opennews.org/articles/connecting-dots/</t>
  </si>
  <si>
    <t>Connecting with the Dots</t>
  </si>
  <si>
    <t>Harris, Jacob</t>
  </si>
  <si>
    <t>Data Visualization Society</t>
  </si>
  <si>
    <t>Data Vis Society</t>
  </si>
  <si>
    <t>https://www.datavisualizationsociety.org</t>
  </si>
  <si>
    <t>Information is Beautiful</t>
  </si>
  <si>
    <t>The Information is Beautiful Awards celebrate excellence and beauty in data visualizations and infographics.</t>
  </si>
  <si>
    <t>https://www.informationisbeautifulawards.com/</t>
  </si>
  <si>
    <t>Information is Beautiful Awards</t>
  </si>
  <si>
    <t>UN</t>
  </si>
  <si>
    <t>UN SDGs</t>
  </si>
  <si>
    <t>Policy</t>
  </si>
  <si>
    <t>https://sdgs.un.org/goals</t>
  </si>
  <si>
    <t>THE 17 GOALS | Sustainable Development</t>
  </si>
  <si>
    <t>Total</t>
  </si>
  <si>
    <t>7 arguments categorized into 5 perspectives</t>
  </si>
  <si>
    <t>#</t>
  </si>
  <si>
    <t>In RAV STAR corpus?</t>
  </si>
  <si>
    <t>title</t>
  </si>
  <si>
    <t>full citation info</t>
  </si>
  <si>
    <t>venue</t>
  </si>
  <si>
    <t>research area</t>
  </si>
  <si>
    <t>primary area</t>
  </si>
  <si>
    <t>year</t>
  </si>
  <si>
    <t>paper type</t>
  </si>
  <si>
    <t>application</t>
  </si>
  <si>
    <t>usefulness</t>
  </si>
  <si>
    <t>rhetoric</t>
  </si>
  <si>
    <t>sociology</t>
  </si>
  <si>
    <t>humanism</t>
  </si>
  <si>
    <t>detailed codes</t>
  </si>
  <si>
    <t>Affecting decision making: Eliciting emotional responses during map reading through music</t>
  </si>
  <si>
    <t>Edsall, R. M. (2010). Affecting decision making: Eliciting emotional responses during map reading through music. In A special joint symposium of ISPRS Technical Commission IV &amp; AutoCarto in conjunction with ASPRS/CaGIS 2010 Fall Specialty Conference.</t>
  </si>
  <si>
    <t>A special joint symposium of ISPRS Technical Commission IV &amp; AutoCarto</t>
  </si>
  <si>
    <t>Physical Geography; Remote Sensing; Imaging Science &amp; Photographic Technology</t>
  </si>
  <si>
    <t>Physical Geography</t>
  </si>
  <si>
    <t>Theoretical &amp; Empirical</t>
  </si>
  <si>
    <t>?</t>
  </si>
  <si>
    <t>[usefulness]Social scientists are increasingly aware that cognitive processing and decision making cannot be fully understood without accounting for affect.</t>
  </si>
  <si>
    <t>We Feel Fine and Searching the Emotional Web</t>
  </si>
  <si>
    <t>Kamvar, S. D., &amp; Harris, J. (2011). We feel fine and searching the emotional web. In Proceedings of the fourth ACM international conference on Web search and data mining (pp. 117-126).</t>
  </si>
  <si>
    <t>ACM international conference on Web search and data mining</t>
  </si>
  <si>
    <t>Application</t>
  </si>
  <si>
    <t>[usefulness]In this paper, we present We Feel Fine, a project that aims to collect the world’s emotions to help people better un- derstand themselves and others; We found that creating an immersive means of interacting with individual data items directly affected the end user in line with our mission of helping people to understand themselves and others.</t>
  </si>
  <si>
    <t>Humanising data through sound: Res Extensae and a user-centric approach to data sonification</t>
  </si>
  <si>
    <t>Lenzi, S., &amp; Gleria, F. (2018). Humanising data through sound: Res Extensae and a user-centric approach to data sonification. In 24th Annual International Conference on Auditory Display (ICAD 2018) (pp. 88-96). International Community on Auditory Display.</t>
  </si>
  <si>
    <t>Annual International Conference on Auditory Display</t>
  </si>
  <si>
    <t>Representations &amp; Interaction</t>
  </si>
  <si>
    <t>[application]Sound is widely recognised in a number of disciplines, ranging from art to interface and product design through branding, as an efficient means of communicating information and emotion at the same time.
 [humanism]The quest for a data humanism [35], an approach to data design that goes beyond a merely technical relationship with the data representation and towards the story behind data itself, calls for posing the accent of data representation on the larger context. In the current perspective of sonification, where, as already noted, acousmatic sounds are mainly predominant, physical objects can play the role of mediators [36], reinforcing the narrative and embodying the acousmatic sounds into a res extensa. The subjective, often intimate relationship of an individual with the materiality and physicality of objects is part of what “authenticity can be defined by - the subjective experience through which the physicality of an object can elicit experiential, meaningful, and affective responses” [21].</t>
  </si>
  <si>
    <t>Off the map: An exploration of emotive cartography</t>
  </si>
  <si>
    <t>Preston, D. (2008). Off the map: An exploration of emotive cartography. in ANZCA08: Communication Conference: Power &amp; Place.</t>
  </si>
  <si>
    <t>ANZCA08: Communication Conference: Power &amp; Place</t>
  </si>
  <si>
    <t>[rhetoric]Maps, however, are manmade and therefore can be neither arbitrary nor free of bias, as they are a selective observation curated by their maker. They possess, however, great persuasive power, through the viewers’ belief that they are neutral carriers of factual information. This ‘power’ is contained in the maps’ value-laden systems of signs (semiotics) and linguistics</t>
  </si>
  <si>
    <t>Lan, X., Wu, Y., Chen, Q., &amp; Cao, N. (2022). The Chart Excites Me! Exploring How Data Visualization Design Influences Affective Arousal. arXiv preprint arXiv:2211.03296.</t>
  </si>
  <si>
    <t>arxiv</t>
  </si>
  <si>
    <t>[application, usefulness]DATA visualization is now widely used in mass communication in forms such as infographics, data-driven articles, and data videos [1], [2], [3]. Due to the traits of mass communication (e.g., information overload, impatient viewers), visualization designers often need to activate viewers emotionally to grasp them immediately and motivate them to read more.
 [usefulness] affective arousal is closely related to people’s reactions, behaviors, and information processing</t>
  </si>
  <si>
    <t>Intentionality and design in the data sonification of social issues</t>
  </si>
  <si>
    <t>Lenzi, S., &amp; Ciuccarelli, P. (2020). Intentionality and design in the data sonification of social issues. Big Data &amp; Society, 7(2), 2053951720944603.</t>
  </si>
  <si>
    <t>Social Sciences - Other Topics</t>
  </si>
  <si>
    <t>[application]In this scenario, the number of sonifications created to feed an emotional connection between the author and publics has increased, with sonification breaking the boundaries of scientific analysis to confront the public domain with the complexity of social issues.</t>
  </si>
  <si>
    <t>Data feminism</t>
  </si>
  <si>
    <t>D'Ignazio, C., &amp; Klein, L. F. (2020). Data feminism. MIT press.</t>
  </si>
  <si>
    <t>Book</t>
  </si>
  <si>
    <t>Computer Science; Sociology; Art</t>
  </si>
  <si>
    <t>[humanism]Data feminism teaches us to value multiple forms of knowledge, including the knowledge that comes from people as living, feeling bodies in the world.
 [rhetoric]The more plain, the more neutral; the more neutral, the more objective; and the more objective, the more ?—or so this line of reasoning goes. At a data visualization master class in 2013, workshop leaders from theGuardian newspaper held up spreadsheet data—spreadsheet data!—as an ideal for the communication of quantitative data, calling it: “Clarity without persuasion.”; Donna Harawa described data visualization, in particular, as “the god trick of seeing everything from nowhere.” The view from nowhere—from a distance, from up above, like a god—may be data visualization’s most signature feature. It’s also the most ethically complicated to navigate for the ways in which it masks the people, the methods, the questions, and the messiness that lies behind clean lines and geometric shapes. Haraway calls it the god trick: it’s a trick because it makes the viewer believe that they can see everything, all at once, from an imaginary and impossible standpoint. But it’s also a trick because what appears to be everything, and what appears to be neutral, is always what she terms a partial perspective. And in most cases of seemingly “neutral” visualizations; The logic that sets up this false binary between emotion and reason is gendered; Any communicating object that reflects choices about the selection and representation of reality is a rhetorical object; So if plain, “unemotional” visualizations are not neutral, but are actually extremely persuasive, then what does this mean for the concept of neutrality in general? All of these ideas offer alternatives to the quest for a universal objectivity—which is, of course, an unattainable goal
 [usefulness] It is important to note that emotion and visual minimalism are not incompatible here; the Periscopic visualization shows us how emotion can be leveraged alongside visual minimalism for maximal effect; Scientific researchers are now proving by experiment what designers and artists have known through practice: activating emotion, leveraging embodiment, and creating novel presentation forms help people grasp and learn more from data-driven arguments, as well as remember them more fully</t>
  </si>
  <si>
    <t>Developing concepts for an affective atlas</t>
  </si>
  <si>
    <t>Cartwright, W., Miles, A., Morris, B., Vaughan, L., &amp; Yuille, J. (2008). Developing concepts for an affective atlas. in Geospatial Vision. Springer Berlin Heidelberg, 219-234.</t>
  </si>
  <si>
    <t>Geography</t>
  </si>
  <si>
    <t>[application]Web 2.0 presents a new view on what can be done when provisioning users with cartographic materials; The spaces become more personal, the artefacts we use to make spaces ‘ours’ become more affective; However, how we use maps, that is not how cartographers make maps but how map users apply maps, produce affective maps. That is, that actual way in which they use maps, annotate them, insert personal insights of their own interpretations of geography makes the map affective.</t>
  </si>
  <si>
    <t>Humanizing data through ‘data comics’: An introduction to graphic medicine and graphic social science</t>
  </si>
  <si>
    <t>Alamalhodaei, A., Alberda, A. P., &amp; Feigenbaum, A. (2020). Humanizing data through ‘data comics’: An introduction to graphic medicine and graphic social science. Data Visualization in Society, 347.</t>
  </si>
  <si>
    <t>[humanism]In recent years data visualization scholars and practitioners have drawn attention to the need for data to be humanized (D’Ignazio &amp; Klein, 2016; Gray, Bounegru, Milan, &amp; Ciuccarelli, 2016; Kennedy, Hill, Aiello, &amp; Al- len, 2016; Lupton, 2017). Looking at possibilities for haptic and visceral data manifestations, Lupton (2017, p. 15) has called for the ‘generation of alternative or counter perspectives and greater opportunities for people to “feel” their data in ways which make sense in the context of their own lives’. In a piece that circulated around social media, data visualizer Giorgia Lupi provocatively asked, ‘Can a data visualization evoke empathy and activate us also at an emotional level, and not only at a cognitive one? Can looking at a data visualization make you feel part of a story of a human’s life?’ (2017).</t>
  </si>
  <si>
    <t>Into the image and beyond: Affective visual geographies and GIScience</t>
  </si>
  <si>
    <t>Aitken, S., &amp; Craine, J. (2009). Into the image and beyond: Affective visual geographies and GIScience. in Qualitative GIS: A mixed methods approach, 139-55.</t>
  </si>
  <si>
    <t>[usefulness]And yet, as neuroscientist Antonio Damasio (1994) has shown, emotions are a huge part of, and are not separate from, our intellectual reasoning. From this union of emotional experience and data representation, we bring forth our ‘affective geovisualization’: a methodology that attempts to elaborate how humans interact with GIS-based digital virtualized environments and datasets; we argue that one of the problems of geovisualization studies is this continued focus on computational and cognitive modeling that misses Damasio’s earlier point that emotions are essential to rational thinking and normal social and spatial behavior; And, ultimately, emotions that may push us to political acts are also anesthetized. In the same way that visual technologies create ‘a world whose reality has been progressively screened out’ (1996: 13), they also create a desensitization of responsibility and care.
 [rhetoric]We place the construction of the GIS dataset within the spaces of affective technologies in an attempt to understand the social power associated with these spaces. Haraway (1989; 1991), for example, argues how particular forms of visuality produce specific images of social difference and also how institutions, such as capitalism, mobilize certain forms of visuality to see, and to order, the world.
 [sociology]Scudéry’s Carte du pays de Tendre (Figure 8.2) is a celebrated allegory for the female association of desire with space, and an exemplar of the ways that cartography is inextricably linked with the shaping of female subjectivity (Benjamin, 1986). It highlights important passages and mobilities away from lakes of indifference, dangerous seas, and terrae incognitae to favorable villages and towns of tenderness, large hearts, reflection, sympathy, and so forth.</t>
  </si>
  <si>
    <t>Narrative design patterns for data-driven storytelling</t>
  </si>
  <si>
    <t>Bach, B., Stefaner, M., Boy, J., Drucker, S., Bartram, L., Wood, J., ... &amp; Tversky, B. (2018). Narrative design patterns for data-driven storytelling. In Data-driven storytelling (pp. 107-133). AK Peters/CRC Press.</t>
  </si>
  <si>
    <t>[application]Emotion and empathy are critical in storytelling.
 [usefulness]Empathy engages us with the story content: we pay attention, and we perceive and reflect on the message.
 [rhetoric]The classical devices of rhetoric involve logos (reason, word), ethos (character, ideal), and pathos (experience, emotion). Though we believe the ultimate goal of data-driven storytelling is to communicate truth (most closely to logos), there are traces of both pathos (see Section 2.4) and ethos in every story, which help connect the narrator with the audience.</t>
  </si>
  <si>
    <t>The emotional life of maps and other visual geographies</t>
  </si>
  <si>
    <t>Craine, J., &amp; Aitken, S. C. (2011). The emotional life of maps and other visual geographies. In Rethinking Maps (pp. 167-184). Routledge.</t>
  </si>
  <si>
    <t>[sociology]In 1654, Madelaine de Scudéry published a map of her own design to accompany the novel Clélie. Her Carte du pays de Tendre – a map of the land of tenderness – pictures a varied terrain comprised of land, sea, river, and lake and includes, along with some trees, a few bridges and a number of towns...Tom Conley (2007, 127) suggests that the map in Clélie might have been drawn in opposition to contemporaneous military cartographies, inaugurated by neo-Cartesian engineers under kings Henry IV through Louis XIV.
 [usefulness]And yet, as neuro-scientist Antonio Damasio (1994) has shown, emotions are a huge part of, and are not separate from, our intellectual reasoning. From this union of emotional experience and data representation, we bring forth our ‘affective geovisualization’: a methodology that attempts to elaborate how humans interact with GIS-based digital virtualized environments and datasets.
 [rhetoric]I want to suggest a way to proceed and, perhaps also, a way out of the dilemma of the “infinite vision,” the “promising vision from everywhere and nowhere equally and fully” applied by Donna Haraway (1991, 189 &amp; 191) when she famously christened maps and other representations of “Science” as “an illusion, a god-trick.”</t>
  </si>
  <si>
    <t>Understanding the influence of specific web GIS attributes in the formation of non?experts’ trust perceptions</t>
  </si>
  <si>
    <t>Skarlatidou, A., Wardlaw, J., Haklay, M., &amp; Cheng, T. (2011). Understanding the influence of specific Web GIS attributes in the formation of non-experts’ trust perceptions. In Advances in Cartography and GIScience. Volume 1 (pp. 219-238). Springer, Berlin, Heidelberg.</t>
  </si>
  <si>
    <t>Geography; Remote sensing</t>
  </si>
  <si>
    <t>[application]It has been almost twenty years since the introduction of the Web, which contributed to the democratisation of Geographical Information Systems (GIS); The complexity of Web GIS interfaces and the limited knowledge of non- experts in spatial data handling and GIS operations create additional HCI implications (e.g. concerns about the perceived trustworthiness of these systems).</t>
  </si>
  <si>
    <t>How Topographic Maps Affect: Experiencing Washington, DC through the Maps of the “Other”</t>
  </si>
  <si>
    <t>Kent, A., &amp; Hopfstock, A. (2019). How topographic maps affect: experiencing Washington, DC through the maps of the “other”. Cartographic Perspectives, 91, 69-83.</t>
  </si>
  <si>
    <t>Cartographic Perspectives</t>
  </si>
  <si>
    <t>[application]National mapping organizations are continually responding to these challenges to ensure their products remain relevant, for example by investing in design upgrades that preserve the essence of national styles (e.g., Ory et al. 2015) or maintain the trust of users (Skarlatidou et al. 2011). This aim becomes especially pertinent in societies where alternative mapping platforms with street-level de- tail are freely and readily available.
 [usefulness]If cartography has the potential to arouse the senses, evoke emotions, and stimulate the imagination (Gardener 2017), producers of topographic maps should expand their aware- ness of how emotion influences the design and use of their products; The aesthetics of maps, including topographic maps, can likewise influence feelings and attitudes toward the places they portray (Fabrikant et al. 2012; Muehlenhaus 2012; Kent 2005).</t>
  </si>
  <si>
    <t>Mapping emotional cartography</t>
  </si>
  <si>
    <t>Caquard, S., &amp; Griffin, A. (2018). Mapping emotional cartography. Cartographic Perspectives, (91), 4-16.</t>
  </si>
  <si>
    <t>[rhetoric, application]Propaganda maps—as well as other types of persuasive visual communication—harness the rhetorical power of emotional appeals in an attempt to shape opinions and beliefs (Tyner 2015). Although systematic empirical research on the design of persuasive maps and the efficacy of their emotional appeals is still relatively sparse (Griffin and McQuoid 2012), some interesting aspects have been unveiled. Keates (1996) wrote extensively on rhetoric and maps and noted that expert cartographers often make design choices that aim to persuade by evoking emotional responses among map readers.
 [sociology]Emotional appeals may be direct and sharp, as in the case of a World War II propaganda map that deliberately oriented the map west-up, thereby showing the USSR weighing down on Nazi Germany (Jaeger 1942)
 [usefulness]Beyond the persuasive aims of cartographic design, evoking emotional responses in map readers can influence cognitive processes such as attention, working memory, and long-term memory (Fabrikant et al. 2012; Montello, Fabrikant, and Davies 2018).</t>
  </si>
  <si>
    <t>A conversation between trees: what data feels like in the forest</t>
  </si>
  <si>
    <t>Jacobs, R., Benford, S., Selby, M., Golembewski, M., Price, D., &amp; Giannachi, G. (2013). A conversation between trees: what data feels like in the forest. In Proceedings of the SIGCHI Conference on Human Factors in Computing Systems (pp. 129-138).</t>
  </si>
  <si>
    <t>[application]Climate change is now a major topic of public concern and discussion. It is also a deeply challenging and politically charged issue, raising heated debate over whether it is happening, why it might be happening, and what we might do about it; Against this broad backdrop, we study the distinctive role played by a particular group of artists in engaging the public with climate change data; We show that the artists adopted a distinct approach that fostered an emotional engagement with data rather than an informative or persuasive one.</t>
  </si>
  <si>
    <t>A Lie Reveals the Truth: Quasimodes for Task-Aligned Data Presentation</t>
  </si>
  <si>
    <t>Ritchie, J., Wigdor, D., &amp; Chevalier, F. (2019, May). A lie reveals the truth: Quasimodes for task-aligned data presentation. In Proceedings of the 2019 CHI Conference on Human Factors in Computing Systems (pp. 1-13).</t>
  </si>
  <si>
    <t>*contributed relevant insights but no argument</t>
  </si>
  <si>
    <t>Affective color in visualization</t>
  </si>
  <si>
    <t>Bartram, L., Patra, A., &amp; Stone, M. (2017). Affective color in visualization. In Proceedings of the 2017 CHI conference on human factors in computing systems (pp. 1364-1374).</t>
  </si>
  <si>
    <t>[usefulness]We react emotionally as well as cognitively to visual imagery, and those emotions influence both how we use the information presented to us and how we are affected by its presence in our visual environment [34]. These systems are not independent; emotion can result from cognitive reasoning, and affect influences cognition [34]; there is evidence it supports problem solving [13]
 [application]Affect matters in visualization for communicative intent, engagement, and storytelling [6, 15]</t>
  </si>
  <si>
    <t>Brooke leave home: Designing a personalized film to support public engagement with open data</t>
  </si>
  <si>
    <t>Concannon, S., Rajan, N., Shah, P., Smith, D., Ursu, M., &amp; Hook, J. (2020, April). Brooke leave home: Designing a personalized film to support public engagement with open data. In Proceedings of the 2020 CHI Conference on Human Factors in Computing Systems (pp. 1-14).</t>
  </si>
  <si>
    <t>[application]The open data movement has seen increasing amounts of data published by local and national governments, relating to a wide range of societal concerns from funding and tax levels to service performance; As such, much of the public remain unable or uninspired to explore, understand and make use of open data.
 [functionallty, application]There appears to be much potential in this vision, with nascent examples demonstrating how the creative use of responsive video techniques can lead to accessible, thought-provoking and highly enjoyable experiences of data [1, 26, 28, 62] and related efforts to make data accessible and engaging using other popular storytelling forms, in particular data journalism, proving highly successful [8, 31, 52, 67]; Our findings demonstrate how an evocative character-driven video story, combined with the opportunity to explore data by re-watching from different locations, can be highly effective in fostering understanding and empathic connections with data sources and, more generally, how making data understandable, and making people care about data, can be supported through narration, locality, and emotional closeness.</t>
  </si>
  <si>
    <t>Can anthropographics promote prosociality? a review and large-sample study</t>
  </si>
  <si>
    <t>Morais, L., Jansen, Y., Andrade, N., &amp; Dragicevic, P. (2021, May). Can anthropographics promote prosociality? a review and large-sample study. In Proceedings of the 2021 CHI Conference on Human Factors in Computing Systems (pp. 1-18).</t>
  </si>
  <si>
    <t>[usefulness]These examples bear witness of practitioners’ intuitions for telling stories about individuals through their data, with the intent to make readers more empathetic and compassionate, and perhaps inspire them to act; Many studies on empathy and compassion involve charitable giving. Most charitable giving studies measure prosocial emotions (e.g., empathy or compassion) and prosocial behavior, such as do- nating or dedicating time for a cause</t>
  </si>
  <si>
    <t>Data as Delight: Eating data</t>
  </si>
  <si>
    <t>Floyd'Mueller, F., Dwyer, T., Goodwin, S., Marriott, K., Deng, J., D. Phan, H., ... &amp; Ashok Khot, R. (2021, May). Data as Delight: Eating Data. In Proceedings of the 2021 CHI Conference on Human Factors in Computing Systems (pp. 1-14).</t>
  </si>
  <si>
    <t>[application]The HCI community has a rich history of fnding new ways to engage people with data, particularly through screen-based representations. We note that there are emerging, alternative forms of data representation (e.g. [17, 122]) that consider broader emotional and multisensorial aspects of data engagement [120]. The physical representations of data [108] – “physicaliza- tions” [71] (made famous by the “dangling string” that hung from a ceiling visualizing network trafc [121]) – is one notable example.</t>
  </si>
  <si>
    <t>Data Edibilization- Representing Data with Food</t>
  </si>
  <si>
    <t>Wang, Y., Ma, X., Luo, Q., &amp; Qu, H. (2016). Data edibilization: Representing data with food. In Proceedings of the 2016 CHI Conference Extended Abstracts on Human Factors in Computing Systems (pp. 409-422).</t>
  </si>
  <si>
    <t>[application]Data communication is critical in data science. We propose data edibilization, i.e., encoding data with edible materials, as a novel approach to leverage multiple sensory channels to convey data stories.</t>
  </si>
  <si>
    <t>Dear Pictograph : Investigating the Role of Personalization and Immersion for Consuming and Enjoying Visualizations</t>
  </si>
  <si>
    <t>Romat, H., Henry Riche, N., Hurter, C., Drucker, S., Amini, F., &amp; Hinckley, K. (2020). Dear pictograph: Investigating the role of personalization and immersion for consuming and enjoying visualizations. In Proceedings of the 2020 CHI Conference on Human Factors in Computing Systems (pp. 1-13).</t>
  </si>
  <si>
    <t>[usefulness]Yet, Brehmer and Munzner [13] identify a third reason that motivates people to visualize data: enjoyment. Enjoying visualizations, while perhaps sometimes dismissed by the scientific community as insignificant, can potentially lead to deeper engagements with the data. For example, aesthetically pleasing visuals may entice people to read a visual story to its end, an important factor for storytelling as Amanda Cox from New York Times explained in a keynote [17]. Making data visualization a fun experience may motivate people to look at their personal data repeatedly and over long periods of time, promoting a deeper understanding of certain aspects of their lives, possibly increasing their well-being.</t>
  </si>
  <si>
    <t>Displayed uncertainty improves driving experience and behavior: The case of range anxiety in an electric car</t>
  </si>
  <si>
    <t>Jung, M. F., Sirkin, D., Gür, T. M., &amp; Steinert, M. (2015). Displayed uncertainty improves driving experience and behavior: The case of range anxiety in an electric car. In Proceedings of the 33rd Annual ACM Conference on Human Factors in Computing Systems (pp. 2201-2210).</t>
  </si>
  <si>
    <t>[application]Drivers build expectations about available power resources and, through often unforeseeable changes in conditions, will encounter situations in which these expectations are disappointed [3, 16]. Being surprised by what may come as a sudden lack of available range can cause anxiety and stress, and can lead to potentially hazardous situations. This concern stemming from limited range is often referred to as range anxiety</t>
  </si>
  <si>
    <t>Negative Emotions, Positive Outcomes? Exploring the Communication of Negativity in Serious Data Stories</t>
  </si>
  <si>
    <t>Lan, X., Wu, Y., Shi, Y., Chen, Q., &amp; Cao, N. (2022). Negative Emotions, Positive Outcomes? Exploring the Communication of Negativity in Serious Data Stories. In CHI Conference on Human Factors in Computing Systems (pp. 1-14).</t>
  </si>
  <si>
    <t>[application]Data stories, as a visual form that combines data visualization with narratives, interaction, embellishment, or animation [96, 104], are increasingly embraced by content producers and disseminators to communicate data to viewers. Among various communication intentions, serious data storytelling is a common goal pursued by storytellers. Unlike stories that aim to entertain the audience [103, 113], serious data stories are based on serious topics (e.g., well-being and environment) whose messages to be communicated are often negative (e.g., inequality and pollution) [64]. Therefore, these stories often seek to elicit negative emotions such as sadness and fear from viewers
 [usefulness]Besides, there is a growing agreement that negative
 emotions can be useful in triggering reflective thoughts and longlasting memory, or lead to a richer storytelling experience</t>
  </si>
  <si>
    <t>Pushing the (Visual) Narrative: The Effects of Prior Knowledge Elicitation in Provocative Topics</t>
  </si>
  <si>
    <t>Heyer, J., Raveendranath, N. K., &amp; Reda, K. (2020, April). Pushing the (visual) narrative: the effects of prior knowledge elicitation in provocative topics. In Proceedings of the 2020 CHI Conference on Human Factors in Computing Systems (pp. 1-14).</t>
  </si>
  <si>
    <t>Showing people behind data: Does anthropomorphizing visualizations elicit more empathy for human rights data?</t>
  </si>
  <si>
    <t>Boy, J., Pandey, A. V., Emerson, J., Satterthwaite, M., Nov, O., &amp; Bertini, E. (2017). Showing people behind data: Does anthropomorphizing visualizations elicit more empathy for human rights data?. In Proceedings of the CHI conference on human factors in computing systems (pp. 5462-5474).</t>
  </si>
  <si>
    <t>[application]We focus specifically on data visualizations of human rights/humanitarian (HR) issues in data driven stories, as these generally describe people’s plight, and have real potential for eliciting empathy; Many HR practitioners are concerned that describing large scale atrocities using abstract data might create “compassion fatigue” [28, 60] by distancing readers from the reality of human suffering. HR-related data are often very sensitive regarding e.g., the privacy, security, or safety of entire populations, and can seldom be presented publicly without some amount of aggregation. This makes it impossible for HR advocates to use re-identifiable information like portrait photos to humanize the data—even thought photos are known to elicit affective responses [30]—and forces them to seek out other strategies for illustrating the “human dimension” [28] of abstract data.
 [usefulness]Finally, empathy is often considered a precursor and motivator for prosocial behavior</t>
  </si>
  <si>
    <t>The Public Life of Data: Investigating Reactions to Visualizations on Reddit</t>
  </si>
  <si>
    <t>Kauer, T., Dörk, M., Ridley, A. L., &amp; Bach, B. (2021). The Public Life of Data: Investigating Reactions to Visualizations on Reddit. In Proceedings of the 2021 CHI Conference on Human Factors in Computing Systems (pp. 1-12).</t>
  </si>
  <si>
    <t>[application]Here, we are interested in how these ‘general audiences’ engage with visualizations online. As our study suggests, engagement of these non-expert audiences can be very different and include motivations beyond (collaborative) sensemaking such as entertainment [30]. There is much more to learn about how people engage with visualization in the broadest sense, including aspects such as critique [14], emotions [19], personal experience [26] and expertise, and potentially visualization literacy.
 [usefulness]People’s cultural and social context as well as the emotional condition play a considerable role when making sense of data.</t>
  </si>
  <si>
    <t>Sallam, S., Sakamoto, Y., Leboe-McGowan, J., Latulipe, C., &amp; Irani, P. (2022). Towards Design Guidelines for Effective Health-Related Data Videos: An Empirical Investigation of Affect, Personality, and Video Content. In CHI Conference on Human Factors in Computing Systems (pp. 1-22).</t>
  </si>
  <si>
    <t>[usefulness]Despite their potential to induce attitude change [20], little is explored about how to produce effective DVs. Two studies explored factors linked to the potential of health DVs to improve viewers’ behavioural change intentions.
 [application]A majority of COVID-19-related DVs, for example, focus on social distancing, mask-wearing, and vaccination, which are all actions that can be taken to reduce the spread of the disease. These videos usually show statistics and facts with a story that plays on viewers’ affect, while drawing data-driven conclusions to encourage smart decisions. In short, DVs provide data-driven actionable insights.</t>
  </si>
  <si>
    <t>Understanding Narrative Linearity for Telling Expressive Time-Oriented Stories</t>
  </si>
  <si>
    <t>Lan, X., Xu, X., &amp; Cao, N. (2021). Understanding narrative linearity for telling expressive time-oriented stories. In Proceedings of the 2021 CHI Conference on Human Factors in Computing Systems (pp. 1-13).</t>
  </si>
  <si>
    <t>[application]Five participants agreed that stories need dramatic development or variancein the telling flow to attract the audience.</t>
  </si>
  <si>
    <t>Comparing Node-Link and Node-Link-Group Visualizations From An Enjoyment Perspective</t>
  </si>
  <si>
    <t>Saket, B., Scheidegger, C., &amp; Kobourov, S. (2016, June). Comparing node?link and node?link?group visualizations from an enjoyment perspective. In Computer Graphics Forum (Vol. 35, No. 3, pp. 41-50).</t>
  </si>
  <si>
    <t>[usefulness]Moreover, we seek as a field to eventually understand the impact of enjoyment on performance; for example, positive mental states ap- pear linked to better problem-solving performance in general</t>
  </si>
  <si>
    <t>Examining the components of trust in map-based visualizations</t>
  </si>
  <si>
    <t>Xiong, C., Padilla, L., Grayson, K., &amp; Franconeri, S. (2019). Examining the components of trust in map-based visualizations. In 1st EuroVis Workshop on Trustworthy Visualization, TrustVis 2019 (pp. 19-23). The Eurographics Association.</t>
  </si>
  <si>
    <t>[usefulness]Since trust plays a significant role in how people perceive scientific information and make critical decisions with data [SSK?16,DC98], research examining trust in data communication is vital; Trust and perceived accuracy did not significantly predict which navigation application visualization participants decided to use (i.e., one with more information or less information)</t>
  </si>
  <si>
    <t>Morais, L., Andrade, N., &amp; Sousa, D. (2022). Exploring How Visualization Design and Situatedness Evoke Compassion in the Wild. In Eurographics Conference on Visualization (EuroVis) 2022.</t>
  </si>
  <si>
    <t>[usefulness]Results contribute to advancing the understanding of how visualizations can evoke emotions and their impact on prosocial behaviors, such as helping people in need
 [application]Data representations have often been used to evoke compassion in data journalism and activism [Per13, FP16, MMS20].</t>
  </si>
  <si>
    <t>Structure and Empathy in Visual Data Storytelling Evaluating their Influence on Attitude</t>
  </si>
  <si>
    <t>Liem, J., Perin, C., &amp; Wood, J. (2020). Structure and empathy in visual data storytelling: Evaluating their influence on attitude. In Computer Graphics Forum (Vol. 39, No. 3, pp. 277-289).</t>
  </si>
  <si>
    <t>[application]Visual data storytelling is often said to make visualizationscompelling, memorable, understandable, engaging, or persuasive(e.g., [MLF?12, Fig14a]). However, from an empirical perspective,there is little evidence supporting such claims</t>
  </si>
  <si>
    <t>Trust in information visualization</t>
  </si>
  <si>
    <t>Mayr, E., Hynek, N., Salisu, S., &amp; Windhager, F. (2019). Trust in Information Visualization. In TrustVis@ EuroVis (pp. 25-29).</t>
  </si>
  <si>
    <t>[usefulness]Trust is the user’s implicit or explicit tendency to rely on a visualization and to build on the information displayed. Thereby, trust is an important factor that will mediate whether the represented information is actually used
 [application]Arguably, trust is not a relevant factor for every interaction with InfoVis, but it becomes relevant when there is some kind of risk associated with the use of the information</t>
  </si>
  <si>
    <t>Affective appraisal of 3D land use visualization</t>
  </si>
  <si>
    <t>van Lammeren, R., Houtkamp, J., Colijn, S., Hilferink, M., &amp; Bouwman, A. (2010). Affective appraisal of 3D land use visualization. Computers, environment and urban systems, 34(6), 465-475.</t>
  </si>
  <si>
    <t>Computers, environment and urban systems</t>
  </si>
  <si>
    <t>Computer Science; Engineering; Environmental Sciences &amp; Ecology; Geography; Operations Research &amp; Management Science; Public Administration</t>
  </si>
  <si>
    <t>[usefulness]It is often assumed that 3D-visualization improves the cognitive understanding of scenario outcomes. There are many uncertainties, however, about the affective responses to 3D-visualization; Appreciation of the interface and visualization may influence the user’s cognitive, affective, and behavioral response (Sheppard, 2005) and may be transferred to a judgment of the system itself; Assuming that the advantages of 3D-visualizations improve understanding of land use changes and increase the appreciation of the interface, this leads to the question how the response to a visualization technique affects the appraisal of the perceived, visualized environment; 3D-icon visualization elicited the highest affective appraisals and positively influenced perception of the environmental quality. Moreover, the results demonstrated that 2D-icons and 3D-icons, compared with colored raster cells, did not improve the efficiency or accuracy of the participants in this experiment. The results provide evidence that the visualization type may influence the affective appraisal of the environment represented.</t>
  </si>
  <si>
    <t>“It’s Just a Graph” – The Effect of Post-Hoc Rationalisation on InfoVis Evaluation</t>
  </si>
  <si>
    <t>van Koningsbruggen, R., &amp; Hornecker, E. (2021). “It’s Just a Graph”–The Effect of Post-Hoc Rationalisation on InfoVis Evaluation. In Creativity and Cognition (pp. 1-10).</t>
  </si>
  <si>
    <t>Creativity and Cognition</t>
  </si>
  <si>
    <t>Computer Science; Education &amp; Educational Research</t>
  </si>
  <si>
    <t>[usefulness]Regarding emotions, we have learned that they play a crucial rule in human decision making processes [10, 39]. Furthermore, emotions influence our attention, as such affecting memorability and learning [64], and determine our behaviour, often being more powerful in doing so than our brain’s logical and rational processes [60].
 [application] Moreover, emotions are one of the key strengths of data physicalisation, data storytelling [66], and data visceralisation [37].</t>
  </si>
  <si>
    <t>RisingEMOTIONS: Bridging Art and Technology to Visualize Public’s Emotions about Climate Change</t>
  </si>
  <si>
    <t>Aragón, C., Jasim, M., &amp; Mahyar, N. (2021, June). RisingEMOTIONS: Bridging Art and Technology to Visualize Public’s Emotions about Climate Change. In Creativity and Cognition (pp. 1-10).</t>
  </si>
  <si>
    <t>[application]However, in the US, public engagement with climate change is low, especially among underrepresented populations. To address this challenge, we designed and implemented RisingEMOTIONS, a site-specific collaborative art installation situated in East Boston that combines public art with digital technology.
 [application, usefulness]Furthermore, public and participatory art practices have the potential to foster emotional connections, a major determinant of risk perception, which can invoke a sense of urgency [25, 37] and increase salience with issues of the climate emergency [8, 37].</t>
  </si>
  <si>
    <t>Affective Geovisualizations</t>
  </si>
  <si>
    <t>Aitken, S., &amp; Craine, J. (2006). Guest editorial: Affective geovisualizations. Directions Magazine, 7, 2011.</t>
  </si>
  <si>
    <t>Directions Magazine</t>
  </si>
  <si>
    <t>[usefulness]As neurologist Antonio Damasio (1994) has shown, emotions are a huge part of, and are not separate from, our intellectual reasoning; With the recognition of multimedia as a viable way to communicate geographic information, we can examine how new technologies provide new modes of data exploration and new forms of analysis and cognition through affect.
 [rhetoric]Two decades of warnings from cartographers such as Brian Harley, Denis Wood and Mark Monmonier highlight the inherent power of maps: the grotesque distortions of variety and uniqueness, the colonialism, the propaganda, the god-trick, the diminishing/submersion of certain subjects for others.</t>
  </si>
  <si>
    <t>Pfeiffer, C., Kremsner, T. P., Maier, C., &amp; Stolavetz, C. (2022). Does electricity consumption make happy? The emotional dimensions of time-scaled electricity consumption graphs for household appliances. Energy Conversion and Management: X, 16, 100279.</t>
  </si>
  <si>
    <t>Thermodynamics; Energy &amp; Fuels; Mechanics</t>
  </si>
  <si>
    <t>Thermodynamics</t>
  </si>
  <si>
    <t>[application]Due to the current situation regarding climate change, smart home energy management systems help to provide an overview of a household’s electricity consumption at appliance level by means of time-scaled visualizations. Such electricity consumption graphs need to be visually appealing to unleash potentials for a positive contri- bution to energy transition.
 [application, usefulness]On the other hand, the graphic design of such energy data visualizations must attract users in an emotional sense, since emotions have a significant impact on the intention to use a smart home energy management system</t>
  </si>
  <si>
    <t>Towards understanding enjoyment and flow in information visualization</t>
  </si>
  <si>
    <t>Saket, B., Scheidegger, C., &amp; Kobourov, S. (2015). Towards understanding enjoyment and flow in information visualization. EuroVis Short Paper.</t>
  </si>
  <si>
    <t>EuroVis Short Paper</t>
  </si>
  <si>
    <t>[usefulness]In this paper we study enjoyment, which, while arguably not the primary goal of visualization, has been shown to impact performance and memorability.</t>
  </si>
  <si>
    <t>A Walk Among the Data Exploration and Anthropomorphism in Immersive Unit Visualizations</t>
  </si>
  <si>
    <t>Ivanov, A., Danyluk, K., Jacob, C., &amp; Willett, W. (2019). A walk among the data exploration and anthropomorphism in immersive unit visualizations. IEEE Computer Graphics and Applications, 39(3), 19-28.</t>
  </si>
  <si>
    <t>[application]Taking inspiration from large and visually dramatic art pieces like these, we examine how virtual reality (VR) tools can be used to create immersive unit visualizations that represent data points as objects in virtual space. While this design space is vast, we focus on three unique properties of immersive systems: 1) enabling new experiences with visualizations that span multiple scales; 2) supporting data exploration using physical locomotion and interaction; and 3) using anthropomorphic techniques to prompt affective responses and encourage storytelling
 [sociology]The practice of using physical objects and visual marks to represent, count, and reason about referents in the world has a rich history that far predates contemporary data visualization; Anthropomorphism has a long history in human art and culture, and research in a variety of fields suggests that the presence or assertion of anthropomorphic characteristics in objects and animals tends to be associated with emotional and empathetic responses.</t>
  </si>
  <si>
    <t>Wang, Y., Segal, A., Klatzky, R., Keefe, D. F., Isenberg, P., Hurtienne, J., ... &amp; Barrass, S. (2019). An emotional response to the value of visualization. IEEE Computer Graphics and Applications, 39(5), 8-17.</t>
  </si>
  <si>
    <t>[application, sociology]DATA PHYSICALIZATION—THE PROCESS of creating data representations that can be touched, heard, tasted, and/or seen and that encode data through geometric or material properties—can be traced back to 5500 BC and has been practiced by diverse communities of scholars, artists, learners, and others; physicalizations are often designed to bring human emotion to the forefront.
 [usefulness]Cognitive science tells us that emotion and physical touch can be tied directly to motivations, actions, and learning.</t>
  </si>
  <si>
    <t>Move&amp;Find: The Value of Kinaesthetic Experience in a Casual Data</t>
  </si>
  <si>
    <t>Hurtienne, J., Maas, F., Carolus, A., Reinhardt, D., Baur, C., &amp; Wienrich, C. (2020). Move&amp;Find: The value of kinaesthetic experience in a casual data representation. IEEE Computer Graphics and Applications, 40(6), 61-75.</t>
  </si>
  <si>
    <t>[application]Most multisensory data representations, however, are employed in casual contexts where creativity, affective, physical, intellectual, and social engagement might be of greater value.</t>
  </si>
  <si>
    <t>A Micro-Phenomenological Lens for Evaluating Narrative Visualization</t>
  </si>
  <si>
    <t>Nowak, S., Bartram, L., &amp; Schiphorst, T. (2018). A micro-phenomenological lens for evaluating narrative visualization. In 2018 IEEE Evaluation and Beyond-Methodological Approaches for Visualization (BELIV) (pp. 11-18). IEEE.</t>
  </si>
  <si>
    <t>IEEE Evaluation and Beyond - Methodological Approaches for Visualization (BELIV)</t>
  </si>
  <si>
    <t>Computer Science; Engineering</t>
  </si>
  <si>
    <t>[application]Narrative visualizations aim to engage audiences, persuade, and evoke affective responses
 [usefulness]Affect matters for communicative intent and engagement [3], [6] and plays important roles in visualization [14]–[17]. Eliciting affective states enhances problem solving and reduces boredom and frustration [14], [18]; Affect and cognition are the two interdependent information processing systems used by humans [19][20]. The interplay of these systems is a critical part of processes in complex tasks involving intuition</t>
  </si>
  <si>
    <t>Affective and Effective Visualisation: Communicating Science to Non-expert Users</t>
  </si>
  <si>
    <t>Gough, P., de Berigny Wall, C., &amp; Bednarz, T. (2014). Affective and effective visualisation: Communicating science to non-expert users. In 2014 IEEE Pacific Visualization Symposium (pp. 335-339). IEEE.</t>
  </si>
  <si>
    <t>IEEE Pacific Visualization Symposium</t>
  </si>
  <si>
    <t>[application]There is a need for the general public to engage with science.</t>
  </si>
  <si>
    <t>Persuasive Data Storytelling with a Data Video during Covid-19 Infodemic: Affective Pathway to Influence the Users’ Perception about Contact Tracing Apps in less than 6 Minutes</t>
  </si>
  <si>
    <t>Sakamoto, Y., Sallam, S., Salo, A., Leboe-McGowan, J., &amp; Irani, P. (2022, April). Persuasive Data Storytelling with a Data Video during Covid-19 Infodemic: Affective Pathway to Influence the Users' Perception about Contact Tracing Apps in less than 6 Minutes. In 2022 IEEE 15th Pacific Visualization Symposium (PacificVis) (pp. 176-180). IEEE.</t>
  </si>
  <si>
    <t>[application]There are countless rumours/misinformation associated with Covid- 19 prevention during the current pandemic (i.e., infodemic); Storytelling is an effective strategy in sending out data-driven messages/insights, and during this pandemic, many organizations chose video as a medium for data storytelling
 [usefulness]With narratives that can induce emotional reactions, we can further enhance the potential of such videos so we can influence their viewers’ perception adequately to motivate healthy behaviours.</t>
  </si>
  <si>
    <t>Toward A Deep Understanding of What Makes a Scientific Visualization Memorable</t>
  </si>
  <si>
    <t>Li, R., &amp; Chen, J. (2018, October). Toward a deep understanding of what makes a scientific visualization memorable. In 2018 IEEE Scientific Visualization Conference (SciVis) (pp. 26-31). IEEE.</t>
  </si>
  <si>
    <t>IEEE Scientific Visualization Conference</t>
  </si>
  <si>
    <t>[usefulness]Affectiveness, which can be measured using sentiment analysis, can affect human creativity, trust, and analytical capacities. The affectiveness or emotional features of visualizations are often studied through interactive exploration.</t>
  </si>
  <si>
    <t>Artifacts of the presence era: Using information visualization to create an evocative souvenir</t>
  </si>
  <si>
    <t>Viégas, F. B., Perry, E., Howe, E., &amp; Donath, J. (2004, October). Artifacts of the presence era: Using information visualization to create an evocative souvenir. In IEEE Symposium on Information Visualization (pp. 105-111). IEEE.</t>
  </si>
  <si>
    <t>IEEE Symposium on Information Visualization</t>
  </si>
  <si>
    <t>[application]We posit that, as the contents of digital archives that permeate our daily lives become more emotionally charged – the accretion of all the computer-mediated conversations people have with their loved ones over email, the growing collection of digital pictures parents keep taking of their kids – data analysis ceases to be the only motivation for visualizing collections of documents. We believe that these archives need to be regarded not only as data repositories but also as the powerful catalysts for memory that they are.</t>
  </si>
  <si>
    <t>Anderson, C. L., &amp; Robinson, A. C. (2021). Affective congruence in visualization design: Influences on reading categorical maps. IEEE Transactions on Visualization and Computer Graphics.</t>
  </si>
  <si>
    <t>[usefulness]Our results suggest that affectively congruent colors amplify perceptions of the affective qualities of maps with emotive topics, affective incongruence may cause confusion, and that affective congruence is particularly influential in maps of positive-leaning data topics; Emotion also influences visual cognition. For example, positive moods have been found to increase global (vs. local) visual processing [24], and priming users with emotive content can influence their performance on simple data re- trieval tasks [25].
 [application]Cartographers have recently begun to explore the relation- ship between maps and emotion [47], [48]. Research on the emotional impacts of maps on users has primarily focused on the deliberate addition of artistic elements to maps, and on examining how these designs influence user affect [48].</t>
  </si>
  <si>
    <t>Lee-Robbins, E., &amp; Adar, E. (2022). Affective Learning Objectives for Communicative Visualizations. IEEE Transactions on Visualization and Computer Graphics.</t>
  </si>
  <si>
    <t>[usefulness, application]Rather, the designer may want their audience to agree with an appraisal (e.g., Obamacare is bad), accept an attitude (e.g., hospitals should be for-profit), or believe in a value (e.g., small government). These goals are affective intents, and cognitive learning objectives do not cover them. Affective intents are most obvious in data visualizations that are created for advocacy reasons. With these, designers are clearly trying to raise awareness or have a call to action. Advocates for a cause are not trying to hide the fact that they are taking these positions and that they want you to care about their cause too.
 [rhetoric]Communicative visualizations are rhetorical devices—they are a way to convince an audience of an idea; A key motivation for our attempt to characterize affective intents is to challenge the idea the neutrality is desirable, or even possible, in visualization; Even though there is subjectivity in data visualization, there can be an illusion of objectivity for both designers and the audience. De- signers can intentionally (or unintentionally) use conventions, such as minimalist aesthetics or the inclusion of data sources, to make data visu- alizations seem objective, factual, and transparent [36]. This perception of neutrality could also result from an association with scientific meth- ods, which are perceived as objective [17]. Designing a visualization as if the audience can see everything from a neutral perspective is what Donna Haraway calls “The God Trick” [30].</t>
  </si>
  <si>
    <t>Chemicals in the Creek- designing a situated data physicalization of open government data with the community</t>
  </si>
  <si>
    <t>Perovich, L. J., Wylie, S. A., &amp; Bongiovanni, R. (2020). Chemicals in the Creek: designing a situated data physicalization of open government data with the community. IEEE Transactions on Visualization and Computer Graphics, 27(2), 913-923.</t>
  </si>
  <si>
    <t>[application]Over the last decade growing amounts of government data have been made available in an attempt to increase transparency and civic participation, but it is unclear if this data serves non-expert communities due to gaps in access and the technical knowledge needed to interpret this “open” data.
 [usefulness]These considerations dovetail with work in data physicalization and data art where many projects aim for emotional engagement, and research in cognitive science that “tells us that emotion and physical touch can be tied directly to motivations, actions, and learning”</t>
  </si>
  <si>
    <t>Data Visceralization: Enabling Deeper Understanding of Data Using Virtual Reality</t>
  </si>
  <si>
    <t>Lee, B., Brown, D., Lee, B., Hurter, C., Drucker, S., &amp; Dwyer, T. (2020). Data visceralization: Enabling deeper understanding of data using virtual reality. IEEE Transactions on Visualization and Computer Graphics, 27(2), 1095-1105.</t>
  </si>
  <si>
    <t>[usefulness]Overall, participants thought that visceral sensations improved the experience and understanding of the physical phenomena by making it feel more believable, but was otherwise not necessary for learning exact values and numbers</t>
  </si>
  <si>
    <t>Declutter and Focus Empirically Evaluating Design Guidelines for Effective Data Communication</t>
  </si>
  <si>
    <t>Ajani, K., Lee, E., Xiong, C., Knaflic, C. N., Kemper, W., &amp; Franconeri, S. (2021). Declutter and focus: Empirically evaluating design guidelines for effective data communication. IEEE Transactions on Visualization and Computer Graphics, 28(10), 3351-3364.</t>
  </si>
  <si>
    <t>Designing for Social Data Analysis</t>
  </si>
  <si>
    <t>Wattenberg, M., &amp; Kriss, J. (2006). Designing for social data analysis. IEEE transactions on visualization and computer graphics, 12(4), 549-557.</t>
  </si>
  <si>
    <t>[usefulness] The Target Audience and the Surprise Factor: A surprising observation is that many people outside the target audience found themselves enjoying the applet. The surprise here is not the authors’, but the users’ themselves; This “surprise factor” is a reason for optimism. It is common to want users to explore a set of data that they may have little inherent interest in. A good example is the amount of effort and money that American companies spend to encourage their employees to understand 401(k) plans. It is therefore worthwhile to look for clues to what made the NameVoyager appeal to people who profess boredom with the topic of baby names.</t>
  </si>
  <si>
    <t>Lan, X., Shi, Y., Wu, Y., Jiao, X., &amp; Cao, N. (2022). Kineticharts: Augmenting Affective Expressiveness of Charts in Data Stories with Animation Design. IEEE Transactions on Visualization and Computer Graphics, 28(1), 933-943.</t>
  </si>
  <si>
    <t>[application]Recent years have witnessed an increasing prevalence of data-driven storytelling in various fields [73, 78]. To make data stories attractive, compelling, and attention-grabbing, designers and storytellers often seek to improve the affective expressiveness of their stories, namely to elicit emotions, moods, or feelings from viewers [4,6,43]
 [usefulness]There is also evidence that eliciting affects can enhance learning, improve memorability, and facilitate decision making</t>
  </si>
  <si>
    <t>Multiple Forecast Visualizations (MFVs): Trade-offs in Trust and Performance in Multiple COVID-19 Forecast Visualizations</t>
  </si>
  <si>
    <t>Padilla, L., Fygenson, R., Castro, S. C., &amp; Bertini, E. (2022). Multiple Forecast Visualizations (MFVs): Trade-offs in Trust and Performance in Multiple COVID-19 Forecast Visualizations. IEEE Transactions on Visualization and Computer Graphics, 29(1), 12-22.</t>
  </si>
  <si>
    <t>[application]The prevalence of inadequate SARS-COV-2 (COVID-19) responses may indicate a lack of trust in forecasts and risk communication. However, no work has empirically tested how multiple forecast visualization choices impact trust and task-based performance.
 [application, usefulness]Visualization techniques used to communicate COVID-19 forecasts are an understudied factor that contributes to trust. As millions worldwide turn to visualizations to understand their pandemic health risks [37], we need to understand how visualization decisions impact trust, ultimately influencing willingness to follow recommendations.</t>
  </si>
  <si>
    <t>Participatory visualization with wordle</t>
  </si>
  <si>
    <t>Viegas, F. B., Wattenberg, M., &amp; Feinberg, J. (2009). Participatory visualization with wordle. IEEE transactions on visualization and computer graphics, 15(6), 1137-1144.</t>
  </si>
  <si>
    <t>[application]users seem to revel in the possible applications: scientists wordle genetic functions, fans wordle music videos, teachers wordle literary texts, spouses wordle love letters, kids wordle their thoughts, and journalists wordle political speeches. Wordles have made their way into corporate PowerPoint slides and houses of worship; they have adorned T-shirts, magazine covers and comfy cushions. Wordles have graced YouTube videos, homemade gifts, posters, scrapbooks, birthday cards, and valentines; Emotional resonance seems to be a key reason for preference of wordles over tag clouds.</t>
  </si>
  <si>
    <t>Lan, X., Shi, Y., Zhang, Y., &amp; Cao, N. (2021). Smile or scowl? looking at infographic design through the affective lens. IEEE Transactions on Visualization and Computer Graphics, 27(6), 2796-2807.</t>
  </si>
  <si>
    <t>[application, usefulness]INFOGRAPHICS, as visual communication devices that use visualizations, text descriptions, and embellishments to convey data, knowledge, and insights [1], [2], have been increasingly applied to domains such as journalism and marketing to attract, persuade, or educate audiences [3].When designing infographics, designers often desire to trigger affective responses from viewers, as affect (people’ s emotion, mood, or feeling) is a critical intelligence of human beings that drives decision-making more intuitively and swiftly than logic does [4]. More specifically, an affect-stirring infographic is felt more interesting, persuasive, and thought-provoking, and can catalyze motivations, learning, and actions [3]</t>
  </si>
  <si>
    <t>The Elicitation Interview Technique: Capturing People’s Experiences of Data Representations</t>
  </si>
  <si>
    <t>Hogan, T., Hinrichs, U., &amp; Hornecker, E. (2015). The elicitation interview technique: Capturing people's experiences of data representations. IEEE transactions on visualization and computer graphics, 22(12), 2579-2593.</t>
  </si>
  <si>
    <t>[application]Application areas of information visualization no longer just focus on the support of analytical tasks of domain experts, but include everyday, casual scenarios [1], ranging from personal reminiscing [2], [3], storytelling [4], browsing for personal interest or edutainment [5], [6], [7], to community-driven urban scenarios [8]. Studies that investigate people’s experiences with visualizations from a qualitative point of view are important to deepen our understanding of the role of visualization in society, to inform design, and to inspire new research questions; When we talk about “experience” in this context, we mean personal responses to a visualization system that go beyond interaction and usability aspects but focus on capturing hedonistic, emotional, and sensory reactions to the visualization as well as personal interpretations, meaning, and opinions that it may trigger.</t>
  </si>
  <si>
    <t>Visual Mementos: Reflecting Memories with Personal Data</t>
  </si>
  <si>
    <t>Thudt, A., Baur, D., Huron, S., &amp; Carpendale, S. (2015). Visual mementos: Reflecting memories with personal data. IEEE transactions on visualization and computer graphics, 22(1), 369-378.</t>
  </si>
  <si>
    <t>[application]This huge amount of data can lead to an emotional alienation from digital collections and complicate people’s construction of meaning and connection to their past. These issues have made the creation and exploration of digital mementos an active research topic in Human Computer Interaction and Ubiquitous Computing; In this paper, we propose visual mementos as a new application area for visualization and study reactions to a technology probe for creating visual mementos.</t>
  </si>
  <si>
    <t>Affective Palettes for Scientific Visualization: Grounding Environmental Data in the Natural World</t>
  </si>
  <si>
    <t>Samsel, F., Abram, G., Zeller, S., &amp; Keefe, D. (2021, October). Affective Palettes for Scientific Visualization: Grounding Environmental Data in the Natural World. In 2021 IEEE VIS Arts Program (VISAP) (pp. 20-34). IEEE.</t>
  </si>
  <si>
    <t>IEEE VIS Arts Program</t>
  </si>
  <si>
    <t>[usefulness]The combination of our color-associated predatory instincts and affective response provides us with a geographical sense of place—a borderless concept defined by our relationship to an environment [4, 7]; By mimicking palettes anthropologically and evolutionarily intrinsic to our understanding of the world, we can visually re-establish the connection between big environmental data and its source, allowing us to quickly adopt new and semantically appropriate encoding systems for improved analysis and communication.</t>
  </si>
  <si>
    <t>Zeller, S., Samsel, F., &amp; Bartram, L. (2022). Affective, Hand-Sculpted Glyph Forms for Engaging and Expressive Scientific Visualization. In 2022 IEEE VIS Arts Program (VISAP) (pp. 1-6). IEEE.</t>
  </si>
  <si>
    <t>[usefulness]Affect plays a significant role in communication, engagement, and problem-solving for all categories of visual imagery. The emergent, affective quality of any image—composed of specific color, shape, form, composition, and textural properties—amplifies, augments, and moderates our sensemaking concerning its content.</t>
  </si>
  <si>
    <t>Altering our Perception of Smartphones through Noise: Introducing the Affection Research Lab</t>
  </si>
  <si>
    <t>Orara, S. (2017). Altering our perception of smartphones through noise: Introducing the affection research lab. In 2017 IEEE VIS Arts Program (VISAP) (pp. 1-6). IEEE.</t>
  </si>
  <si>
    <t>Art, affect and color: Creating engaging expressive scientific visualization</t>
  </si>
  <si>
    <t>Samsel, Francesca, Lyn Bartram, and Annie Bares. "Art, affect and color: Creating engaging expressive scientific visualization." 2018 IEEE VIS Arts Program (VISAP). IEEE, 2018.</t>
  </si>
  <si>
    <t>[application]As the complexity of scientific data and the needs to communicate the science have grown, the requirements for visualization design and use have become more sophisticated. We increasingly need more effective ways of communicating the science across multiple audiences, including non-experts in the field. The challenges of enriching the representation have moved from the more naive ideas of making it ”aesthetically attractive” to more profound constructs of visual language: how to enhance nuances in the data, and how to support more expressive visualizations that elicit different cognitive and communicative affect to tell the science story.
 [usefulness]This evocation of connection, feeling, reflection, or emotion is central to the creation of engaging experience: a communicative intent increasingly articulated by scientists who want non-experts to understand not only their data but also the import and implications of their findings.</t>
  </si>
  <si>
    <t>Beyond Data: Abstract Motionscapes as Affective Visualization</t>
  </si>
  <si>
    <t>Feng, C., Bartram, L., &amp; Gromala, D. (2017). Beyond data: Abstract motionscapes as affective visualization. Leonardo, 50(2), 205-206.</t>
  </si>
  <si>
    <t>[application]We argue that motionscapes that are commonly employed in artistic contexts can be appropriated for the design space of human-computer interaction (HCI) as a rich modality for affective visualization.</t>
  </si>
  <si>
    <t>ESSYS* Sharing #UC: An Emotion-driven Audiovisual Installation</t>
  </si>
  <si>
    <t>Rebelo, S. M., Seiça, M., Martins, P., Bicker, J., &amp; Machado, P. (2022). ESSYS* Sharing# UC: An Emotion-driven Audiovisual Installation. In 2022 IEEE VIS Arts Program (VISAP) (pp. 1-6). IEEE.</t>
  </si>
  <si>
    <t>[application]Since the advent of computers, in the 1950s, several artists, computer scientists, and creative practitioners had sporadically explored computational approaches and Artificial Intelligence techniques as the foundation for their artworks [4]; Recently, designers and artists also began to collect sentiment and emotional data (mostly online data from social media platforms) with the aim of developing audiovisual artefacts that reflect, in some way, the thoughts, emotions, and feelings present in these data.</t>
  </si>
  <si>
    <t>HeartBees: Visualizing Crowd Affects</t>
  </si>
  <si>
    <t>Qin, C. Y., Constantinides, M., Aiello, L. M., &amp; Quercia, D. (2020). Heartbees: Visualizing crowd affects. In 2020 IEEE VIS Arts Program (VISAP) (pp. 1-8). IEEE.</t>
  </si>
  <si>
    <t>[application, usefulness]Research in the area of organizational behavior has accumulated abundant evidence that affective sharing within groups activates a positive self-reinforcing spiral that strengthens coordination and empathy among members [47]. Supporting emotional intelligence at the collective level is therefore important to increase both people’s well- being and their chances of success when cooperating. This objective poses one main challenge: one needs to create a representation of the collective emotional state that is relatable and universally accessible. To overcome this challenge, since the 70s, bio-feedback has been a widely employed mind-body technique to help people gain control over involuntary bodily functions</t>
  </si>
  <si>
    <t>SkyGlyphs: Reflections on the Design of a Delightful Visualization</t>
  </si>
  <si>
    <t>Adriel Aseniero, B., Carpendale, S., Fitzmaurice, G., &amp; Matejka, J. (2022). SkyGlyphs: Reflections on the Design of a Delightful Visualization. In 2022 IEEE VIS Arts Program (VISAP) (pp. 1-6). IEEE.</t>
  </si>
  <si>
    <t>[application]Beyond supporting typical data analysis and exploration tasks, designers of nonconventional datavis consider the aesthetics of their datavis and anticipate how their designs fit into people’s routines and environments.
 [usefulness]Like traditional datavis, nonconventional datavis can lead people to form deeper insights about their data [26]. Furthermore, designers have designed nonconventional datavis that elicit pleasant emotions through aesthetic appeal [5] and provide enjoyable experiences overall [24]. We call this subset as “delightful visualizations.”</t>
  </si>
  <si>
    <t>Tied in Knots. A Case Study on Anthropographic Data Visualization About Sexual Harassment in the Academy</t>
  </si>
  <si>
    <t>Elli, T., Bradley, A., Collins, C., Hinrichs, U., Hills, Z., &amp; Kelsky, K. (2020). Tied in Knots: A Case Study on Anthropographic Data Visualization About Sexual Harassment in the Academy. In 2020 IEEE VIS Arts Program (VISAP) (pp. 29-44). IEEE.</t>
  </si>
  <si>
    <t>[application]We discuss how we approached the task of visualizing sensitive, uncomfortable, yet important topics in terms of data-mapping and visual representation, including the appropriateness of computational vs. manual approaches to help foreground relevant themes.
 [rhetoric]The idea that data is purely objective has been already challenged in the field of visualization, for example in the digital humanities [5] and more recently by the feminist movement [2]: data is not ‘the truth’, it may be subjected to political powers and it may perpetrate idiosyncrasies or imbalances against minorities. We decided to lean on this concept and to not fear the idea that the data may embed subjective aspects, provided they can help in bringing to light the most contemplative and disturbing aspects of SH in the academy.</t>
  </si>
  <si>
    <t>What public visualization can learn from street art</t>
  </si>
  <si>
    <t>Claes, S., &amp; Vande Moere, A. (2014). What public visualization can learn from street art. IEEE VIS Arts Program (VISAP).</t>
  </si>
  <si>
    <t>[application]As public visualization is receiving more attention - in academic research as well as in everyday practice - we need to consider the physical environment as an important intrinsic component of its design. We propose that one should not disconnect a public visualization from the context in which it is read, as its immediate environment carries various meanings that influence its perception and interpretation. As the concept of street art also employs invisible meanings that are present in the environment in order to convey a message, it can act as a valuable resource for public visualization designers; To serve this purpose, casual infovis tends to borrow techniques from the arts in order to evoke curiosity, puzzlement, or even frustration, as well as to establish aesthetically pleasing designs.</t>
  </si>
  <si>
    <t>Wrongfully right: applications of semantic figurative metaphors in information visualization</t>
  </si>
  <si>
    <t>Cruz, P. (2015). Wrongfully right: applications of semantic figurative metaphors in information visualization. IEEE VIS Arts Program (VISAP), 14-21.</t>
  </si>
  <si>
    <t>[application]I emphasize that it is communicational and emotional driven. The three works presented here fall in the umbrella term “casual information visualization” [25]. Casual Infovis is characterized by targeting a broader audience, including a wide spectrum of users, from experts to novices. The usage pat- tern of these users can include both momentary and contemplative usages of the visualizations. Furthermore, the relationship of the user with the data is more tightly coupled, since the authors of casual information visualization are not strictly interested in pro- viding analytical insights, but instead focus on providing aware- ness, social and reflective insights.</t>
  </si>
  <si>
    <t>Is Visualization Struggling under the Myth of Objectivity?</t>
  </si>
  <si>
    <t>JGrgenson, L., Kriz, B. R., Tech, V., &amp; Mones-Hattal, B. (1995). Is Visualization Struggling under the Myth of Objectivity?. IEEE VIS Conference.</t>
  </si>
  <si>
    <t>IEEE VIS Conference</t>
  </si>
  <si>
    <t>[usefulness]Perhaps we do not sufficiently understand the underlying cognitive processes. Or possibly we need to develop a proper objective basis of evaluation and assessment. Or maybe we have not taken account of the inherently subjective nature of visual apprehension; Visualization relies on subjective interpretation; contextual cues are usually derived from “common” experience which are neither guaranteed to be common or commonly integrated into personal experience. Visualization is resistant to the systematic evaluation and assessment procedures common to science; it still remains difficult to ascertain if a particular instantia- tion has been “successful”.
 [application]The fine artists’ definition of “a problem” to solve may well never include getting a program to run, but rather what to do with the program to affect the viewer’s life. The artists’ non-linear approach constantly reaches out, striving for options and “what ifs” to stimulate thinking, creativity and affect the emotions; Artists work to achieve variations in visual expres- sion, and may at times strive for the viewer to experience the emotional turmoil embedded in the art form. The artists’ tools of line, shape, form, contrast, color, scale, composition, and movement (enhanced by the potential of CGI) are manipulated in order to affect the emotions and, at its zenith, the passions in others.</t>
  </si>
  <si>
    <t>Hung, Y. H., &amp; Parsons, P. (2018). Affective engagement for communicative visualization: quick and easy evaluation using survey instruments. In conference: visualization for communication (VisComm): an IEEE VIS Workshop At: Berlin, Germany.</t>
  </si>
  <si>
    <t>IEEE VIS Workshop</t>
  </si>
  <si>
    <t>[application]As visual science communication faces a shift from the traditional exploratory vs. explanatory paradigm to their confluence [1, 67],more broad and diverse visualizations have emerged to fill a new communicative role for visualization. This direction is consistent with a growing movement in InfoVis research and practice to expand beyond performance-related concerns to investigate issues related to the broader user experience, where affect, enjoyment, and other non-utilitarian concerns take precedence over performance and usability(e.g., [9,20,28,50]).</t>
  </si>
  <si>
    <t>Understanding User Experience of COVID-19 Maps through Remote Elicitation Interviews</t>
  </si>
  <si>
    <t>Cay, D., Nagel, T., &amp; Yantaç, A. E. (2020, October). Understanding user experience of COVID-19 maps through remote elicitation interviews. In 2020 IEEE Workshop on Evaluation and Beyond-Methodological Approaches to Visualization (BELIV) (pp. 65-73). IEEE.</t>
  </si>
  <si>
    <t>IEEE Workshop on Evaluation and Beyond-Methodological Approaches to Visualization (BELIV)</t>
  </si>
  <si>
    <t>[application]In a pandemic setting, where large amounts of the world population are socially dis- tancing themselves, it becomes an urgent need to refine existing user experience evaluation methods for remote settings to understand how people make sense out of COVID-19 related visualizations. When evaluating visualizations aimed towards the general public with vastly different socio-demographic backgrounds and varying levels of technical savviness and data literacy, it is important to un- derstand user feedback beyond aspects such as speed, task accuracy, or usability problems.</t>
  </si>
  <si>
    <t>Effects of uncertainty and cognitive load on user trust in predictive decision making</t>
  </si>
  <si>
    <t>Zhou, J., Arshad, S. Z., Luo, S., &amp; Chen, F. (2017). Effects of uncertainty and cognitive load on user trust in predictive decision making. In IFIP conference on human-computer interaction (pp. 23-39). Springer, Cham.</t>
  </si>
  <si>
    <t>IFIP conference on human-computer interaction</t>
  </si>
  <si>
    <t>[usefulness, application]Trust has been found to be a critical factor driving human behavior in human-machine interactions with autonomous systems [1] and more recently in modern complex high-risk domains such as aviation and military command and control</t>
  </si>
  <si>
    <t>Campbell, S., &amp; Offenhuber, D. (2019). Feeling numbers: The emotional impact of proximity techniques in visualization. Information Design Journal, 25(1), 71-86.</t>
  </si>
  <si>
    <t>Art; Computer Science</t>
  </si>
  <si>
    <t>Art</t>
  </si>
  <si>
    <t>[rhetoric, usefulness]Data visualizations, being means of communication themselves, are used as rhetorical instruments, but how they persuade has yet to be fully understood. Based on George Campbell’s rhetorical theory, this paper presents the results of an empirical study testing the effectivenessof appeals to emotion through proximity techniques; This paper is based on the premise that there is
 no single objective way to visualize data; In crafting a rhetori- cal argument, Aristotle distinguishes between three different modes of persuasion: logos, ethos and pathos; Booth defines this as the rhetorical stance (1963). If the modes are unbalanced, the stance can be corrupted. The argument is the most successful when each mode is valued (Booth 1963).
 [application]Perhaps the most obvious connec- tion between classical rhetoric and data visualization can be found in the field of data journalism, the tight integration of data representations into textual narratives. Data storytelling comprises a set of methods for creating and evaluating data-driven stories; Visual forms of persuasion that rely on graphical rather than textual techniques
 can be found in the domain of persuasive and political cartography</t>
  </si>
  <si>
    <t>Subjectivity in personal storytelling with visualization</t>
  </si>
  <si>
    <t>Carpendale, S., Thudt, A., Perin, C., &amp; Willett, W. (2017). Subjectivity in personal storytelling with visualization. Information Design Journal, 23(1), 48-64.</t>
  </si>
  <si>
    <t>[application]Personal narratives are a fundamental form of human communication and serve as means for strengthening interpersonal relationships, communicating a value system, and offering self-presentation (Langellier, 1989). On a daily basis, people share accounts of mundane and memorable episodes from a personal perspective and sometimes include humor, irony, or embellishments (Langellier, 1989; Labov, 1967). This subjective interpretation is an integral part of personal narratives and distinguishes them from merely factual reports (Robinson, 1981).</t>
  </si>
  <si>
    <t>Kennedy, H., Hill, R. L., Aiello, G., &amp; Allen, W. (2016). The work that visualisation conventions do. Information, Communication &amp; Society, 19(6), 715-735.</t>
  </si>
  <si>
    <t>Communication; Sociology</t>
  </si>
  <si>
    <t>[rhetoric]In this paper, we argue that conventions work to imbue visualisations with the quality of objectivity (which brings together other qualities such as transparency, scientific-ness and facticity). This produces the impression that visualisations are showing the facts, telling it like it is, offering windows onto data. It is not visualisation designers who are creating this sense of objec- tivity, we propose, but rather the conventions on which they necessarily draw in producing visualisations.</t>
  </si>
  <si>
    <t>Visualization criticism - the missing link between information visualization and art</t>
  </si>
  <si>
    <t>Kosara, R. (2007). Visualization criticism-the missing link between information visualization and art. In International Conference Information Visualization (IV'07) (pp. 631-636). IEEE.</t>
  </si>
  <si>
    <t>International Conference Information Visualization</t>
  </si>
  <si>
    <t>[application]One aesthetic criterion of particular interest is the sublime. The sublime can be understood as that which inspires awe, grandeur, and evokes a deep emotional and/or intellectual response. Works of art generally possess a sublime quality, making them enigmatic and captivating at the same time.</t>
  </si>
  <si>
    <t>Emotional Response to Map Design Aesthetics</t>
  </si>
  <si>
    <t>Fabrikant, S. I., Christophe, S., Papastefanou, G., Lanini-Maggi, S., Xiao, N., Kwan, M. P., &amp; Lin, H. (2012). Emotional response to map design aesthetics. in Seventh International Conference on Geographic Information Science</t>
  </si>
  <si>
    <t>International Conference on Geographic Information Science</t>
  </si>
  <si>
    <t>Geography; Computer Science</t>
  </si>
  <si>
    <t>[application]While cartographers have developed principles for the systematic application of color in maps (Bertin 1967/1983), and produced widely used software to support users in selecting appropriate color schemes (Brewer, 2012), the psychological reaction to color has not been systematically studied in cartography, and cognate disciplines (Robinson, 1967); our research agenda is driven by this fundamental research question: How might display design, human emotion and affect (i.e., aesthetic response) interact with cognition and perception during spatio-temporal inference making with visuo-spatial displays?</t>
  </si>
  <si>
    <t>Muller, L., Turner, G., Khut, G., &amp; Edmonds, E. (2006, July). Creating affective visualisations for a physiologically interactive artwork. In International Conference on Information Visualisation (IV'06) (pp. 651-657). IEEE.</t>
  </si>
  <si>
    <t>International Conference on Information Visualisation</t>
  </si>
  <si>
    <t>[application]Creating unusual, evocative and thought provoking ways of representing different kinds of information is central to a great deal of computer-based contemporary art practice [1, 2]. In artistic contexts the affective qualities of these visualisations are at least as important as their ability to convey information efficiently and accurately. The simulation and provocation of affective states is becoming increasingly desirable in Human– Computer Interaction studies in general as the number of personal communication and entertainment technologies increases [3, 4].
 [usefulness]There is evidence in the reports that the rings encouraged experimentation and play, which deepened engagement; The focus group confirmed the engaging effect of the rings (which they described as doughnuts) as positively contributing to more than one of the artist’s affective goals.</t>
  </si>
  <si>
    <t>Paralinguistic recommendations for affective word clouds</t>
  </si>
  <si>
    <t>Kulahcioglu, T., &amp; De Melo, G. (2019). Paralinguistic recommendations for affective word clouds. In Proceedings of the 24th International Conference on Intelligent User Interfaces (pp. 132-143).</t>
  </si>
  <si>
    <t>International Conference on Intelligent User Interfaces</t>
  </si>
  <si>
    <t>[application]Word clouds are widely used for non-analytic purposes, such as introducing a topic to students, or creating a gift with personally meaningful text. Surveys show that users prefer tools that yield word clouds with a stronger emotional impact.</t>
  </si>
  <si>
    <t>Designing sound in cybercartography: from structured cinematic narratives to unpredictable sound/image interactions</t>
  </si>
  <si>
    <t>Caquard, S., Brauen, G., Wright, B., &amp; Jasen, P. (2008). Designing sound in cybercartography: from structured cinematic narratives to unpredictable sound/image interactions. International Journal of Geographical Information Science, 22(11-12), 1219-1245.</t>
  </si>
  <si>
    <t>International Journal of Geographical Information Science</t>
  </si>
  <si>
    <t>Computer Science; Geography; Physical Geography; Information Science &amp; Library Science</t>
  </si>
  <si>
    <t>[application]Artists combine sound with maps to convey emotions and perceptions that are geospatial in character. In small communities, artists and residents annotate maps of their neighborhood with audio and video files in order to influence the way their community is represented, perceived and understood; Without undermining the value and the importance of these kinds of approaches, it is also important to conceptualize sound as an opportunity to bring different spatial dimensions into cartographic representations, including those that address emotion, culture and memory.
 [usefulness]Exploring the way places convey emotions helps understanding how we interact with these places and with people in these places. These emotions can be mapped and explored with the use of sound in order to expand the meaning of the map beyond its primarily functionalist dimension. The challenge for future research will be to further develop our understanding of how (sound) maps can capture and convey emotional geographies.</t>
  </si>
  <si>
    <t>Diagnosing blood pressure with Acoustic Sonification singing bowls</t>
  </si>
  <si>
    <t>Barrass, S. (2016). Diagnosing blood pressure with Acoustic Sonification singing bowls. International Journal of Human-Computer Studies, 85, 68-71.</t>
  </si>
  <si>
    <t>Computer Science; Engineering; Psychology</t>
  </si>
  <si>
    <t>[usefulness]Hypertension, or high blood pressure, is a common disorder of the circulatory system, affecting around one in seven adult Aus- tralians. It is also known as “the silent killer” because there are no symptoms, and many people are unaware that they have this potentially fatal condition. The association of singing bowls with meditation and relaxation adds a narrative of contemplation and reflection on the dataset that could motivate behaviour change and self-healing.</t>
  </si>
  <si>
    <t>Combining virtual reality and narrative visualisation to persuade</t>
  </si>
  <si>
    <t>Bastiras, J., &amp; Thomas, B. H. (2017, November). Combining virtual reality and narrative visualisation to persuade. In 2017 International Symposium on Big Data Visual Analytics (BDVA) (pp. 1-8). IEEE.</t>
  </si>
  <si>
    <t>International Symposium on Big Data Visual Analytics</t>
  </si>
  <si>
    <t>[usefulness]This paper combines narrative visualisations with modern 3D virtual reality technology to create an effective and focused presentation that persuades the user of a given theory or opinion. The aim of this is to show using virtual reality creates a more pleasing experience and allows a more powerful connection to be made between the user and the information.
 [application]Complicated datasets combined with an emotionally charged debate is an ideal subject to test the advantages of narrative visualisation.</t>
  </si>
  <si>
    <t>Interactive data visualization enhances preventive intentions in COVID-19 news stories: The mediating role of fear and the moderating role of political orientation</t>
  </si>
  <si>
    <t>Oh, J., &amp; Hwang, A. H. C. (2021). Interactive data visualization enhances preventive intentions in COVID-19 news stories: The mediating role of fear and the moderating role of political orientation. Journal of Broadcasting &amp; Electronic Media, 65(4), 479-504.</t>
  </si>
  <si>
    <t>Journal of Broadcasting &amp; Electronic Media</t>
  </si>
  <si>
    <t>Communication; Film, Radio &amp; Television</t>
  </si>
  <si>
    <t>[application]As the fear and anxiety related to the infection and symptoms of COVID-19 is on the rise, the role of news agencies that feature the details of scientific information related to the virus and pandemic has become increasingly more significant; These recent examples suggest that big data visualization has a significant potential to enhance the impact of health news when it supports the main theme of the news stories cohesively.
 [usefulness]Especially, literature in both interactivity and visual communication has long suggested how the audience’s emotional responses can be leveraged to drive behavioral and attitudinal changes</t>
  </si>
  <si>
    <t>At the Intersection of Maps and Emotion : The Challenge of Spatially Representing Experience</t>
  </si>
  <si>
    <t>Griffin, A., &amp; McQuoid, J. (2012). At the intersection of maps and emotion: The challenge of spatially representing experience. Kartographische Nachrichten, 62(6), 291-299.</t>
  </si>
  <si>
    <t>Kartographische Nachrichten</t>
  </si>
  <si>
    <t>[humanism, application]Calls for a more humanized version of geospatial technoligies have been heard since the mid 1990s; this paper reviews recent humanistic cartography; We argue that the time is ripe in cartography to engage with this element of human experience, as new data collection methodologies and Web 2.0-derived data sources provide the potential to open up whole new worlds for cartographers to more fully map the human experience, including emotions, and in so doing, to make a significant contribution to a richer understanding of human geographies.
 [application]Changes in the relationship between people and technology are also opening up new potential methods for representing emotion in space; One example of the great potential for personal media data in catographies of emotion is found in a study concerned with the relationship between 'mind-wandering' and subjective levels of happiness.</t>
  </si>
  <si>
    <t>When is information visualization art? Determining the critical criteria</t>
  </si>
  <si>
    <t>Ramirez Gaviria, A. (2008). When is information visualization art? Determining the critical criteria. Leonardo, 41(5), 479-482.</t>
  </si>
  <si>
    <t>Leonardo</t>
  </si>
  <si>
    <t>[application]Although an objective distinction between the two categories (*functional information visualizations &amp; aesthetic information visualizations) is unattainable — since no visualization is ever entirely either one or the other — I postulate a possible simplification: that functional information visualizations aim to convey a message or delineate patterns hidden in the represented data through metaphors that users can quickly understand, while aesthetic information visualizations are more concerned with presenting a subjective impression of a data set by eliciting a visceral or emotive response from the user.</t>
  </si>
  <si>
    <t>Detecting insight and emotion in visualization applications with a commercial EEG headset</t>
  </si>
  <si>
    <t>Cernea, D., Kerren, A., &amp; Ebert, A. (2011, November). Detecting insight and emotion in visualization applications with a commercial EEG headset. In Proceedings of SIGRAD 2011. Evaluations of Graphics and Visualization—Efficiency; Usefulness; Accessibility; Usability; November 17-18; 2011; KTH; Stockholm; Sweden (No. 065, pp. 53-60). Linköping University Electronic Press.</t>
  </si>
  <si>
    <t>Proceedings of SIGRAD</t>
  </si>
  <si>
    <t>[application]In this paper, we look at insight from the spectrum of information visualization. In particular, we inspect the possible correlation between epiphanies and emotional responses subjects experience when having an insight.</t>
  </si>
  <si>
    <t>"Self-Quaranteens" process COVID-19: Understanding information visualization language in memes</t>
  </si>
  <si>
    <t>Perovich, L. J., Alper, M., &amp; Cleveland, C. (2022). " Self-Quaranteens" Process COVID-19: Understanding Information Visualization Language in Memes. Proceedings of the ACM on Human-Computer Interaction, 6(CSCW1), 1-20.</t>
  </si>
  <si>
    <t>[application]The surge of COVID-19 visualizations in the public sphere reflects an urgent need to educate the population about the ongoing situation, to keep people informed and engaged, and to encourage participation in related public health efforts such as social distancing and vaccination; We outline four main ways that data visualization language is used in these memes-as a coarse indicator, as a visual analogy, as an opportunity for augmentation with emotion or interpretation, and as a visual pun-as well as two ways that memes leverage traditional and emerging approaches in the information visualization community.
 [usefulness]Memes often highlight emotion and some scholars believe memes succeed in part because their affective qualities cause people to share them [55, 56]. Emotion is similarly of increasing interest in information visualization as it plays an important role in motivation, action, and learning [85] and can be an important component of visualization-based science communication and community dialogue with non-expert populations [26, 69, 88].</t>
  </si>
  <si>
    <t>An Interdisciplinary Approach to Mapping through Scientific Cartography, Design and Artistic Expression</t>
  </si>
  <si>
    <t>Gardener, J., Cartwright, W., &amp; Duxbury, L. (2017). An interdisciplinary approach to mapping through scientific cartography, design and artistic expression. Proceedings of the International Cartographic Association, 1, 1-6.</t>
  </si>
  <si>
    <t>Proceedings of the International Cartographic Association</t>
  </si>
  <si>
    <t>[application]Experience of a place apprehended through the senses, emotions and intellect, is fundamental to perception of that place; Artists have long utilised the map as a storytelling platform, a method to explore their understandings and relationship to space and place.</t>
  </si>
  <si>
    <t>Beyond visualization: Mapping genocide</t>
  </si>
  <si>
    <t>McCleary, G. F. (2003). Beyond visualization: mapping genocide. In NN, 2003, Proceedings of the 21st International Cartographic Conference (pp. 1827-1834).</t>
  </si>
  <si>
    <t>Proceedings of the International Cartographic Conference</t>
  </si>
  <si>
    <t>Geography; Physical Geography; Remote Sensing</t>
  </si>
  <si>
    <t>[application]For some map topics, it is not enough simply to convey information or to represent the data accurately, nor to complete the map-based task efficiently...There is no mechanical, no manufactured, cartographic solution that will convey the horror of catastrophe and calamity such as genocide...How can the mapmaker do this...how does one create displays that capture the minds and emotions of the map user?
 [usefulness]Effective communication takes place only when a bridge is built between content and emotional impact, connecting the two components and assuring that both are given equal consideration. any one-dimensional communication focusing on only one of these components is incomplete and ineffective.</t>
  </si>
  <si>
    <t>Amini, F., Riche, N. H., Lee, B., Leboe-McGowan, J., &amp; Irani, P. (2018, May). Hooked on data videos: assessing the effect of animation and pictographs on viewer engagement. In Proceedings of the 2018 International Conference on Advanced Visual Interfaces (pp. 1-9).</t>
  </si>
  <si>
    <t>Proceedings of the International Conference on Advanced Visual Interfaces</t>
  </si>
  <si>
    <t>[application, usefulness]Pictographic representations and animation techniques are com- monly incorporated into narrative visualizations such as data videos. General belief is that these techniques may enhance the viewer experience, thus appealing to a broad audience and enticing the viewer to consume the entire video.</t>
  </si>
  <si>
    <t>Red balloon, green balloon, sensors in the sky</t>
  </si>
  <si>
    <t>Kuznetsov, S., Davis, G. N., Paulos, E., Gross, M. D., &amp; Cheung, J. C. (2011, September). Red balloon, green balloon, sensors in the sky. In Proceedings of the 13th international conference on Ubiquitous computing (pp. 237-246).</t>
  </si>
  <si>
    <t>Proceedings of the international conference on Ubiquitous computing</t>
  </si>
  <si>
    <t>Computer Science; Telecommunications</t>
  </si>
  <si>
    <t>[application]We introduce spectacle computing as a playful and powerful approach to enable non-experts to view environmental data and project this information into the public sphere.
 [usefulness]More broadly, these approaches can serve to playfully engage everyday citizens in designing and building ubiquitous technologies that monitor issues of personal concern; Moreover, other playful objects can be appropriated as sensors to support explorations of overlooked or hard-to- reach spaces</t>
  </si>
  <si>
    <t>Allen, W. L. (2018). Visual brokerage: Communicating data and research through visualisation. Public Understanding of Science, 27(8), 906-922.</t>
  </si>
  <si>
    <t>Communication; History &amp; Philosophy of Science</t>
  </si>
  <si>
    <t>[usefulness]Another factor that scholars of political communication and psychology say influences how people engage with information is emotion (Van Kleef et al., 2015). According to these approaches, expe- riencing an emotion such as sadness, anxiety or contentment when encountering information makes it more likely that a person will subsequently react to the information in a way that fits with that emotion. Visualisations also present information in particular ways – some of which, inten- tionally or not, elicit emotions in viewers. These emotions can shape how people interpret and engage with the information and visualisation.
 [rhetoric]They are communicative products in their own rights, intentionally and unintentionally privileging some values (e.g. scientific objec- tivity) over others, such as enjoyment or amusement (Kennedy et al., 2016a). Finally, viewers themselves hold perceptions about knowledge brokers and their outputs, ascribing levels of credibility to each.</t>
  </si>
  <si>
    <t>Zhang, Y., Fjeld, M., Fratarcangeli, M., Said, A., &amp; Zhao, S. (2021). Affective colormap design for accurate visual comprehension in industrial tomography. Sensors, 21(14), 4766.</t>
  </si>
  <si>
    <t>Chemistry; Engineering; Instruments &amp; Instrumentation</t>
  </si>
  <si>
    <t>Chemistry</t>
  </si>
  <si>
    <t>[application]The design of colormaps can help tomography operators obtain accurate visual comprehension, thereby assisting safety-critical decisions.The research presented here is about deploying colormaps that promote the best affective responses for industrial microwave tomography (MWT).
 [usefulness]We also found that the colormaps triggering emotions in the positive–exciting quadrant can facili- tate more accurate visual comprehension than other affect-related quadrants.</t>
  </si>
  <si>
    <t>Carto-Fiction: Narrativising Maps through Creative Writing</t>
  </si>
  <si>
    <t>Peterle, G. (2019). Carto-fiction: narrativising maps through creative writing. Social &amp; Cultural Geography, 20(8), 1070-1093.</t>
  </si>
  <si>
    <t>Social &amp; Cultural Geography</t>
  </si>
  <si>
    <t>[application]Working closely with artists and art-based practices, geographers have been stimulated to rethink their traditional research tools, engaging more thoroughly with ‘storytelling’ as a means to express emotion and subjectivity and to convey a deeper understanding of spatial experience in academic research</t>
  </si>
  <si>
    <t>Kennedy, H., &amp; Hill, R. L. (2017). The feeling of numbers: Emotions in everyday engagements with data and their visualisation. Sociology, 52(4), 830-848.</t>
  </si>
  <si>
    <t>[usefulness]We draw on an empirical study to show a wide range of emotional engagements with diverse aspects of data and their visualisation, and so demonstrate the importance of emotions as vital components of making sense of data; we argue that data are as much felt as they are experi- enced cognitively and rationally.
 [sociology]Visualisation has its roots in the Enlightenment pursuit of rational knowledge about an external world (Friendly, 2008; Manovich, 2011), a pursuit which differentiated reason from that which exists outside it – ‘passion, prejudice, madness, subjectivity, superstition, magic, tradition’ (Ramazanoglu and Holland, 2002: 28). In this context, reason has a valorised position as a route to objective truths about the world, truths which cannot be accessed when emotion obstructs judgement, so the Enlightenment logic goes. This reason/emotion binary has, of course, been widely cri- tiqued, by sociologists of emotions (Bericat, 2015; Hochschild, 1990), feminist philoso- phers (most notably Lloyd, 1993) and others. Critics have sought to redeem the epistemological value of emotions and the role they play in knowing, deciding, engaging and being (e.g. Jaggar, 1989).
 [rhetoric]Privileging the rational over the emotional, as the rhetoric of quantification does, also means privileging some groups over others. This is because certain groups (often white, middle-class men) are better equipped to understand mathematical and statistical infor- mation, not because they are more naturally capable of doing so, but because they are significantly better represented in maths, science and computing subjects at school and beyond.</t>
  </si>
  <si>
    <t>Cruel pies: The inhumanity of technical illustrations</t>
  </si>
  <si>
    <t>Dragga, S., &amp; Voss, D. (2001). Cruel pies: The inhumanity of technical illustrations. Technical communication, 48(3), 265-274.</t>
  </si>
  <si>
    <t>[rhetoric, humanism]As a result, in certain rhetorical situations-especially in the reporting of human fatalities-conventional illustrations offer inhumanity as though it were objectivity.
 [humanism] Such images are the visual equivalent of referring to human beings as "which" instand of "who"-a minor grammatical error but. potentially serious ethical failture; Several objections might potentially be raised to adoping a humanistic ethic and including humanizing images within a graphics display: it would be unnecessary, unscientific, and distracting; it would complicate the visual, or violate conventions and theoretical principles of design. Yes, it would. And that’s the whole point. A humanistic ethic would require us to perceive sensitivity and efficacy as at least equally important, as reciprocal and recursive influences on the design of visual communication.</t>
  </si>
  <si>
    <t>Kostelnick, C. (2016). The re-emergence of emotional appeals in interactive data visualization. Technical Communication, 63(2), 116-135.</t>
  </si>
  <si>
    <t>[sociology]Emotional appeals during the nineteenth century focused primarily on color and design novelty, which, by appealing largely to the senses, fostered emotional responses such as excitement and curiosity.
 [usefulness]In short, the emotional (“pathetic”) and the rational must go hand in hand to construct persuasive speeches (p. 201); In short, emotion can complement rather than contradict logical analysis, an important theoretical insight for data design where emotion and reason are often placed at odds.</t>
  </si>
  <si>
    <t>How Real Is Too Real? User-Testing the Effects of Realism as a Risk Communication Strategy in Sea Level Rise Visualizations</t>
  </si>
  <si>
    <t>Richards, D. P., &amp; Jacobson, E. E. (2022). How real is too real? User-testing the effects of realism as a risk communication strategy in sea level rise visualizations. Technical Communication Quarterly, 31(2), 190-206.</t>
  </si>
  <si>
    <t>Technical Communication Quarterly</t>
  </si>
  <si>
    <t>[usefulness, application]By intersecting realism, certainty, and emotional appeals, this type of user research ultimately helps designers of visual risk communication better, more holistically unpack rhetorical assumptions as to the efficacy of realism as a rhetorical design strategy in risk mapping contexts.
 [application, rhetoric]As such, we target the rhetorical assumption that characterizes many environmental risk-related visualizations: Realism, and often hyper-realism, as a design choice is positively correlated with emotional engage- ment and more effective messaging – or, that higher degrees of realism elicit more positive or urgent emotional reactions.
 [sociology]We are, according to Charles Kostelnick (2016), living in a moment – brought about largely by the advent of online interactive graphics such as NOAA’s sea level rise viewer – that rivals the “golden age” of data visualization in the nineteenth century with the legitimization of emotional appeals.
 [application]The balance between these two spectra – accuracy in user understanding (real/abstract) and evocation in emotional appeals (emotion/apathy) in realistic risk visualizations – is precarious and in need of empirically based calibrations because the balance strikes at the heart of the relationship between science and rhetoric, specifically as mediated through simulation.</t>
  </si>
  <si>
    <t>Feminist cartography and the united nations sustainable development goal on gender equality: Emotional responses to three thematic maps</t>
  </si>
  <si>
    <t>Pirani, N., Ricker, B. A., &amp; Kraak, M. J. (2019). Feminist cartography and the United Nations Sustainable Development Goal on gender equality: Emotional responses to three thematic maps. The Canadian Geographer/Le Géographe canadien, 64(2), 184-198.</t>
  </si>
  <si>
    <t>The Canadian Geographer</t>
  </si>
  <si>
    <t>[usefulness]Feminist critiques of cartography, geographic information systems, and data visualization recog- nize emotion and affect as legitimate experiences, on par with quantitative methods of knowing. Rational responses are insufficient to describe everyday engagement with data. Emotions are significant in how users experience and engage with data and their visualizations, and are influenced by design, visual style, subject matter, source, and users’ visualization literacy skills (Kennedy and Hill 2017); Maps have emotive properties. Though emotions influence learning and go beyond representational means of knowing (Aitken and Craine 2009), their influence in users’ experience of data visualizations and maps has largely been overlooked.
 [rhetoric]Equating data to “just facts” suggests a belief that data are just numbers, dissociated from the women and girls they characterize, that the numbers come across as impersonal and objective. But as Hill et al. (2016) write, data are not neutral, but are shaped in particular ways. Feminist critiques question the objectivity of data.</t>
  </si>
  <si>
    <t>Egocentric design of map-based mobile services</t>
  </si>
  <si>
    <t>Meng, L. (2005). Egocentric design of map-based mobile services. The Cartographic Journal, 42(1), 5-13.</t>
  </si>
  <si>
    <t>The Cartographic Journal</t>
  </si>
  <si>
    <t>[usefulness, application]Many users do not consult a map at all unless they are disoriented or seized with a panic (Muehrcke, 1992). Situations that cause troubles are often demanding situations involving many error-prone spatial decisions. Emotionally unstable users may behave entirely differently from what they would likely do in normal situations. Some may experience a memory black-out, while others may on the contrary show an increased performance of information processing. Even the same user may react differently on similar panics that occur on different occasions. The design pattern ‘affective emphasis’ has the goal to encode the spatial information with symbols that do not necessarily carry additional information, but can possibly invoke positive emotions, thus calm down a panic.</t>
  </si>
  <si>
    <t>Elements of Vivid Cartography The Cartography of Climate Change in United States Media</t>
  </si>
  <si>
    <t>Fish, C.S. (2021). Elements of Vivid Cartography. The Cartographic Journal, 58(2), 150-166.</t>
  </si>
  <si>
    <t>[application, usefulness]These cartographers at major news organizations and government agencies in the United States aim to follow cartographic best practices to present the facts clearly through maps, but also want to persuade audiences by connecting with map readers’ emotions that they hope will lead to changes in attitude or behaviour without being propagandist.
 [usefulness]Research has shown that simply presenting facts is often not enough for someone to take action to solve these types of socio-environmental problems; information must not only be presented accurately but also must connect with readers’ emotions.</t>
  </si>
  <si>
    <t>I Never Use “Maps” Anymore’: Engaging with Sat Nav Technologies and the Implications for Cartographic Literacy and Spatial Awareness</t>
  </si>
  <si>
    <t>Speake, J., &amp; Axon, S. (2012). “I never use ‘maps’ anymore”: Engaging with Sat Nav technologies and the implications for cartographic literacy and spatial awareness. The cartographic journal, 49(4), 326-336.</t>
  </si>
  <si>
    <t>[application]It is also paradoxical that at a time of widespread and increasing adoption of Satellite Navigation (Sat Nav) technologies, cartographic and geographic research has engaged very little with issues relating to their impact on spatial awareness and cartographic literacy.</t>
  </si>
  <si>
    <t>If Looks Could Kill: The Impact of Different Rhetorical Styles on Persuasive Geocommunication</t>
  </si>
  <si>
    <t>Muehlenhaus, I. (2012). If looks could kill: The impact of different rhetorical styles on persuasive geocommunication. The Cartographic Journal, 49(4), 361-375.</t>
  </si>
  <si>
    <t>[rhetoric]Rhetoric can be used to achieve that crucial communicative goal of eliciting an emotional reaction from the audience, better connecting them to the rational, or even irrational, argument being presented; All maps are rhetorical devices; some are better rhetorical devices than others. Many maps are created with the sole purpose of attempting to change, cement or reinforce an audience’s opinion.
 [application, sociology]Propaganda maps (frequently a synonym for persuasive maps created by state governments) are the most common topic of study. Maps created by the Nazis, Soviets and other historically vilified governments have been extensively examined as politically motivated communication tools (Herb, 1999, 1989; Monmonier, 1996, 2004). Indeed, some of the literature on propaganda maps is itself propaganda. During the Second World War, there were several admonitions to the public not to necessarily believe what Axis maps show (see, for example, Starkey, 1942). In the early stages of the Cold War, Boggs (1947) even went so far as to give the danger of map persuasion a name – ‘cartohypnosis’.
 [usefulness]Keates (1996) notes that through practice, superb cartographers figure out how to successfully mix emotional, artistic design with data to create maps that both inform and sway an audience to a particular argument. Research in graphic design has established that effective information architects and designers do this as well, often blending emotional visual cues with data to impress an audience.</t>
  </si>
  <si>
    <t>The effects of map projectionsand map distance on emotional involvement with places</t>
  </si>
  <si>
    <t>Gilmartin, P., &amp; Lloyd, R. (1991). The effects of map projections and map distance on emotional involvement with places. The Cartographic Journal, 28(2), 145-151.</t>
  </si>
  <si>
    <t>[usefulness]If people respond differently to a place as a function of distance to it, this clearly would underscore the importance of map projections in shaping our conceptions of and attitudes toward other places. If people know where a place is in the world, and if its distance from 'home' is not exaggerated by an inappropriate projection, their interest and involvement in events there may be enhanced.</t>
  </si>
  <si>
    <t>Beyond Usability and Performance- A Review of User Experience-focused Evaluations in Visualization</t>
  </si>
  <si>
    <t>Saket, B., Endert, A., &amp; Stasko, J. (2016). Beyond usability and performance: A review of user experience-focused evaluations in visualization. In Proceedings of the Sixth Workshop on Beyond Time and Errors on Novel Evaluation Methods for Visualization (pp. 133-142).</t>
  </si>
  <si>
    <t>Workshop on Beyond Time and Errors on Novel Evaluation Methods for Visualization</t>
  </si>
  <si>
    <t>[usefulness]As Rogers et al. advocate, designs should meet both usability goals and user experience goals[54]. User experience goals complement traditional usability goals to provide more holistic evaluations; Pleasure is recognized with occurrenthappiness and excitement, which can be explained in terms of belief,desire, and thought. Furthermore, enjoyable and fun experiencesmake people smile [41, 55].</t>
  </si>
  <si>
    <t>10.1109/TVCG.2012.272</t>
  </si>
  <si>
    <t>10.1016/j.ergon.2012.07.006</t>
  </si>
  <si>
    <t>10.1016/j.ecss.2013.04.017</t>
  </si>
  <si>
    <t>10.1109/TVCG.2016.2598588</t>
  </si>
  <si>
    <t>10.1109/TVCG.2021.3050118</t>
  </si>
  <si>
    <t>10.1057/s41599-023-02459-3</t>
  </si>
  <si>
    <t>10.1038/s43247-023-00856-9</t>
  </si>
  <si>
    <t>10.1177/10506519231161611</t>
  </si>
  <si>
    <t>10.3390/app131910857</t>
  </si>
  <si>
    <t>10.1186/s12889-024-19541-3</t>
  </si>
  <si>
    <t>10.1186/s42408-024-00278-8</t>
  </si>
  <si>
    <t>10.1109/TVCG.2023.3248319</t>
  </si>
  <si>
    <t>10.1080/15230406.2024.2334454</t>
  </si>
  <si>
    <t>10.1109/TVCG.2024.3352282</t>
  </si>
  <si>
    <t>Happiness, Surprise, Excitement, Content, Awe, Hope, Sadness, Concern, Shock, Overwhelmed, Bored, Annoyance</t>
  </si>
  <si>
    <r>
      <t xml:space="preserve">affective responses are associated with designs of infographics.
-positive and negative affects located at opposite ends (of their mapping) means people are unlikely to experience positive and negative feelings at the same time when looking at infographics.
-some affective responses are blended, e.g, happy, excited, content.
-surprise spans a large area around the origin, meaning it is less discriminating and often associated either positively or negatively (with other valenced emotions).
-bored, overwhelmed, annoyed were triggered by low usability (complex encodings) in infographic design, which may hinder user engagement
-they developed design heuristics that either deal with usability (accessibility, readabilit, messaging, and credibility). </t>
    </r>
    <r>
      <rPr>
        <b/>
        <sz val="9"/>
        <color theme="1"/>
        <rFont val="Arial (Body)"/>
      </rPr>
      <t xml:space="preserve">relevant findings: content associated with comprehensible encodings, overwhelmed with too much information/complexity, clear reading path led to happy and content, detailed explanation of datavis (readability) associated with happy. nothing much reported for credibility.
-embodiment - topic-relevant imagery as emebellishment associated with happy, high/low coloufrulness for positive/negative tone associated with happy, not much response re: semantically-resonant colours
-narrative: key facts emphasized associated with surprised; uniqueness- novel datavis technique assocaited with happiness. all other scores were not strong
</t>
    </r>
    <r>
      <rPr>
        <sz val="9"/>
        <color theme="1"/>
        <rFont val="Arial (Body)"/>
      </rPr>
      <t xml:space="preserve">-They followed this up with a user study to test the design heuristics. Overall the users (n=15) found the heuristics useful and easy to use
</t>
    </r>
    <r>
      <rPr>
        <b/>
        <sz val="9"/>
        <color theme="1"/>
        <rFont val="Arial (Body)"/>
      </rPr>
      <t xml:space="preserve">ON MEASURING AFFECTIVE RESPONSE: </t>
    </r>
    <r>
      <rPr>
        <sz val="9"/>
        <color theme="1"/>
        <rFont val="Arial (Body)"/>
      </rPr>
      <t>challenging still in many ways. some affective descriptors are blended. affective responses are also dynamic as a user experiences a visualization- moving from positive to negative and back, or vice versa. they suggest building more standardized measurements</t>
    </r>
  </si>
  <si>
    <t>"Given such challenges, we propose that more work should be done to look into the uncertainties of affective design in infographics as well as the interrelationship between different design factors."</t>
  </si>
  <si>
    <t>English speaking</t>
  </si>
  <si>
    <t>general, USA</t>
  </si>
  <si>
    <t>Likert scale for each of 12 emotions. Free labeling method inspired by prior work (e.g., Mikels 2005 emotional category data on images from the interantional affective picture system)</t>
  </si>
  <si>
    <t>37 avg</t>
  </si>
  <si>
    <t>collected from Kantar Information is Beautiful awards, and Visual.ly.
They had to be in English</t>
  </si>
  <si>
    <t>245, 490</t>
  </si>
  <si>
    <t>26, 15</t>
  </si>
  <si>
    <t>summary statistics, CI, corresponsdence analysis, chi square</t>
  </si>
  <si>
    <t>initial crowdsource study to establish emotional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</si>
</sst>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yyyy\-mm\-dd\ hh:mm:ss"/>
    <numFmt numFmtId="166" formatCode="yyyy\-m"/>
    <numFmt numFmtId="167" formatCode="d\-m"/>
    <numFmt numFmtId="168" formatCode="yyyy\-mm"/>
  </numFmts>
  <fonts count="79">
    <font>
      <sz val="10"/>
      <color rgb="FF000000"/>
      <name val="Arial"/>
      <scheme val="minor"/>
    </font>
    <font>
      <sz val="11"/>
      <color theme="1"/>
      <name val="Arial"/>
      <family val="2"/>
      <scheme val="minor"/>
    </font>
    <font>
      <sz val="11"/>
      <color theme="1"/>
      <name val="Arial"/>
      <family val="2"/>
    </font>
    <font>
      <u/>
      <sz val="11"/>
      <color rgb="FF000000"/>
      <name val="&quot;Aptos Narrow&quot;"/>
    </font>
    <font>
      <sz val="11"/>
      <color rgb="FF000000"/>
      <name val="&quot;Aptos Narrow&quot;"/>
    </font>
    <font>
      <u/>
      <sz val="11"/>
      <color rgb="FF0000FF"/>
      <name val="Arial"/>
      <family val="2"/>
    </font>
    <font>
      <u/>
      <sz val="11"/>
      <color rgb="FF0000FF"/>
      <name val="Arial"/>
      <family val="2"/>
    </font>
    <font>
      <u/>
      <sz val="11"/>
      <color rgb="FF0000FF"/>
      <name val="Arial"/>
      <family val="2"/>
    </font>
    <font>
      <sz val="11"/>
      <color rgb="FF000000"/>
      <name val="Arial"/>
      <family val="2"/>
    </font>
    <font>
      <u/>
      <sz val="11"/>
      <color rgb="FF000000"/>
      <name val="&quot;Aptos Narrow&quot;"/>
    </font>
    <font>
      <sz val="10"/>
      <color theme="1"/>
      <name val="Arial"/>
      <family val="2"/>
      <scheme val="minor"/>
    </font>
    <font>
      <u/>
      <sz val="11"/>
      <color rgb="FF0000FF"/>
      <name val="Arial"/>
      <family val="2"/>
    </font>
    <font>
      <u/>
      <sz val="11"/>
      <color rgb="FF000000"/>
      <name val="&quot;Aptos Narrow&quot;"/>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00"/>
      <name val="&quot;Aptos Narrow&quot;"/>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00"/>
      <name val="&quot;Aptos Narrow&quot;"/>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FF"/>
      <name val="Arial"/>
      <family val="2"/>
    </font>
    <font>
      <u/>
      <sz val="11"/>
      <color rgb="FF000000"/>
      <name val="&quot;Aptos Narrow&quot;"/>
    </font>
    <font>
      <u/>
      <sz val="11"/>
      <color rgb="FF0000FF"/>
      <name val="Arial"/>
      <family val="2"/>
    </font>
    <font>
      <u/>
      <sz val="11"/>
      <color rgb="FF0000FF"/>
      <name val="Arial"/>
      <family val="2"/>
    </font>
    <font>
      <u/>
      <sz val="11"/>
      <color rgb="FF0000FF"/>
      <name val="Arial"/>
      <family val="2"/>
    </font>
    <font>
      <b/>
      <sz val="9"/>
      <color rgb="FF000000"/>
      <name val="Arial"/>
      <family val="2"/>
      <scheme val="minor"/>
    </font>
    <font>
      <b/>
      <sz val="9"/>
      <color theme="1"/>
      <name val="Arial"/>
      <family val="2"/>
      <scheme val="minor"/>
    </font>
    <font>
      <sz val="9"/>
      <color theme="1"/>
      <name val="Arial"/>
      <family val="2"/>
      <scheme val="minor"/>
    </font>
    <font>
      <u/>
      <sz val="9"/>
      <color rgb="FF0000FF"/>
      <name val="Arial"/>
      <family val="2"/>
    </font>
    <font>
      <u/>
      <sz val="9"/>
      <color rgb="FF0000FF"/>
      <name val="Arial"/>
      <family val="2"/>
    </font>
    <font>
      <u/>
      <sz val="9"/>
      <color rgb="FF0000FF"/>
      <name val="Arial"/>
      <family val="2"/>
    </font>
    <font>
      <u/>
      <sz val="9"/>
      <color rgb="FF0000FF"/>
      <name val="Arial"/>
      <family val="2"/>
    </font>
    <font>
      <u/>
      <sz val="9"/>
      <color rgb="FF0000FF"/>
      <name val="Arial"/>
      <family val="2"/>
    </font>
    <font>
      <u/>
      <sz val="9"/>
      <color rgb="FF0000FF"/>
      <name val="Arial"/>
      <family val="2"/>
    </font>
    <font>
      <u/>
      <sz val="9"/>
      <color rgb="FF0000FF"/>
      <name val="Arial"/>
      <family val="2"/>
    </font>
    <font>
      <u/>
      <sz val="11"/>
      <color rgb="FF000000"/>
      <name val="&quot;Aptos Narrow&quot;"/>
    </font>
    <font>
      <u/>
      <sz val="9"/>
      <color rgb="FF000000"/>
      <name val="Arial"/>
      <family val="2"/>
    </font>
    <font>
      <sz val="9"/>
      <color rgb="FF000000"/>
      <name val="Arial"/>
      <family val="2"/>
      <scheme val="minor"/>
    </font>
    <font>
      <u/>
      <sz val="9"/>
      <color rgb="FF0000FF"/>
      <name val="Arial"/>
      <family val="2"/>
    </font>
    <font>
      <b/>
      <u/>
      <sz val="9"/>
      <color rgb="FF0000FF"/>
      <name val="Arial"/>
      <family val="2"/>
    </font>
    <font>
      <sz val="9"/>
      <color rgb="FF1F1F1F"/>
      <name val="Arial"/>
      <family val="2"/>
      <scheme val="minor"/>
    </font>
    <font>
      <u/>
      <sz val="9"/>
      <color rgb="FF1F1F1F"/>
      <name val="Arial"/>
      <family val="2"/>
    </font>
    <font>
      <u/>
      <sz val="11"/>
      <color rgb="FF0000FF"/>
      <name val="Arial"/>
      <family val="2"/>
    </font>
    <font>
      <u/>
      <sz val="9"/>
      <color rgb="FF000000"/>
      <name val="Arial"/>
      <family val="2"/>
    </font>
    <font>
      <sz val="10"/>
      <color theme="1"/>
      <name val="Arial"/>
      <family val="2"/>
    </font>
    <font>
      <b/>
      <sz val="10"/>
      <color theme="1"/>
      <name val="Arial"/>
      <family val="2"/>
    </font>
    <font>
      <sz val="10"/>
      <color theme="1"/>
      <name val="Arial"/>
      <family val="2"/>
      <scheme val="minor"/>
    </font>
    <font>
      <sz val="10"/>
      <color theme="1"/>
      <name val="Arial"/>
      <family val="2"/>
    </font>
    <font>
      <u/>
      <sz val="10"/>
      <color rgb="FF0000FF"/>
      <name val="Arial"/>
      <family val="2"/>
    </font>
    <font>
      <sz val="10"/>
      <color rgb="FF000000"/>
      <name val="Arial"/>
      <family val="2"/>
    </font>
    <font>
      <sz val="10"/>
      <color rgb="FF333333"/>
      <name val="Arial"/>
      <family val="2"/>
      <scheme val="minor"/>
    </font>
    <font>
      <sz val="10"/>
      <color rgb="FF000000"/>
      <name val="&quot;Lucida Grande&quot;"/>
    </font>
    <font>
      <sz val="10"/>
      <color rgb="FF333333"/>
      <name val="Arial"/>
      <family val="2"/>
    </font>
    <font>
      <u/>
      <sz val="10"/>
      <color rgb="FF1155CC"/>
      <name val="Arial"/>
      <family val="2"/>
    </font>
    <font>
      <sz val="10"/>
      <color rgb="FF1F1F1F"/>
      <name val="Arial"/>
      <family val="2"/>
      <scheme val="minor"/>
    </font>
    <font>
      <u/>
      <sz val="10"/>
      <color rgb="FF0000FF"/>
      <name val="Arial"/>
      <family val="2"/>
    </font>
    <font>
      <sz val="10"/>
      <color rgb="FF000000"/>
      <name val="&quot;Helvetica Neue&quot;"/>
    </font>
    <font>
      <b/>
      <sz val="10"/>
      <color rgb="FF000000"/>
      <name val="&quot;Helvetica Neue&quot;"/>
    </font>
    <font>
      <sz val="9"/>
      <name val="Arial"/>
      <family val="2"/>
    </font>
    <font>
      <sz val="9"/>
      <color theme="1"/>
      <name val="Arial (Body)"/>
    </font>
    <font>
      <u/>
      <sz val="9"/>
      <color rgb="FF0000FF"/>
      <name val="Arial (Body)"/>
    </font>
    <font>
      <i/>
      <sz val="9"/>
      <color theme="1"/>
      <name val="Arial (Body)"/>
    </font>
    <font>
      <b/>
      <sz val="9"/>
      <color theme="1"/>
      <name val="Arial (Body)"/>
    </font>
    <font>
      <sz val="9"/>
      <color rgb="FF000000"/>
      <name val="Arial (Body)"/>
    </font>
    <font>
      <u/>
      <sz val="10"/>
      <color theme="10"/>
      <name val="Arial"/>
      <family val="2"/>
      <scheme val="minor"/>
    </font>
  </fonts>
  <fills count="29">
    <fill>
      <patternFill patternType="none"/>
    </fill>
    <fill>
      <patternFill patternType="gray125"/>
    </fill>
    <fill>
      <patternFill patternType="solid">
        <fgColor rgb="FFD9D9D9"/>
        <bgColor rgb="FFD9D9D9"/>
      </patternFill>
    </fill>
    <fill>
      <patternFill patternType="solid">
        <fgColor rgb="FFA2C4C9"/>
        <bgColor rgb="FFA2C4C9"/>
      </patternFill>
    </fill>
    <fill>
      <patternFill patternType="solid">
        <fgColor rgb="FFB4A7D6"/>
        <bgColor rgb="FFB4A7D6"/>
      </patternFill>
    </fill>
    <fill>
      <patternFill patternType="solid">
        <fgColor rgb="FFF1C232"/>
        <bgColor rgb="FFF1C232"/>
      </patternFill>
    </fill>
    <fill>
      <patternFill patternType="solid">
        <fgColor rgb="FFB6D7A8"/>
        <bgColor rgb="FFB6D7A8"/>
      </patternFill>
    </fill>
    <fill>
      <patternFill patternType="solid">
        <fgColor rgb="FFA4C2F4"/>
        <bgColor rgb="FFA4C2F4"/>
      </patternFill>
    </fill>
    <fill>
      <patternFill patternType="solid">
        <fgColor rgb="FFD5A6BD"/>
        <bgColor rgb="FFD5A6BD"/>
      </patternFill>
    </fill>
    <fill>
      <patternFill patternType="solid">
        <fgColor rgb="FFEFEFEF"/>
        <bgColor rgb="FFEFEFEF"/>
      </patternFill>
    </fill>
    <fill>
      <patternFill patternType="solid">
        <fgColor rgb="FFD0E0E3"/>
        <bgColor rgb="FFD0E0E3"/>
      </patternFill>
    </fill>
    <fill>
      <patternFill patternType="solid">
        <fgColor rgb="FFD9D2E9"/>
        <bgColor rgb="FFD9D2E9"/>
      </patternFill>
    </fill>
    <fill>
      <patternFill patternType="solid">
        <fgColor rgb="FFFFE599"/>
        <bgColor rgb="FFFFE599"/>
      </patternFill>
    </fill>
    <fill>
      <patternFill patternType="solid">
        <fgColor rgb="FFD9EAD3"/>
        <bgColor rgb="FFD9EAD3"/>
      </patternFill>
    </fill>
    <fill>
      <patternFill patternType="solid">
        <fgColor rgb="FFC9DAF8"/>
        <bgColor rgb="FFC9DAF8"/>
      </patternFill>
    </fill>
    <fill>
      <patternFill patternType="solid">
        <fgColor rgb="FFCFE2F3"/>
        <bgColor rgb="FFCFE2F3"/>
      </patternFill>
    </fill>
    <fill>
      <patternFill patternType="solid">
        <fgColor rgb="FFEAD1DC"/>
        <bgColor rgb="FFEAD1DC"/>
      </patternFill>
    </fill>
    <fill>
      <patternFill patternType="solid">
        <fgColor rgb="FFF2AEF2"/>
        <bgColor rgb="FFF2AEF2"/>
      </patternFill>
    </fill>
    <fill>
      <patternFill patternType="solid">
        <fgColor rgb="FFFFFFFF"/>
        <bgColor rgb="FFFFFFFF"/>
      </patternFill>
    </fill>
    <fill>
      <patternFill patternType="solid">
        <fgColor rgb="FFFCE5CD"/>
        <bgColor rgb="FFFCE5CD"/>
      </patternFill>
    </fill>
    <fill>
      <patternFill patternType="solid">
        <fgColor rgb="FFCCCCCC"/>
        <bgColor rgb="FFCCCCCC"/>
      </patternFill>
    </fill>
    <fill>
      <patternFill patternType="solid">
        <fgColor rgb="FFFFFF00"/>
        <bgColor rgb="FFFFFF00"/>
      </patternFill>
    </fill>
    <fill>
      <patternFill patternType="solid">
        <fgColor rgb="FFFF9900"/>
        <bgColor rgb="FFFF9900"/>
      </patternFill>
    </fill>
    <fill>
      <patternFill patternType="solid">
        <fgColor rgb="FFF9CB9C"/>
        <bgColor rgb="FFF9CB9C"/>
      </patternFill>
    </fill>
    <fill>
      <patternFill patternType="solid">
        <fgColor rgb="FFFFF2CC"/>
        <bgColor rgb="FFFFF2CC"/>
      </patternFill>
    </fill>
    <fill>
      <patternFill patternType="solid">
        <fgColor rgb="FFFF00FF"/>
        <bgColor rgb="FFFF00FF"/>
      </patternFill>
    </fill>
    <fill>
      <patternFill patternType="solid">
        <fgColor rgb="FFD4D4D4"/>
        <bgColor rgb="FFD4D4D4"/>
      </patternFill>
    </fill>
    <fill>
      <patternFill patternType="solid">
        <fgColor rgb="FFF3F3F3"/>
        <bgColor rgb="FFF3F3F3"/>
      </patternFill>
    </fill>
    <fill>
      <patternFill patternType="solid">
        <fgColor rgb="FFB0B3B2"/>
        <bgColor rgb="FFB0B3B2"/>
      </patternFill>
    </fill>
  </fills>
  <borders count="11">
    <border>
      <left/>
      <right/>
      <top/>
      <bottom/>
      <diagonal/>
    </border>
    <border>
      <left style="medium">
        <color rgb="FF000000"/>
      </left>
      <right/>
      <top/>
      <bottom/>
      <diagonal/>
    </border>
    <border>
      <left style="thick">
        <color rgb="FF000000"/>
      </left>
      <right/>
      <top/>
      <bottom/>
      <diagonal/>
    </border>
    <border>
      <left style="hair">
        <color rgb="FF000000"/>
      </left>
      <right style="hair">
        <color rgb="FF000000"/>
      </right>
      <top/>
      <bottom/>
      <diagonal/>
    </border>
    <border>
      <left/>
      <right style="thick">
        <color rgb="FF000000"/>
      </right>
      <top/>
      <bottom/>
      <diagonal/>
    </border>
    <border>
      <left style="hair">
        <color rgb="FF000000"/>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8" fillId="0" borderId="0" applyNumberFormat="0" applyFill="0" applyBorder="0" applyAlignment="0" applyProtection="0"/>
  </cellStyleXfs>
  <cellXfs count="410">
    <xf numFmtId="0" fontId="0" fillId="0" borderId="0" xfId="0"/>
    <xf numFmtId="0" fontId="1" fillId="17" borderId="0" xfId="0" applyFont="1" applyFill="1" applyAlignment="1">
      <alignment vertical="top"/>
    </xf>
    <xf numFmtId="0" fontId="2" fillId="17" borderId="0" xfId="0" applyFont="1" applyFill="1" applyAlignment="1">
      <alignment vertical="top"/>
    </xf>
    <xf numFmtId="0" fontId="1" fillId="17" borderId="0" xfId="0" applyFont="1" applyFill="1" applyAlignment="1">
      <alignment horizontal="center" vertical="top"/>
    </xf>
    <xf numFmtId="0" fontId="3" fillId="17" borderId="0" xfId="0" applyFont="1" applyFill="1" applyAlignment="1">
      <alignment vertical="top"/>
    </xf>
    <xf numFmtId="0" fontId="1" fillId="17" borderId="0" xfId="0" applyFont="1" applyFill="1" applyAlignment="1">
      <alignment horizontal="left" vertical="top"/>
    </xf>
    <xf numFmtId="0" fontId="4" fillId="17" borderId="1" xfId="0" applyFont="1" applyFill="1" applyBorder="1" applyAlignment="1">
      <alignment vertical="top"/>
    </xf>
    <xf numFmtId="0" fontId="1" fillId="17" borderId="3" xfId="0" applyFont="1" applyFill="1" applyBorder="1" applyAlignment="1">
      <alignment vertical="top"/>
    </xf>
    <xf numFmtId="0" fontId="1" fillId="17" borderId="4" xfId="0" applyFont="1" applyFill="1" applyBorder="1" applyAlignment="1">
      <alignment vertical="top"/>
    </xf>
    <xf numFmtId="0" fontId="5" fillId="17" borderId="3" xfId="0" applyFont="1" applyFill="1" applyBorder="1" applyAlignment="1">
      <alignment vertical="top" wrapText="1"/>
    </xf>
    <xf numFmtId="0" fontId="1" fillId="17" borderId="3" xfId="0" applyFont="1" applyFill="1" applyBorder="1" applyAlignment="1">
      <alignment vertical="top" wrapText="1"/>
    </xf>
    <xf numFmtId="0" fontId="1" fillId="17" borderId="0" xfId="0" applyFont="1" applyFill="1" applyAlignment="1">
      <alignment vertical="top" wrapText="1"/>
    </xf>
    <xf numFmtId="0" fontId="1" fillId="17" borderId="1" xfId="0" applyFont="1" applyFill="1" applyBorder="1" applyAlignment="1">
      <alignment vertical="top"/>
    </xf>
    <xf numFmtId="0" fontId="1" fillId="17" borderId="0" xfId="0" applyFont="1" applyFill="1" applyAlignment="1">
      <alignment horizontal="left" vertical="top" wrapText="1"/>
    </xf>
    <xf numFmtId="0" fontId="1" fillId="17" borderId="5" xfId="0" applyFont="1" applyFill="1" applyBorder="1" applyAlignment="1">
      <alignment vertical="top" wrapText="1"/>
    </xf>
    <xf numFmtId="0" fontId="1" fillId="17" borderId="3" xfId="0" applyFont="1" applyFill="1" applyBorder="1" applyAlignment="1">
      <alignment horizontal="left" vertical="top" wrapText="1"/>
    </xf>
    <xf numFmtId="0" fontId="1" fillId="17" borderId="5" xfId="0" applyFont="1" applyFill="1" applyBorder="1" applyAlignment="1">
      <alignment vertical="top"/>
    </xf>
    <xf numFmtId="0" fontId="1" fillId="17" borderId="1" xfId="0" applyFont="1" applyFill="1" applyBorder="1" applyAlignment="1">
      <alignment vertical="top" wrapText="1"/>
    </xf>
    <xf numFmtId="164" fontId="1" fillId="17" borderId="0" xfId="0" applyNumberFormat="1" applyFont="1" applyFill="1" applyAlignment="1">
      <alignment horizontal="left" vertical="top"/>
    </xf>
    <xf numFmtId="0" fontId="2" fillId="0" borderId="0" xfId="0" applyFont="1" applyAlignment="1">
      <alignment vertical="top"/>
    </xf>
    <xf numFmtId="0" fontId="2" fillId="0" borderId="0" xfId="0" applyFont="1" applyAlignment="1">
      <alignment horizontal="center" vertical="top"/>
    </xf>
    <xf numFmtId="0" fontId="6" fillId="0" borderId="0" xfId="0" applyFont="1" applyAlignment="1">
      <alignment vertical="top"/>
    </xf>
    <xf numFmtId="0" fontId="2" fillId="0" borderId="0" xfId="0" applyFont="1" applyAlignment="1">
      <alignment horizontal="left" vertical="top"/>
    </xf>
    <xf numFmtId="0" fontId="1" fillId="0" borderId="0" xfId="0" applyFont="1" applyAlignment="1">
      <alignment vertical="top"/>
    </xf>
    <xf numFmtId="0" fontId="2" fillId="0" borderId="1" xfId="0" applyFont="1" applyBorder="1" applyAlignment="1">
      <alignment vertical="top"/>
    </xf>
    <xf numFmtId="0" fontId="1" fillId="0" borderId="3" xfId="0" applyFont="1" applyBorder="1" applyAlignment="1">
      <alignment vertical="top"/>
    </xf>
    <xf numFmtId="0" fontId="2" fillId="0" borderId="3" xfId="0" applyFont="1" applyBorder="1" applyAlignment="1">
      <alignment vertical="top"/>
    </xf>
    <xf numFmtId="0" fontId="1" fillId="0" borderId="4" xfId="0" applyFont="1" applyBorder="1" applyAlignment="1">
      <alignment vertical="top"/>
    </xf>
    <xf numFmtId="0" fontId="1" fillId="0" borderId="3" xfId="0" applyFont="1" applyBorder="1" applyAlignment="1">
      <alignment vertical="top" wrapText="1"/>
    </xf>
    <xf numFmtId="0" fontId="1" fillId="0" borderId="0" xfId="0" applyFont="1" applyAlignment="1">
      <alignment vertical="top" wrapText="1"/>
    </xf>
    <xf numFmtId="0" fontId="1" fillId="18" borderId="1" xfId="0" applyFont="1" applyFill="1" applyBorder="1" applyAlignment="1">
      <alignment vertical="top"/>
    </xf>
    <xf numFmtId="0" fontId="1" fillId="18" borderId="3" xfId="0" applyFont="1" applyFill="1" applyBorder="1" applyAlignment="1">
      <alignment vertical="top" wrapText="1"/>
    </xf>
    <xf numFmtId="0" fontId="1" fillId="0" borderId="1" xfId="0" applyFont="1" applyBorder="1" applyAlignment="1">
      <alignment vertical="top"/>
    </xf>
    <xf numFmtId="0" fontId="1" fillId="0" borderId="0" xfId="0" applyFont="1" applyAlignment="1">
      <alignment horizontal="left" vertical="top" wrapText="1"/>
    </xf>
    <xf numFmtId="0" fontId="1" fillId="0" borderId="1" xfId="0" applyFont="1" applyBorder="1" applyAlignment="1">
      <alignment horizontal="center" vertical="top"/>
    </xf>
    <xf numFmtId="0" fontId="1" fillId="0" borderId="5" xfId="0" applyFont="1" applyBorder="1" applyAlignment="1">
      <alignment vertical="top" wrapText="1"/>
    </xf>
    <xf numFmtId="0" fontId="1" fillId="0" borderId="5" xfId="0" applyFont="1" applyBorder="1" applyAlignment="1">
      <alignment horizontal="right" vertical="top" wrapText="1"/>
    </xf>
    <xf numFmtId="0" fontId="1" fillId="0" borderId="3" xfId="0" applyFont="1" applyBorder="1" applyAlignment="1">
      <alignment horizontal="left" vertical="top" wrapText="1"/>
    </xf>
    <xf numFmtId="0" fontId="1" fillId="0" borderId="5" xfId="0" applyFont="1" applyBorder="1" applyAlignment="1">
      <alignment vertical="top"/>
    </xf>
    <xf numFmtId="0" fontId="1" fillId="0" borderId="1" xfId="0" applyFont="1" applyBorder="1" applyAlignment="1">
      <alignment vertical="top" wrapText="1"/>
    </xf>
    <xf numFmtId="0" fontId="2" fillId="0" borderId="3" xfId="0" applyFont="1" applyBorder="1" applyAlignment="1">
      <alignment vertical="top" wrapText="1"/>
    </xf>
    <xf numFmtId="0" fontId="2" fillId="0" borderId="0" xfId="0" applyFont="1" applyAlignment="1">
      <alignment vertical="top" wrapText="1"/>
    </xf>
    <xf numFmtId="0" fontId="1" fillId="19" borderId="1" xfId="0" applyFont="1" applyFill="1" applyBorder="1" applyAlignment="1">
      <alignment vertical="top" wrapText="1"/>
    </xf>
    <xf numFmtId="164" fontId="1" fillId="0" borderId="0" xfId="0" applyNumberFormat="1" applyFont="1" applyAlignment="1">
      <alignment horizontal="left" vertical="top" wrapText="1"/>
    </xf>
    <xf numFmtId="164" fontId="1" fillId="0" borderId="0" xfId="0" applyNumberFormat="1" applyFont="1" applyAlignment="1">
      <alignment horizontal="left" vertical="top"/>
    </xf>
    <xf numFmtId="0" fontId="1" fillId="2" borderId="0" xfId="0" applyFont="1" applyFill="1" applyAlignment="1">
      <alignment vertical="top"/>
    </xf>
    <xf numFmtId="0" fontId="2" fillId="2" borderId="0" xfId="0" applyFont="1" applyFill="1" applyAlignment="1">
      <alignment vertical="top"/>
    </xf>
    <xf numFmtId="0" fontId="1" fillId="2" borderId="0" xfId="0" applyFont="1" applyFill="1" applyAlignment="1">
      <alignment horizontal="center" vertical="top"/>
    </xf>
    <xf numFmtId="0" fontId="7" fillId="2" borderId="0" xfId="0" applyFont="1" applyFill="1" applyAlignment="1">
      <alignment vertical="top"/>
    </xf>
    <xf numFmtId="0" fontId="1" fillId="2" borderId="0" xfId="0" applyFont="1" applyFill="1" applyAlignment="1">
      <alignment horizontal="left" vertical="top"/>
    </xf>
    <xf numFmtId="0" fontId="1" fillId="2" borderId="1" xfId="0" applyFont="1" applyFill="1" applyBorder="1" applyAlignment="1">
      <alignment vertical="top"/>
    </xf>
    <xf numFmtId="0" fontId="1" fillId="2" borderId="3" xfId="0" applyFont="1" applyFill="1" applyBorder="1" applyAlignment="1">
      <alignment vertical="top"/>
    </xf>
    <xf numFmtId="0" fontId="1" fillId="2" borderId="4" xfId="0" applyFont="1" applyFill="1" applyBorder="1" applyAlignment="1">
      <alignment vertical="top"/>
    </xf>
    <xf numFmtId="0" fontId="1" fillId="2" borderId="3" xfId="0" applyFont="1" applyFill="1" applyBorder="1" applyAlignment="1">
      <alignment vertical="top" wrapText="1"/>
    </xf>
    <xf numFmtId="0" fontId="1" fillId="2" borderId="0" xfId="0" applyFont="1" applyFill="1" applyAlignment="1">
      <alignment vertical="top" wrapText="1"/>
    </xf>
    <xf numFmtId="0" fontId="1" fillId="2" borderId="0" xfId="0" applyFont="1" applyFill="1" applyAlignment="1">
      <alignment horizontal="left" vertical="top" wrapText="1"/>
    </xf>
    <xf numFmtId="0" fontId="1" fillId="2" borderId="1" xfId="0" applyFont="1" applyFill="1" applyBorder="1" applyAlignment="1">
      <alignment vertical="top" wrapText="1"/>
    </xf>
    <xf numFmtId="0" fontId="1" fillId="2" borderId="5" xfId="0" applyFont="1" applyFill="1" applyBorder="1" applyAlignment="1">
      <alignment vertical="top" wrapText="1"/>
    </xf>
    <xf numFmtId="0" fontId="1" fillId="2" borderId="3" xfId="0" applyFont="1" applyFill="1" applyBorder="1" applyAlignment="1">
      <alignment horizontal="left" vertical="top" wrapText="1"/>
    </xf>
    <xf numFmtId="0" fontId="1" fillId="2" borderId="5" xfId="0" applyFont="1" applyFill="1" applyBorder="1" applyAlignment="1">
      <alignment vertical="top"/>
    </xf>
    <xf numFmtId="164" fontId="1" fillId="2" borderId="0" xfId="0" applyNumberFormat="1" applyFont="1" applyFill="1" applyAlignment="1">
      <alignment horizontal="left" vertical="top" wrapText="1"/>
    </xf>
    <xf numFmtId="0" fontId="1" fillId="0" borderId="0" xfId="0" applyFont="1" applyAlignment="1">
      <alignment horizontal="center" vertical="top"/>
    </xf>
    <xf numFmtId="0" fontId="1" fillId="0" borderId="0" xfId="0" applyFont="1" applyAlignment="1">
      <alignment horizontal="left" vertical="top"/>
    </xf>
    <xf numFmtId="0" fontId="1" fillId="0" borderId="3" xfId="0" applyFont="1" applyBorder="1"/>
    <xf numFmtId="0" fontId="1" fillId="20" borderId="0" xfId="0" applyFont="1" applyFill="1" applyAlignment="1">
      <alignment vertical="top"/>
    </xf>
    <xf numFmtId="0" fontId="2" fillId="20" borderId="0" xfId="0" applyFont="1" applyFill="1" applyAlignment="1">
      <alignment vertical="top"/>
    </xf>
    <xf numFmtId="0" fontId="1" fillId="20" borderId="0" xfId="0" applyFont="1" applyFill="1" applyAlignment="1">
      <alignment horizontal="center" vertical="top"/>
    </xf>
    <xf numFmtId="0" fontId="9" fillId="20" borderId="0" xfId="0" applyFont="1" applyFill="1" applyAlignment="1">
      <alignment vertical="top"/>
    </xf>
    <xf numFmtId="0" fontId="1" fillId="20" borderId="0" xfId="0" applyFont="1" applyFill="1" applyAlignment="1">
      <alignment horizontal="left" vertical="top"/>
    </xf>
    <xf numFmtId="0" fontId="8" fillId="20" borderId="1" xfId="0" applyFont="1" applyFill="1" applyBorder="1" applyAlignment="1">
      <alignment vertical="top"/>
    </xf>
    <xf numFmtId="0" fontId="1" fillId="20" borderId="3" xfId="0" applyFont="1" applyFill="1" applyBorder="1" applyAlignment="1">
      <alignment vertical="top"/>
    </xf>
    <xf numFmtId="0" fontId="4" fillId="20" borderId="3" xfId="0" applyFont="1" applyFill="1" applyBorder="1" applyAlignment="1">
      <alignment vertical="top"/>
    </xf>
    <xf numFmtId="0" fontId="1" fillId="20" borderId="4" xfId="0" applyFont="1" applyFill="1" applyBorder="1" applyAlignment="1">
      <alignment vertical="top"/>
    </xf>
    <xf numFmtId="0" fontId="1" fillId="20" borderId="3" xfId="0" applyFont="1" applyFill="1" applyBorder="1" applyAlignment="1">
      <alignment vertical="top" wrapText="1"/>
    </xf>
    <xf numFmtId="0" fontId="1" fillId="20" borderId="0" xfId="0" applyFont="1" applyFill="1" applyAlignment="1">
      <alignment vertical="top" wrapText="1"/>
    </xf>
    <xf numFmtId="0" fontId="1" fillId="20" borderId="1" xfId="0" applyFont="1" applyFill="1" applyBorder="1" applyAlignment="1">
      <alignment vertical="top"/>
    </xf>
    <xf numFmtId="0" fontId="10" fillId="20" borderId="3" xfId="0" applyFont="1" applyFill="1" applyBorder="1"/>
    <xf numFmtId="0" fontId="1" fillId="20" borderId="0" xfId="0" applyFont="1" applyFill="1" applyAlignment="1">
      <alignment horizontal="left" vertical="top" wrapText="1"/>
    </xf>
    <xf numFmtId="0" fontId="1" fillId="20" borderId="5" xfId="0" applyFont="1" applyFill="1" applyBorder="1" applyAlignment="1">
      <alignment vertical="top" wrapText="1"/>
    </xf>
    <xf numFmtId="0" fontId="1" fillId="20" borderId="3" xfId="0" applyFont="1" applyFill="1" applyBorder="1" applyAlignment="1">
      <alignment horizontal="left" vertical="top" wrapText="1"/>
    </xf>
    <xf numFmtId="0" fontId="1" fillId="20" borderId="5" xfId="0" applyFont="1" applyFill="1" applyBorder="1" applyAlignment="1">
      <alignment vertical="top"/>
    </xf>
    <xf numFmtId="0" fontId="1" fillId="20" borderId="1" xfId="0" applyFont="1" applyFill="1" applyBorder="1" applyAlignment="1">
      <alignment vertical="top" wrapText="1"/>
    </xf>
    <xf numFmtId="164" fontId="1" fillId="20" borderId="0" xfId="0" applyNumberFormat="1" applyFont="1" applyFill="1" applyAlignment="1">
      <alignment horizontal="left" vertical="top"/>
    </xf>
    <xf numFmtId="0" fontId="2" fillId="20" borderId="0" xfId="0" applyFont="1" applyFill="1" applyAlignment="1">
      <alignment horizontal="center" vertical="top"/>
    </xf>
    <xf numFmtId="0" fontId="11" fillId="20" borderId="0" xfId="0" applyFont="1" applyFill="1" applyAlignment="1">
      <alignment vertical="top"/>
    </xf>
    <xf numFmtId="0" fontId="2" fillId="20" borderId="1" xfId="0" applyFont="1" applyFill="1" applyBorder="1" applyAlignment="1">
      <alignment vertical="top"/>
    </xf>
    <xf numFmtId="0" fontId="2" fillId="20" borderId="3" xfId="0" applyFont="1" applyFill="1" applyBorder="1" applyAlignment="1">
      <alignment vertical="top"/>
    </xf>
    <xf numFmtId="0" fontId="2" fillId="20" borderId="3" xfId="0" applyFont="1" applyFill="1" applyBorder="1" applyAlignment="1">
      <alignment vertical="top" wrapText="1"/>
    </xf>
    <xf numFmtId="0" fontId="2" fillId="20" borderId="0" xfId="0" applyFont="1" applyFill="1" applyAlignment="1">
      <alignment vertical="top" wrapText="1"/>
    </xf>
    <xf numFmtId="164" fontId="2" fillId="20" borderId="0" xfId="0" applyNumberFormat="1" applyFont="1" applyFill="1" applyAlignment="1">
      <alignment horizontal="left" vertical="top"/>
    </xf>
    <xf numFmtId="0" fontId="1" fillId="0" borderId="3" xfId="0" applyFont="1" applyBorder="1" applyAlignment="1">
      <alignment horizontal="left" vertical="top"/>
    </xf>
    <xf numFmtId="0" fontId="1" fillId="0" borderId="0" xfId="0" applyFont="1"/>
    <xf numFmtId="0" fontId="1" fillId="21" borderId="0" xfId="0" applyFont="1" applyFill="1" applyAlignment="1">
      <alignment vertical="top"/>
    </xf>
    <xf numFmtId="0" fontId="2" fillId="21" borderId="0" xfId="0" applyFont="1" applyFill="1" applyAlignment="1">
      <alignment vertical="top"/>
    </xf>
    <xf numFmtId="0" fontId="1" fillId="21" borderId="0" xfId="0" applyFont="1" applyFill="1" applyAlignment="1">
      <alignment horizontal="center" vertical="top"/>
    </xf>
    <xf numFmtId="0" fontId="12" fillId="21" borderId="0" xfId="0" applyFont="1" applyFill="1" applyAlignment="1">
      <alignment vertical="top"/>
    </xf>
    <xf numFmtId="0" fontId="1" fillId="21" borderId="3" xfId="0" applyFont="1" applyFill="1" applyBorder="1" applyAlignment="1">
      <alignment vertical="top"/>
    </xf>
    <xf numFmtId="0" fontId="1" fillId="21" borderId="4" xfId="0" applyFont="1" applyFill="1" applyBorder="1" applyAlignment="1">
      <alignment vertical="top"/>
    </xf>
    <xf numFmtId="0" fontId="1" fillId="21" borderId="3" xfId="0" applyFont="1" applyFill="1" applyBorder="1" applyAlignment="1">
      <alignment vertical="top" wrapText="1"/>
    </xf>
    <xf numFmtId="0" fontId="1" fillId="21" borderId="0" xfId="0" applyFont="1" applyFill="1" applyAlignment="1">
      <alignment vertical="top" wrapText="1"/>
    </xf>
    <xf numFmtId="0" fontId="1" fillId="21" borderId="1" xfId="0" applyFont="1" applyFill="1" applyBorder="1" applyAlignment="1">
      <alignment vertical="top"/>
    </xf>
    <xf numFmtId="0" fontId="1" fillId="21" borderId="0" xfId="0" applyFont="1" applyFill="1" applyAlignment="1">
      <alignment horizontal="left" vertical="top" wrapText="1"/>
    </xf>
    <xf numFmtId="0" fontId="1" fillId="21" borderId="1" xfId="0" applyFont="1" applyFill="1" applyBorder="1" applyAlignment="1">
      <alignment horizontal="center" vertical="top"/>
    </xf>
    <xf numFmtId="0" fontId="1" fillId="21" borderId="5" xfId="0" applyFont="1" applyFill="1" applyBorder="1" applyAlignment="1">
      <alignment vertical="top" wrapText="1"/>
    </xf>
    <xf numFmtId="0" fontId="1" fillId="21" borderId="5" xfId="0" applyFont="1" applyFill="1" applyBorder="1" applyAlignment="1">
      <alignment horizontal="right" vertical="top" wrapText="1"/>
    </xf>
    <xf numFmtId="0" fontId="1" fillId="21" borderId="3" xfId="0" applyFont="1" applyFill="1" applyBorder="1" applyAlignment="1">
      <alignment horizontal="left" vertical="top" wrapText="1"/>
    </xf>
    <xf numFmtId="0" fontId="1" fillId="21" borderId="5" xfId="0" applyFont="1" applyFill="1" applyBorder="1" applyAlignment="1">
      <alignment vertical="top"/>
    </xf>
    <xf numFmtId="0" fontId="1" fillId="21" borderId="1" xfId="0" applyFont="1" applyFill="1" applyBorder="1" applyAlignment="1">
      <alignment vertical="top" wrapText="1"/>
    </xf>
    <xf numFmtId="0" fontId="13" fillId="0" borderId="1" xfId="0" applyFont="1" applyBorder="1" applyAlignment="1">
      <alignment vertical="top" wrapText="1"/>
    </xf>
    <xf numFmtId="0" fontId="14" fillId="0" borderId="0" xfId="0" applyFont="1" applyAlignment="1">
      <alignment horizontal="left" vertical="top"/>
    </xf>
    <xf numFmtId="0" fontId="1" fillId="0" borderId="1" xfId="0" applyFont="1" applyBorder="1" applyAlignment="1">
      <alignment horizontal="left" vertical="top"/>
    </xf>
    <xf numFmtId="0" fontId="1" fillId="0" borderId="4" xfId="0" applyFont="1" applyBorder="1" applyAlignment="1">
      <alignment horizontal="left" vertical="top"/>
    </xf>
    <xf numFmtId="0" fontId="1" fillId="18" borderId="1" xfId="0" applyFont="1" applyFill="1" applyBorder="1" applyAlignment="1">
      <alignment horizontal="left" vertical="top"/>
    </xf>
    <xf numFmtId="0" fontId="8" fillId="21" borderId="1" xfId="0" applyFont="1" applyFill="1" applyBorder="1" applyAlignment="1">
      <alignment vertical="top"/>
    </xf>
    <xf numFmtId="0" fontId="8" fillId="21" borderId="3" xfId="0" applyFont="1" applyFill="1" applyBorder="1" applyAlignment="1">
      <alignment vertical="top"/>
    </xf>
    <xf numFmtId="0" fontId="2" fillId="21" borderId="1" xfId="0" applyFont="1" applyFill="1" applyBorder="1" applyAlignment="1">
      <alignment vertical="top" wrapText="1"/>
    </xf>
    <xf numFmtId="0" fontId="2" fillId="21" borderId="0" xfId="0" applyFont="1" applyFill="1" applyAlignment="1">
      <alignment horizontal="left" vertical="top"/>
    </xf>
    <xf numFmtId="0" fontId="15" fillId="0" borderId="0" xfId="0" applyFont="1" applyAlignment="1">
      <alignment horizontal="left" vertical="top"/>
    </xf>
    <xf numFmtId="0" fontId="16" fillId="0" borderId="1" xfId="0" applyFont="1" applyBorder="1" applyAlignment="1">
      <alignment horizontal="left" vertical="top"/>
    </xf>
    <xf numFmtId="0" fontId="17" fillId="2" borderId="0" xfId="0" applyFont="1" applyFill="1" applyAlignment="1">
      <alignment vertical="top" wrapText="1"/>
    </xf>
    <xf numFmtId="0" fontId="10" fillId="2" borderId="0" xfId="0" applyFont="1" applyFill="1"/>
    <xf numFmtId="0" fontId="18" fillId="20" borderId="0" xfId="0" applyFont="1" applyFill="1" applyAlignment="1">
      <alignment horizontal="left" vertical="top"/>
    </xf>
    <xf numFmtId="0" fontId="1" fillId="20" borderId="3" xfId="0" applyFont="1" applyFill="1" applyBorder="1" applyAlignment="1">
      <alignment horizontal="left" vertical="top"/>
    </xf>
    <xf numFmtId="0" fontId="1" fillId="20" borderId="4" xfId="0" applyFont="1" applyFill="1" applyBorder="1" applyAlignment="1">
      <alignment horizontal="left" vertical="top"/>
    </xf>
    <xf numFmtId="0" fontId="1" fillId="20" borderId="1" xfId="0" applyFont="1" applyFill="1" applyBorder="1" applyAlignment="1">
      <alignment horizontal="left" vertical="top"/>
    </xf>
    <xf numFmtId="0" fontId="19" fillId="20" borderId="3" xfId="0" applyFont="1" applyFill="1" applyBorder="1" applyAlignment="1">
      <alignment vertical="top" wrapText="1"/>
    </xf>
    <xf numFmtId="0" fontId="20" fillId="20" borderId="1" xfId="0" applyFont="1" applyFill="1" applyBorder="1" applyAlignment="1">
      <alignment vertical="top" wrapText="1"/>
    </xf>
    <xf numFmtId="0" fontId="1" fillId="18" borderId="0" xfId="0" applyFont="1" applyFill="1" applyAlignment="1">
      <alignment vertical="top" wrapText="1"/>
    </xf>
    <xf numFmtId="0" fontId="1" fillId="18" borderId="4" xfId="0" applyFont="1" applyFill="1" applyBorder="1" applyAlignment="1">
      <alignment vertical="top"/>
    </xf>
    <xf numFmtId="0" fontId="1" fillId="22" borderId="0" xfId="0" applyFont="1" applyFill="1" applyAlignment="1">
      <alignment vertical="top"/>
    </xf>
    <xf numFmtId="0" fontId="2" fillId="22" borderId="0" xfId="0" applyFont="1" applyFill="1" applyAlignment="1">
      <alignment vertical="top"/>
    </xf>
    <xf numFmtId="0" fontId="1" fillId="22" borderId="0" xfId="0" applyFont="1" applyFill="1" applyAlignment="1">
      <alignment horizontal="center" vertical="top"/>
    </xf>
    <xf numFmtId="0" fontId="21" fillId="22" borderId="0" xfId="0" applyFont="1" applyFill="1" applyAlignment="1">
      <alignment vertical="top"/>
    </xf>
    <xf numFmtId="0" fontId="1" fillId="22" borderId="0" xfId="0" applyFont="1" applyFill="1" applyAlignment="1">
      <alignment horizontal="left" vertical="top"/>
    </xf>
    <xf numFmtId="0" fontId="4" fillId="22" borderId="1" xfId="0" applyFont="1" applyFill="1" applyBorder="1" applyAlignment="1">
      <alignment vertical="top"/>
    </xf>
    <xf numFmtId="0" fontId="1" fillId="22" borderId="3" xfId="0" applyFont="1" applyFill="1" applyBorder="1" applyAlignment="1">
      <alignment vertical="top"/>
    </xf>
    <xf numFmtId="0" fontId="8" fillId="22" borderId="3" xfId="0" applyFont="1" applyFill="1" applyBorder="1" applyAlignment="1">
      <alignment vertical="top"/>
    </xf>
    <xf numFmtId="0" fontId="1" fillId="22" borderId="4" xfId="0" applyFont="1" applyFill="1" applyBorder="1" applyAlignment="1">
      <alignment vertical="top"/>
    </xf>
    <xf numFmtId="0" fontId="1" fillId="22" borderId="3" xfId="0" applyFont="1" applyFill="1" applyBorder="1" applyAlignment="1">
      <alignment vertical="top" wrapText="1"/>
    </xf>
    <xf numFmtId="0" fontId="22" fillId="22" borderId="0" xfId="0" applyFont="1" applyFill="1" applyAlignment="1">
      <alignment vertical="top" wrapText="1"/>
    </xf>
    <xf numFmtId="0" fontId="1" fillId="22" borderId="1" xfId="0" applyFont="1" applyFill="1" applyBorder="1" applyAlignment="1">
      <alignment vertical="top"/>
    </xf>
    <xf numFmtId="0" fontId="23" fillId="22" borderId="3" xfId="0" applyFont="1" applyFill="1" applyBorder="1" applyAlignment="1">
      <alignment vertical="top" wrapText="1"/>
    </xf>
    <xf numFmtId="0" fontId="1" fillId="22" borderId="0" xfId="0" applyFont="1" applyFill="1" applyAlignment="1">
      <alignment vertical="top" wrapText="1"/>
    </xf>
    <xf numFmtId="0" fontId="1" fillId="22" borderId="0" xfId="0" applyFont="1" applyFill="1" applyAlignment="1">
      <alignment horizontal="left" vertical="top" wrapText="1"/>
    </xf>
    <xf numFmtId="0" fontId="1" fillId="22" borderId="1" xfId="0" applyFont="1" applyFill="1" applyBorder="1" applyAlignment="1">
      <alignment horizontal="center" vertical="top"/>
    </xf>
    <xf numFmtId="0" fontId="24" fillId="22" borderId="5" xfId="0" applyFont="1" applyFill="1" applyBorder="1" applyAlignment="1">
      <alignment vertical="top" wrapText="1"/>
    </xf>
    <xf numFmtId="0" fontId="1" fillId="22" borderId="5" xfId="0" applyFont="1" applyFill="1" applyBorder="1" applyAlignment="1">
      <alignment vertical="top" wrapText="1"/>
    </xf>
    <xf numFmtId="0" fontId="1" fillId="22" borderId="3" xfId="0" applyFont="1" applyFill="1" applyBorder="1" applyAlignment="1">
      <alignment horizontal="left" vertical="top" wrapText="1"/>
    </xf>
    <xf numFmtId="0" fontId="1" fillId="22" borderId="5" xfId="0" applyFont="1" applyFill="1" applyBorder="1" applyAlignment="1">
      <alignment vertical="top"/>
    </xf>
    <xf numFmtId="0" fontId="25" fillId="22" borderId="1" xfId="0" applyFont="1" applyFill="1" applyBorder="1" applyAlignment="1">
      <alignment vertical="top" wrapText="1"/>
    </xf>
    <xf numFmtId="0" fontId="1" fillId="22" borderId="1" xfId="0" applyFont="1" applyFill="1" applyBorder="1" applyAlignment="1">
      <alignment vertical="top" wrapText="1"/>
    </xf>
    <xf numFmtId="0" fontId="1" fillId="23" borderId="0" xfId="0" applyFont="1" applyFill="1" applyAlignment="1">
      <alignment vertical="top"/>
    </xf>
    <xf numFmtId="0" fontId="2" fillId="23" borderId="0" xfId="0" applyFont="1" applyFill="1" applyAlignment="1">
      <alignment vertical="top"/>
    </xf>
    <xf numFmtId="0" fontId="1" fillId="23" borderId="0" xfId="0" applyFont="1" applyFill="1" applyAlignment="1">
      <alignment horizontal="center" vertical="top"/>
    </xf>
    <xf numFmtId="0" fontId="26" fillId="23" borderId="0" xfId="0" applyFont="1" applyFill="1" applyAlignment="1">
      <alignment vertical="top"/>
    </xf>
    <xf numFmtId="0" fontId="8" fillId="23" borderId="1" xfId="0" applyFont="1" applyFill="1" applyBorder="1" applyAlignment="1">
      <alignment vertical="top"/>
    </xf>
    <xf numFmtId="0" fontId="1" fillId="23" borderId="3" xfId="0" applyFont="1" applyFill="1" applyBorder="1" applyAlignment="1">
      <alignment vertical="top"/>
    </xf>
    <xf numFmtId="0" fontId="8" fillId="23" borderId="3" xfId="0" applyFont="1" applyFill="1" applyBorder="1" applyAlignment="1">
      <alignment vertical="top"/>
    </xf>
    <xf numFmtId="0" fontId="1" fillId="23" borderId="4" xfId="0" applyFont="1" applyFill="1" applyBorder="1" applyAlignment="1">
      <alignment vertical="top"/>
    </xf>
    <xf numFmtId="0" fontId="1" fillId="23" borderId="3" xfId="0" applyFont="1" applyFill="1" applyBorder="1" applyAlignment="1">
      <alignment vertical="top" wrapText="1"/>
    </xf>
    <xf numFmtId="0" fontId="27" fillId="23" borderId="0" xfId="0" applyFont="1" applyFill="1" applyAlignment="1">
      <alignment vertical="top" wrapText="1"/>
    </xf>
    <xf numFmtId="0" fontId="1" fillId="23" borderId="1" xfId="0" applyFont="1" applyFill="1" applyBorder="1" applyAlignment="1">
      <alignment vertical="top"/>
    </xf>
    <xf numFmtId="0" fontId="1" fillId="23" borderId="0" xfId="0" applyFont="1" applyFill="1" applyAlignment="1">
      <alignment vertical="top" wrapText="1"/>
    </xf>
    <xf numFmtId="0" fontId="1" fillId="23" borderId="0" xfId="0" applyFont="1" applyFill="1" applyAlignment="1">
      <alignment horizontal="left" vertical="top" wrapText="1"/>
    </xf>
    <xf numFmtId="0" fontId="1" fillId="23" borderId="5" xfId="0" applyFont="1" applyFill="1" applyBorder="1" applyAlignment="1">
      <alignment vertical="top" wrapText="1"/>
    </xf>
    <xf numFmtId="0" fontId="1" fillId="23" borderId="3" xfId="0" applyFont="1" applyFill="1" applyBorder="1" applyAlignment="1">
      <alignment horizontal="left" vertical="top" wrapText="1"/>
    </xf>
    <xf numFmtId="0" fontId="1" fillId="23" borderId="5" xfId="0" applyFont="1" applyFill="1" applyBorder="1" applyAlignment="1">
      <alignment vertical="top"/>
    </xf>
    <xf numFmtId="0" fontId="1" fillId="23" borderId="1" xfId="0" applyFont="1" applyFill="1" applyBorder="1" applyAlignment="1">
      <alignment vertical="top" wrapText="1"/>
    </xf>
    <xf numFmtId="0" fontId="28" fillId="23" borderId="1" xfId="0" applyFont="1" applyFill="1" applyBorder="1" applyAlignment="1">
      <alignment vertical="top" wrapText="1"/>
    </xf>
    <xf numFmtId="164" fontId="2" fillId="23" borderId="0" xfId="0" applyNumberFormat="1" applyFont="1" applyFill="1" applyAlignment="1">
      <alignment horizontal="left" vertical="top"/>
    </xf>
    <xf numFmtId="0" fontId="4" fillId="20" borderId="1" xfId="0" applyFont="1" applyFill="1" applyBorder="1" applyAlignment="1">
      <alignment vertical="top"/>
    </xf>
    <xf numFmtId="0" fontId="8" fillId="20" borderId="3" xfId="0" applyFont="1" applyFill="1" applyBorder="1" applyAlignment="1">
      <alignment vertical="top"/>
    </xf>
    <xf numFmtId="0" fontId="1" fillId="20" borderId="3" xfId="0" quotePrefix="1" applyFont="1" applyFill="1" applyBorder="1" applyAlignment="1">
      <alignment vertical="top" wrapText="1"/>
    </xf>
    <xf numFmtId="0" fontId="29" fillId="22" borderId="0" xfId="0" applyFont="1" applyFill="1" applyAlignment="1">
      <alignment horizontal="left" vertical="top"/>
    </xf>
    <xf numFmtId="0" fontId="1" fillId="22" borderId="1" xfId="0" applyFont="1" applyFill="1" applyBorder="1" applyAlignment="1">
      <alignment horizontal="left" vertical="top"/>
    </xf>
    <xf numFmtId="0" fontId="1" fillId="22" borderId="3" xfId="0" applyFont="1" applyFill="1" applyBorder="1" applyAlignment="1">
      <alignment horizontal="left" vertical="top"/>
    </xf>
    <xf numFmtId="0" fontId="1" fillId="22" borderId="4" xfId="0" applyFont="1" applyFill="1" applyBorder="1" applyAlignment="1">
      <alignment horizontal="left" vertical="top"/>
    </xf>
    <xf numFmtId="0" fontId="1" fillId="22" borderId="5" xfId="0" applyFont="1" applyFill="1" applyBorder="1" applyAlignment="1">
      <alignment horizontal="right" vertical="top" wrapText="1"/>
    </xf>
    <xf numFmtId="0" fontId="2" fillId="20" borderId="1" xfId="0" applyFont="1" applyFill="1" applyBorder="1" applyAlignment="1">
      <alignment vertical="top" wrapText="1"/>
    </xf>
    <xf numFmtId="0" fontId="1" fillId="18" borderId="0" xfId="0" applyFont="1" applyFill="1" applyAlignment="1">
      <alignment vertical="top"/>
    </xf>
    <xf numFmtId="0" fontId="2" fillId="18" borderId="0" xfId="0" applyFont="1" applyFill="1" applyAlignment="1">
      <alignment vertical="top"/>
    </xf>
    <xf numFmtId="0" fontId="1" fillId="18" borderId="0" xfId="0" applyFont="1" applyFill="1" applyAlignment="1">
      <alignment horizontal="left" vertical="top"/>
    </xf>
    <xf numFmtId="0" fontId="1" fillId="18" borderId="0" xfId="0" applyFont="1" applyFill="1" applyAlignment="1">
      <alignment horizontal="center" vertical="top"/>
    </xf>
    <xf numFmtId="0" fontId="30" fillId="18" borderId="0" xfId="0" applyFont="1" applyFill="1" applyAlignment="1">
      <alignment vertical="top"/>
    </xf>
    <xf numFmtId="0" fontId="1" fillId="18" borderId="3" xfId="0" applyFont="1" applyFill="1" applyBorder="1" applyAlignment="1">
      <alignment vertical="top"/>
    </xf>
    <xf numFmtId="0" fontId="1" fillId="18" borderId="3" xfId="0" applyFont="1" applyFill="1" applyBorder="1" applyAlignment="1">
      <alignment horizontal="left" vertical="top"/>
    </xf>
    <xf numFmtId="0" fontId="1" fillId="18" borderId="0" xfId="0" applyFont="1" applyFill="1" applyAlignment="1">
      <alignment horizontal="left" vertical="top" wrapText="1"/>
    </xf>
    <xf numFmtId="0" fontId="1" fillId="18" borderId="1" xfId="0" applyFont="1" applyFill="1" applyBorder="1" applyAlignment="1">
      <alignment horizontal="center" vertical="top"/>
    </xf>
    <xf numFmtId="0" fontId="1" fillId="18" borderId="5" xfId="0" applyFont="1" applyFill="1" applyBorder="1" applyAlignment="1">
      <alignment vertical="top" wrapText="1"/>
    </xf>
    <xf numFmtId="0" fontId="1" fillId="18" borderId="5" xfId="0" applyFont="1" applyFill="1" applyBorder="1" applyAlignment="1">
      <alignment horizontal="right" vertical="top" wrapText="1"/>
    </xf>
    <xf numFmtId="0" fontId="1" fillId="18" borderId="5" xfId="0" applyFont="1" applyFill="1" applyBorder="1" applyAlignment="1">
      <alignment vertical="top"/>
    </xf>
    <xf numFmtId="0" fontId="1" fillId="18" borderId="1" xfId="0" applyFont="1" applyFill="1" applyBorder="1" applyAlignment="1">
      <alignment vertical="top" wrapText="1"/>
    </xf>
    <xf numFmtId="0" fontId="31" fillId="18" borderId="1" xfId="0" applyFont="1" applyFill="1" applyBorder="1" applyAlignment="1">
      <alignment vertical="top" wrapText="1"/>
    </xf>
    <xf numFmtId="0" fontId="1" fillId="24" borderId="0" xfId="0" applyFont="1" applyFill="1" applyAlignment="1">
      <alignment horizontal="left" vertical="top"/>
    </xf>
    <xf numFmtId="0" fontId="2" fillId="22" borderId="0" xfId="0" applyFont="1" applyFill="1" applyAlignment="1">
      <alignment horizontal="left" vertical="top"/>
    </xf>
    <xf numFmtId="0" fontId="32" fillId="2" borderId="0" xfId="0" applyFont="1" applyFill="1" applyAlignment="1">
      <alignment horizontal="left" vertical="top"/>
    </xf>
    <xf numFmtId="0" fontId="1" fillId="2" borderId="3" xfId="0" applyFont="1" applyFill="1" applyBorder="1" applyAlignment="1">
      <alignment horizontal="left" vertical="top"/>
    </xf>
    <xf numFmtId="0" fontId="1" fillId="2" borderId="4"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center" vertical="top"/>
    </xf>
    <xf numFmtId="0" fontId="1" fillId="2" borderId="5" xfId="0" applyFont="1" applyFill="1" applyBorder="1" applyAlignment="1">
      <alignment horizontal="right" vertical="top" wrapText="1"/>
    </xf>
    <xf numFmtId="0" fontId="4" fillId="20" borderId="0" xfId="0" applyFont="1" applyFill="1" applyAlignment="1">
      <alignment vertical="top"/>
    </xf>
    <xf numFmtId="0" fontId="4" fillId="17" borderId="3" xfId="0" applyFont="1" applyFill="1" applyBorder="1" applyAlignment="1">
      <alignment vertical="top"/>
    </xf>
    <xf numFmtId="0" fontId="8" fillId="17" borderId="1" xfId="0" applyFont="1" applyFill="1" applyBorder="1" applyAlignment="1">
      <alignment vertical="top"/>
    </xf>
    <xf numFmtId="0" fontId="4" fillId="2" borderId="0" xfId="0" applyFont="1" applyFill="1" applyAlignment="1">
      <alignment vertical="top"/>
    </xf>
    <xf numFmtId="0" fontId="4" fillId="2" borderId="1" xfId="0" applyFont="1" applyFill="1" applyBorder="1" applyAlignment="1">
      <alignment vertical="top"/>
    </xf>
    <xf numFmtId="0" fontId="4" fillId="2" borderId="3" xfId="0" applyFont="1" applyFill="1" applyBorder="1" applyAlignment="1">
      <alignment vertical="top"/>
    </xf>
    <xf numFmtId="0" fontId="2" fillId="22" borderId="0" xfId="0" applyFont="1" applyFill="1" applyAlignment="1">
      <alignment horizontal="center" vertical="top"/>
    </xf>
    <xf numFmtId="0" fontId="33" fillId="22" borderId="0" xfId="0" applyFont="1" applyFill="1" applyAlignment="1">
      <alignment vertical="top"/>
    </xf>
    <xf numFmtId="0" fontId="2" fillId="22" borderId="1" xfId="0" applyFont="1" applyFill="1" applyBorder="1" applyAlignment="1">
      <alignment vertical="top"/>
    </xf>
    <xf numFmtId="0" fontId="2" fillId="22" borderId="3" xfId="0" applyFont="1" applyFill="1" applyBorder="1" applyAlignment="1">
      <alignment vertical="top"/>
    </xf>
    <xf numFmtId="0" fontId="2" fillId="22" borderId="3" xfId="0" applyFont="1" applyFill="1" applyBorder="1" applyAlignment="1">
      <alignment vertical="top" wrapText="1"/>
    </xf>
    <xf numFmtId="0" fontId="2" fillId="22" borderId="0" xfId="0" applyFont="1" applyFill="1" applyAlignment="1">
      <alignment vertical="top" wrapText="1"/>
    </xf>
    <xf numFmtId="0" fontId="2" fillId="22" borderId="1" xfId="0" applyFont="1" applyFill="1" applyBorder="1" applyAlignment="1">
      <alignment vertical="top" wrapText="1"/>
    </xf>
    <xf numFmtId="0" fontId="2" fillId="2" borderId="0" xfId="0" applyFont="1" applyFill="1" applyAlignment="1">
      <alignment horizontal="center" vertical="top"/>
    </xf>
    <xf numFmtId="0" fontId="34" fillId="2" borderId="0" xfId="0" applyFont="1" applyFill="1" applyAlignment="1">
      <alignment vertical="top"/>
    </xf>
    <xf numFmtId="0" fontId="2" fillId="2" borderId="1" xfId="0" applyFont="1" applyFill="1" applyBorder="1" applyAlignment="1">
      <alignment vertical="top"/>
    </xf>
    <xf numFmtId="0" fontId="2" fillId="2" borderId="3" xfId="0" applyFont="1" applyFill="1" applyBorder="1" applyAlignment="1">
      <alignment vertical="top"/>
    </xf>
    <xf numFmtId="0" fontId="2" fillId="2" borderId="3" xfId="0" applyFont="1" applyFill="1" applyBorder="1" applyAlignment="1">
      <alignment vertical="top" wrapText="1"/>
    </xf>
    <xf numFmtId="0" fontId="2" fillId="2" borderId="0" xfId="0" applyFont="1" applyFill="1" applyAlignment="1">
      <alignment vertical="top" wrapText="1"/>
    </xf>
    <xf numFmtId="0" fontId="35" fillId="2" borderId="0" xfId="0" applyFont="1" applyFill="1" applyAlignment="1">
      <alignment vertical="top"/>
    </xf>
    <xf numFmtId="0" fontId="4" fillId="17" borderId="0" xfId="0" applyFont="1" applyFill="1" applyAlignment="1">
      <alignment vertical="top"/>
    </xf>
    <xf numFmtId="0" fontId="1" fillId="17" borderId="1" xfId="0" applyFont="1" applyFill="1" applyBorder="1" applyAlignment="1">
      <alignment horizontal="left" vertical="top"/>
    </xf>
    <xf numFmtId="0" fontId="1" fillId="17" borderId="3" xfId="0" applyFont="1" applyFill="1" applyBorder="1" applyAlignment="1">
      <alignment horizontal="left" vertical="top"/>
    </xf>
    <xf numFmtId="0" fontId="1" fillId="17" borderId="4" xfId="0" applyFont="1" applyFill="1" applyBorder="1" applyAlignment="1">
      <alignment horizontal="left" vertical="top"/>
    </xf>
    <xf numFmtId="0" fontId="1" fillId="2" borderId="5" xfId="0" applyFont="1" applyFill="1" applyBorder="1" applyAlignment="1">
      <alignment horizontal="left" vertical="top" wrapText="1"/>
    </xf>
    <xf numFmtId="0" fontId="1" fillId="24" borderId="0" xfId="0" applyFont="1" applyFill="1" applyAlignment="1">
      <alignment vertical="top"/>
    </xf>
    <xf numFmtId="0" fontId="2" fillId="24" borderId="0" xfId="0" applyFont="1" applyFill="1" applyAlignment="1">
      <alignment vertical="top"/>
    </xf>
    <xf numFmtId="0" fontId="1" fillId="24" borderId="0" xfId="0" applyFont="1" applyFill="1" applyAlignment="1">
      <alignment horizontal="center" vertical="top"/>
    </xf>
    <xf numFmtId="0" fontId="36" fillId="24" borderId="0" xfId="0" applyFont="1" applyFill="1" applyAlignment="1">
      <alignment horizontal="left" vertical="top"/>
    </xf>
    <xf numFmtId="0" fontId="1" fillId="24" borderId="1" xfId="0" applyFont="1" applyFill="1" applyBorder="1" applyAlignment="1">
      <alignment horizontal="left" vertical="top"/>
    </xf>
    <xf numFmtId="0" fontId="1" fillId="24" borderId="3" xfId="0" applyFont="1" applyFill="1" applyBorder="1" applyAlignment="1">
      <alignment vertical="top"/>
    </xf>
    <xf numFmtId="0" fontId="1" fillId="24" borderId="3" xfId="0" applyFont="1" applyFill="1" applyBorder="1" applyAlignment="1">
      <alignment horizontal="left" vertical="top"/>
    </xf>
    <xf numFmtId="0" fontId="1" fillId="24" borderId="4" xfId="0" applyFont="1" applyFill="1" applyBorder="1" applyAlignment="1">
      <alignment horizontal="left" vertical="top"/>
    </xf>
    <xf numFmtId="0" fontId="1" fillId="24" borderId="3" xfId="0" applyFont="1" applyFill="1" applyBorder="1" applyAlignment="1">
      <alignment vertical="top" wrapText="1"/>
    </xf>
    <xf numFmtId="0" fontId="1" fillId="24" borderId="0" xfId="0" applyFont="1" applyFill="1" applyAlignment="1">
      <alignment vertical="top" wrapText="1"/>
    </xf>
    <xf numFmtId="0" fontId="1" fillId="24" borderId="1" xfId="0" applyFont="1" applyFill="1" applyBorder="1" applyAlignment="1">
      <alignment vertical="top"/>
    </xf>
    <xf numFmtId="0" fontId="1" fillId="24" borderId="0" xfId="0" applyFont="1" applyFill="1" applyAlignment="1">
      <alignment horizontal="left" vertical="top" wrapText="1"/>
    </xf>
    <xf numFmtId="0" fontId="1" fillId="24" borderId="5" xfId="0" applyFont="1" applyFill="1" applyBorder="1" applyAlignment="1">
      <alignment vertical="top" wrapText="1"/>
    </xf>
    <xf numFmtId="0" fontId="1" fillId="24" borderId="3" xfId="0" applyFont="1" applyFill="1" applyBorder="1" applyAlignment="1">
      <alignment horizontal="left" vertical="top" wrapText="1"/>
    </xf>
    <xf numFmtId="0" fontId="1" fillId="24" borderId="5" xfId="0" applyFont="1" applyFill="1" applyBorder="1" applyAlignment="1">
      <alignment vertical="top"/>
    </xf>
    <xf numFmtId="0" fontId="1" fillId="24" borderId="1" xfId="0" applyFont="1" applyFill="1" applyBorder="1" applyAlignment="1">
      <alignment vertical="top" wrapText="1"/>
    </xf>
    <xf numFmtId="0" fontId="2" fillId="24" borderId="1" xfId="0" applyFont="1" applyFill="1" applyBorder="1" applyAlignment="1">
      <alignment vertical="top" wrapText="1"/>
    </xf>
    <xf numFmtId="0" fontId="8" fillId="2" borderId="1" xfId="0" applyFont="1" applyFill="1" applyBorder="1" applyAlignment="1">
      <alignment vertical="top"/>
    </xf>
    <xf numFmtId="164" fontId="1" fillId="20" borderId="0" xfId="0" applyNumberFormat="1" applyFont="1" applyFill="1" applyAlignment="1">
      <alignment horizontal="left" vertical="top" wrapText="1"/>
    </xf>
    <xf numFmtId="0" fontId="10" fillId="20" borderId="0" xfId="0" applyFont="1" applyFill="1"/>
    <xf numFmtId="0" fontId="10" fillId="20" borderId="1" xfId="0" applyFont="1" applyFill="1" applyBorder="1"/>
    <xf numFmtId="0" fontId="10" fillId="0" borderId="0" xfId="0" applyFont="1" applyAlignment="1">
      <alignment horizontal="left"/>
    </xf>
    <xf numFmtId="0" fontId="10" fillId="0" borderId="0" xfId="0" applyFont="1" applyAlignment="1">
      <alignment wrapText="1"/>
    </xf>
    <xf numFmtId="0" fontId="37" fillId="2" borderId="3" xfId="0" applyFont="1" applyFill="1" applyBorder="1" applyAlignment="1">
      <alignment vertical="top" wrapText="1"/>
    </xf>
    <xf numFmtId="0" fontId="1" fillId="2" borderId="1" xfId="0" applyFont="1" applyFill="1" applyBorder="1" applyAlignment="1">
      <alignment horizontal="center" vertical="top" wrapText="1"/>
    </xf>
    <xf numFmtId="0" fontId="38" fillId="2" borderId="1" xfId="0" applyFont="1" applyFill="1" applyBorder="1" applyAlignment="1">
      <alignment vertical="top" wrapText="1"/>
    </xf>
    <xf numFmtId="0" fontId="1" fillId="22" borderId="1" xfId="0" applyFont="1" applyFill="1" applyBorder="1" applyAlignment="1">
      <alignment horizontal="center" vertical="top" wrapText="1"/>
    </xf>
    <xf numFmtId="164" fontId="1" fillId="22" borderId="0" xfId="0" applyNumberFormat="1" applyFont="1" applyFill="1" applyAlignment="1">
      <alignment horizontal="left" vertical="top"/>
    </xf>
    <xf numFmtId="0" fontId="10" fillId="0" borderId="0" xfId="0" applyFont="1"/>
    <xf numFmtId="0" fontId="1" fillId="17" borderId="1" xfId="0" applyFont="1" applyFill="1" applyBorder="1" applyAlignment="1">
      <alignment horizontal="center" vertical="top"/>
    </xf>
    <xf numFmtId="0" fontId="1" fillId="17" borderId="0" xfId="0" applyFont="1" applyFill="1"/>
    <xf numFmtId="0" fontId="41" fillId="0" borderId="0" xfId="0" applyFont="1" applyAlignment="1">
      <alignment vertical="top"/>
    </xf>
    <xf numFmtId="0" fontId="41" fillId="0" borderId="3" xfId="0" applyFont="1" applyBorder="1" applyAlignment="1">
      <alignment horizontal="left" vertical="top"/>
    </xf>
    <xf numFmtId="0" fontId="49" fillId="17" borderId="0" xfId="0" applyFont="1" applyFill="1" applyAlignment="1">
      <alignment vertical="top"/>
    </xf>
    <xf numFmtId="0" fontId="1" fillId="17" borderId="5" xfId="0" applyFont="1" applyFill="1" applyBorder="1" applyAlignment="1">
      <alignment horizontal="right" vertical="top"/>
    </xf>
    <xf numFmtId="0" fontId="56" fillId="17" borderId="0" xfId="0" applyFont="1" applyFill="1" applyAlignment="1">
      <alignment horizontal="left" vertical="top"/>
    </xf>
    <xf numFmtId="0" fontId="41" fillId="0" borderId="0" xfId="0" applyFont="1" applyAlignment="1">
      <alignment horizontal="left"/>
    </xf>
    <xf numFmtId="0" fontId="58" fillId="0" borderId="0" xfId="0" applyFont="1"/>
    <xf numFmtId="0" fontId="58" fillId="0" borderId="0" xfId="0" applyFont="1" applyAlignment="1">
      <alignment horizontal="right"/>
    </xf>
    <xf numFmtId="0" fontId="58" fillId="0" borderId="0" xfId="0" applyFont="1" applyAlignment="1">
      <alignment horizontal="left"/>
    </xf>
    <xf numFmtId="0" fontId="59" fillId="0" borderId="0" xfId="0" applyFont="1" applyAlignment="1">
      <alignment wrapText="1"/>
    </xf>
    <xf numFmtId="0" fontId="60" fillId="0" borderId="0" xfId="0" applyFont="1" applyAlignment="1">
      <alignment horizontal="left" wrapText="1"/>
    </xf>
    <xf numFmtId="0" fontId="60" fillId="0" borderId="2" xfId="0" applyFont="1" applyBorder="1" applyAlignment="1">
      <alignment horizontal="left" wrapText="1"/>
    </xf>
    <xf numFmtId="0" fontId="60" fillId="0" borderId="4" xfId="0" applyFont="1" applyBorder="1" applyAlignment="1">
      <alignment horizontal="left" wrapText="1"/>
    </xf>
    <xf numFmtId="0" fontId="61" fillId="0" borderId="0" xfId="0" applyFont="1"/>
    <xf numFmtId="0" fontId="60" fillId="0" borderId="0" xfId="0" applyFont="1" applyAlignment="1">
      <alignment horizontal="left"/>
    </xf>
    <xf numFmtId="0" fontId="60" fillId="0" borderId="2" xfId="0" applyFont="1" applyBorder="1" applyAlignment="1">
      <alignment horizontal="left"/>
    </xf>
    <xf numFmtId="0" fontId="60" fillId="0" borderId="4" xfId="0" applyFont="1" applyBorder="1" applyAlignment="1">
      <alignment horizontal="left"/>
    </xf>
    <xf numFmtId="0" fontId="62" fillId="0" borderId="0" xfId="0" applyFont="1" applyAlignment="1">
      <alignment horizontal="left"/>
    </xf>
    <xf numFmtId="164" fontId="60" fillId="0" borderId="0" xfId="0" applyNumberFormat="1" applyFont="1" applyAlignment="1">
      <alignment horizontal="left"/>
    </xf>
    <xf numFmtId="165" fontId="60" fillId="0" borderId="0" xfId="0" applyNumberFormat="1" applyFont="1" applyAlignment="1">
      <alignment horizontal="left"/>
    </xf>
    <xf numFmtId="0" fontId="63" fillId="0" borderId="0" xfId="0" applyFont="1"/>
    <xf numFmtId="0" fontId="64" fillId="0" borderId="0" xfId="0" applyFont="1"/>
    <xf numFmtId="166" fontId="60" fillId="0" borderId="0" xfId="0" applyNumberFormat="1" applyFont="1" applyAlignment="1">
      <alignment horizontal="left"/>
    </xf>
    <xf numFmtId="167" fontId="60" fillId="0" borderId="0" xfId="0" applyNumberFormat="1" applyFont="1" applyAlignment="1">
      <alignment horizontal="left"/>
    </xf>
    <xf numFmtId="0" fontId="65" fillId="18" borderId="0" xfId="0" applyFont="1" applyFill="1"/>
    <xf numFmtId="0" fontId="66" fillId="0" borderId="0" xfId="0" applyFont="1"/>
    <xf numFmtId="0" fontId="60" fillId="0" borderId="0" xfId="0" applyFont="1"/>
    <xf numFmtId="168" fontId="60" fillId="0" borderId="0" xfId="0" applyNumberFormat="1" applyFont="1" applyAlignment="1">
      <alignment horizontal="left"/>
    </xf>
    <xf numFmtId="0" fontId="64" fillId="0" borderId="0" xfId="0" applyFont="1" applyAlignment="1">
      <alignment horizontal="left"/>
    </xf>
    <xf numFmtId="0" fontId="63" fillId="0" borderId="0" xfId="0" applyFont="1" applyAlignment="1">
      <alignment horizontal="left"/>
    </xf>
    <xf numFmtId="0" fontId="10" fillId="0" borderId="2" xfId="0" applyFont="1" applyBorder="1" applyAlignment="1">
      <alignment horizontal="left"/>
    </xf>
    <xf numFmtId="0" fontId="10" fillId="0" borderId="4" xfId="0" applyFont="1" applyBorder="1" applyAlignment="1">
      <alignment horizontal="left"/>
    </xf>
    <xf numFmtId="0" fontId="67" fillId="0" borderId="0" xfId="0" applyFont="1"/>
    <xf numFmtId="164" fontId="58" fillId="0" borderId="0" xfId="0" applyNumberFormat="1" applyFont="1" applyAlignment="1">
      <alignment horizontal="right"/>
    </xf>
    <xf numFmtId="164" fontId="58" fillId="0" borderId="0" xfId="0" applyNumberFormat="1" applyFont="1" applyAlignment="1">
      <alignment horizontal="left"/>
    </xf>
    <xf numFmtId="168" fontId="58" fillId="0" borderId="0" xfId="0" applyNumberFormat="1" applyFont="1" applyAlignment="1">
      <alignment horizontal="right"/>
    </xf>
    <xf numFmtId="165" fontId="58" fillId="0" borderId="0" xfId="0" applyNumberFormat="1" applyFont="1" applyAlignment="1">
      <alignment horizontal="left"/>
    </xf>
    <xf numFmtId="0" fontId="68" fillId="18" borderId="0" xfId="0" applyFont="1" applyFill="1"/>
    <xf numFmtId="166" fontId="58" fillId="0" borderId="0" xfId="0" applyNumberFormat="1" applyFont="1" applyAlignment="1">
      <alignment horizontal="right"/>
    </xf>
    <xf numFmtId="0" fontId="69" fillId="0" borderId="0" xfId="0" applyFont="1" applyAlignment="1">
      <alignment horizontal="left"/>
    </xf>
    <xf numFmtId="0" fontId="58" fillId="27" borderId="0" xfId="0" applyFont="1" applyFill="1" applyAlignment="1">
      <alignment wrapText="1"/>
    </xf>
    <xf numFmtId="0" fontId="61" fillId="0" borderId="7" xfId="0" applyFont="1" applyBorder="1"/>
    <xf numFmtId="0" fontId="60" fillId="26" borderId="6" xfId="0" applyFont="1" applyFill="1" applyBorder="1" applyAlignment="1">
      <alignment horizontal="left" vertical="top"/>
    </xf>
    <xf numFmtId="0" fontId="60" fillId="0" borderId="6" xfId="0" applyFont="1" applyBorder="1" applyAlignment="1">
      <alignment horizontal="left" vertical="top"/>
    </xf>
    <xf numFmtId="0" fontId="70" fillId="0" borderId="6" xfId="0" applyFont="1" applyBorder="1" applyAlignment="1">
      <alignment horizontal="left" vertical="top"/>
    </xf>
    <xf numFmtId="0" fontId="10" fillId="0" borderId="6" xfId="0" applyFont="1" applyBorder="1" applyAlignment="1">
      <alignment horizontal="left" vertical="top"/>
    </xf>
    <xf numFmtId="0" fontId="71" fillId="28" borderId="6" xfId="0" applyFont="1" applyFill="1" applyBorder="1" applyAlignment="1">
      <alignment horizontal="left" vertical="top"/>
    </xf>
    <xf numFmtId="0" fontId="10" fillId="28" borderId="6" xfId="0" applyFont="1" applyFill="1" applyBorder="1" applyAlignment="1">
      <alignment horizontal="left" vertical="top"/>
    </xf>
    <xf numFmtId="0" fontId="71" fillId="26" borderId="6" xfId="0" applyFont="1" applyFill="1" applyBorder="1" applyAlignment="1">
      <alignment horizontal="left" vertical="top"/>
    </xf>
    <xf numFmtId="0" fontId="39" fillId="5" borderId="10" xfId="0" applyFont="1" applyFill="1" applyBorder="1" applyAlignment="1">
      <alignment horizontal="left" vertical="top"/>
    </xf>
    <xf numFmtId="0" fontId="39" fillId="0" borderId="10" xfId="0" applyFont="1" applyBorder="1" applyAlignment="1">
      <alignment vertical="top"/>
    </xf>
    <xf numFmtId="0" fontId="39" fillId="0" borderId="10" xfId="0" applyFont="1" applyBorder="1" applyAlignment="1">
      <alignment horizontal="left" vertical="top"/>
    </xf>
    <xf numFmtId="0" fontId="39" fillId="4" borderId="10" xfId="0" applyFont="1" applyFill="1" applyBorder="1" applyAlignment="1">
      <alignment vertical="top"/>
    </xf>
    <xf numFmtId="0" fontId="39" fillId="5" borderId="10" xfId="0" applyFont="1" applyFill="1" applyBorder="1" applyAlignment="1">
      <alignment vertical="top"/>
    </xf>
    <xf numFmtId="0" fontId="39" fillId="6" borderId="10" xfId="0" applyFont="1" applyFill="1" applyBorder="1" applyAlignment="1">
      <alignment vertical="top"/>
    </xf>
    <xf numFmtId="0" fontId="39" fillId="7" borderId="10" xfId="0" applyFont="1" applyFill="1" applyBorder="1" applyAlignment="1">
      <alignment vertical="top"/>
    </xf>
    <xf numFmtId="0" fontId="39" fillId="8" borderId="10" xfId="0" applyFont="1" applyFill="1" applyBorder="1" applyAlignment="1">
      <alignment vertical="top"/>
    </xf>
    <xf numFmtId="0" fontId="41" fillId="0" borderId="0" xfId="0" applyFont="1"/>
    <xf numFmtId="0" fontId="41" fillId="0" borderId="3" xfId="0" applyFont="1" applyBorder="1"/>
    <xf numFmtId="0" fontId="41" fillId="0" borderId="1" xfId="0" applyFont="1" applyBorder="1"/>
    <xf numFmtId="0" fontId="41" fillId="18" borderId="1" xfId="0" applyFont="1" applyFill="1" applyBorder="1"/>
    <xf numFmtId="0" fontId="41" fillId="18" borderId="3" xfId="0" applyFont="1" applyFill="1" applyBorder="1"/>
    <xf numFmtId="0" fontId="41" fillId="0" borderId="5" xfId="0" applyFont="1" applyBorder="1"/>
    <xf numFmtId="0" fontId="0" fillId="0" borderId="0" xfId="0" applyAlignment="1">
      <alignment horizontal="left"/>
    </xf>
    <xf numFmtId="0" fontId="40" fillId="12" borderId="10" xfId="0" applyFont="1" applyFill="1" applyBorder="1" applyAlignment="1">
      <alignment horizontal="left" wrapText="1"/>
    </xf>
    <xf numFmtId="0" fontId="41" fillId="18" borderId="3" xfId="0" applyFont="1" applyFill="1" applyBorder="1" applyAlignment="1">
      <alignment horizontal="left" vertical="top"/>
    </xf>
    <xf numFmtId="0" fontId="0" fillId="0" borderId="0" xfId="0" applyAlignment="1">
      <alignment horizontal="left" vertical="top"/>
    </xf>
    <xf numFmtId="0" fontId="40" fillId="10" borderId="10" xfId="0" applyFont="1" applyFill="1" applyBorder="1" applyAlignment="1">
      <alignment horizontal="left" wrapText="1"/>
    </xf>
    <xf numFmtId="0" fontId="40" fillId="11" borderId="10" xfId="0" applyFont="1" applyFill="1" applyBorder="1" applyAlignment="1">
      <alignment horizontal="left" wrapText="1"/>
    </xf>
    <xf numFmtId="0" fontId="39" fillId="3" borderId="10" xfId="0" applyFont="1" applyFill="1" applyBorder="1" applyAlignment="1">
      <alignment horizontal="left" vertical="center"/>
    </xf>
    <xf numFmtId="0" fontId="39" fillId="4" borderId="10" xfId="0" applyFont="1" applyFill="1" applyBorder="1" applyAlignment="1">
      <alignment horizontal="left" vertical="center"/>
    </xf>
    <xf numFmtId="0" fontId="51" fillId="0" borderId="10" xfId="0" applyFont="1" applyBorder="1" applyAlignment="1">
      <alignment horizontal="left" vertical="center"/>
    </xf>
    <xf numFmtId="0" fontId="41" fillId="0" borderId="10" xfId="0" applyFont="1" applyBorder="1" applyAlignment="1">
      <alignment horizontal="left" vertical="center"/>
    </xf>
    <xf numFmtId="0" fontId="51" fillId="21" borderId="10" xfId="0" applyFont="1" applyFill="1" applyBorder="1" applyAlignment="1">
      <alignment horizontal="left" vertical="center"/>
    </xf>
    <xf numFmtId="0" fontId="41" fillId="21" borderId="10" xfId="0" applyFont="1" applyFill="1" applyBorder="1" applyAlignment="1">
      <alignment horizontal="left" vertical="center"/>
    </xf>
    <xf numFmtId="0" fontId="41" fillId="18" borderId="10" xfId="0" applyFont="1" applyFill="1" applyBorder="1" applyAlignment="1">
      <alignment horizontal="left" vertical="center"/>
    </xf>
    <xf numFmtId="0" fontId="41" fillId="0" borderId="10" xfId="0" quotePrefix="1" applyFont="1" applyBorder="1" applyAlignment="1">
      <alignment horizontal="left" vertical="center"/>
    </xf>
    <xf numFmtId="0" fontId="41" fillId="0" borderId="1" xfId="0" applyFont="1" applyBorder="1" applyAlignment="1">
      <alignment horizontal="left" vertical="center"/>
    </xf>
    <xf numFmtId="0" fontId="41" fillId="0" borderId="4" xfId="0" applyFont="1" applyBorder="1" applyAlignment="1">
      <alignment horizontal="left" vertical="center"/>
    </xf>
    <xf numFmtId="0" fontId="41" fillId="0" borderId="0" xfId="0" applyFont="1" applyAlignment="1">
      <alignment horizontal="left" vertical="center"/>
    </xf>
    <xf numFmtId="0" fontId="41" fillId="0" borderId="3" xfId="0" applyFont="1" applyBorder="1" applyAlignment="1">
      <alignment horizontal="left" vertical="center"/>
    </xf>
    <xf numFmtId="0" fontId="0" fillId="0" borderId="0" xfId="0" applyAlignment="1">
      <alignment horizontal="left" vertical="center"/>
    </xf>
    <xf numFmtId="0" fontId="39" fillId="3" borderId="10" xfId="0" applyFont="1" applyFill="1" applyBorder="1" applyAlignment="1">
      <alignment vertical="center"/>
    </xf>
    <xf numFmtId="0" fontId="41" fillId="0" borderId="10" xfId="0" applyFont="1" applyBorder="1" applyAlignment="1">
      <alignment horizontal="center" vertical="center"/>
    </xf>
    <xf numFmtId="0" fontId="41" fillId="21" borderId="10" xfId="0" applyFont="1" applyFill="1" applyBorder="1" applyAlignment="1">
      <alignment horizontal="center" vertical="center"/>
    </xf>
    <xf numFmtId="0" fontId="41" fillId="0" borderId="0" xfId="0" applyFont="1" applyAlignment="1">
      <alignment vertical="center"/>
    </xf>
    <xf numFmtId="0" fontId="41" fillId="0" borderId="0" xfId="0" applyFont="1" applyAlignment="1">
      <alignment horizontal="center" vertical="center"/>
    </xf>
    <xf numFmtId="0" fontId="41" fillId="0" borderId="3" xfId="0" applyFont="1" applyBorder="1" applyAlignment="1">
      <alignment vertical="center"/>
    </xf>
    <xf numFmtId="0" fontId="0" fillId="0" borderId="0" xfId="0" applyAlignment="1">
      <alignment vertical="center"/>
    </xf>
    <xf numFmtId="0" fontId="39" fillId="0" borderId="10" xfId="0" applyFont="1" applyBorder="1" applyAlignment="1">
      <alignment horizontal="left"/>
    </xf>
    <xf numFmtId="164" fontId="41" fillId="0" borderId="10" xfId="0" applyNumberFormat="1" applyFont="1" applyBorder="1" applyAlignment="1">
      <alignment horizontal="left" vertical="center"/>
    </xf>
    <xf numFmtId="0" fontId="52" fillId="18" borderId="10" xfId="0" applyFont="1" applyFill="1" applyBorder="1" applyAlignment="1">
      <alignment horizontal="left" vertical="center"/>
    </xf>
    <xf numFmtId="0" fontId="54" fillId="0" borderId="10" xfId="0" applyFont="1" applyBorder="1" applyAlignment="1">
      <alignment horizontal="left" vertical="center"/>
    </xf>
    <xf numFmtId="0" fontId="72" fillId="0" borderId="10" xfId="0" applyFont="1" applyBorder="1" applyAlignment="1">
      <alignment horizontal="left" vertical="center"/>
    </xf>
    <xf numFmtId="0" fontId="43" fillId="0" borderId="10" xfId="0" applyFont="1" applyBorder="1" applyAlignment="1">
      <alignment horizontal="left" vertical="center"/>
    </xf>
    <xf numFmtId="0" fontId="50" fillId="0" borderId="10" xfId="0" applyFont="1" applyBorder="1" applyAlignment="1">
      <alignment horizontal="left" vertical="center"/>
    </xf>
    <xf numFmtId="0" fontId="41" fillId="0" borderId="10" xfId="0" applyFont="1" applyBorder="1" applyAlignment="1">
      <alignment horizontal="left" vertical="center" wrapText="1"/>
    </xf>
    <xf numFmtId="0" fontId="45" fillId="0" borderId="10" xfId="0" applyFont="1" applyBorder="1" applyAlignment="1">
      <alignment horizontal="left" vertical="center"/>
    </xf>
    <xf numFmtId="0" fontId="41" fillId="19" borderId="10" xfId="0" applyFont="1" applyFill="1" applyBorder="1" applyAlignment="1">
      <alignment horizontal="left" vertical="center"/>
    </xf>
    <xf numFmtId="0" fontId="48" fillId="0" borderId="10" xfId="0" applyFont="1" applyBorder="1" applyAlignment="1">
      <alignment horizontal="left" vertical="center"/>
    </xf>
    <xf numFmtId="0" fontId="42" fillId="0" borderId="10" xfId="0" applyFont="1" applyBorder="1" applyAlignment="1">
      <alignment horizontal="left" vertical="center"/>
    </xf>
    <xf numFmtId="0" fontId="55" fillId="0" borderId="10" xfId="0" applyFont="1" applyBorder="1" applyAlignment="1">
      <alignment horizontal="left" vertical="center"/>
    </xf>
    <xf numFmtId="0" fontId="44" fillId="0" borderId="10" xfId="0" applyFont="1" applyBorder="1" applyAlignment="1">
      <alignment horizontal="left" vertical="center"/>
    </xf>
    <xf numFmtId="0" fontId="57" fillId="21" borderId="10" xfId="0" applyFont="1" applyFill="1" applyBorder="1" applyAlignment="1">
      <alignment horizontal="left" vertical="center"/>
    </xf>
    <xf numFmtId="0" fontId="41" fillId="25" borderId="10" xfId="0" applyFont="1" applyFill="1" applyBorder="1" applyAlignment="1">
      <alignment horizontal="left" vertical="center"/>
    </xf>
    <xf numFmtId="0" fontId="46" fillId="0" borderId="10" xfId="0" applyFont="1" applyBorder="1" applyAlignment="1">
      <alignment horizontal="left" vertical="center"/>
    </xf>
    <xf numFmtId="0" fontId="40" fillId="0" borderId="10" xfId="0" applyFont="1" applyBorder="1" applyAlignment="1">
      <alignment horizontal="left" vertical="center"/>
    </xf>
    <xf numFmtId="0" fontId="39" fillId="3" borderId="10" xfId="0" applyFont="1" applyFill="1" applyBorder="1" applyAlignment="1">
      <alignment horizontal="center" vertical="center"/>
    </xf>
    <xf numFmtId="0" fontId="0" fillId="0" borderId="0" xfId="0" applyAlignment="1">
      <alignment horizontal="center" vertical="center"/>
    </xf>
    <xf numFmtId="0" fontId="40" fillId="9" borderId="10" xfId="0" applyFont="1" applyFill="1" applyBorder="1" applyAlignment="1">
      <alignment horizontal="left" wrapText="1"/>
    </xf>
    <xf numFmtId="0" fontId="40" fillId="13" borderId="10" xfId="0" applyFont="1" applyFill="1" applyBorder="1" applyAlignment="1">
      <alignment horizontal="left" wrapText="1"/>
    </xf>
    <xf numFmtId="0" fontId="40" fillId="16" borderId="10" xfId="0" applyFont="1" applyFill="1" applyBorder="1" applyAlignment="1">
      <alignment horizontal="left" wrapText="1"/>
    </xf>
    <xf numFmtId="0" fontId="40" fillId="14" borderId="10" xfId="0" applyFont="1" applyFill="1" applyBorder="1" applyAlignment="1">
      <alignment horizontal="left" wrapText="1"/>
    </xf>
    <xf numFmtId="0" fontId="40" fillId="15" borderId="10" xfId="0" applyFont="1" applyFill="1" applyBorder="1" applyAlignment="1">
      <alignment horizontal="left" wrapText="1"/>
    </xf>
    <xf numFmtId="0" fontId="40" fillId="0" borderId="10" xfId="0" applyFont="1" applyBorder="1" applyAlignment="1">
      <alignment horizontal="left" wrapText="1"/>
    </xf>
    <xf numFmtId="0" fontId="39" fillId="8" borderId="10" xfId="0" applyFont="1" applyFill="1" applyBorder="1" applyAlignment="1">
      <alignment horizontal="left" vertical="top" wrapText="1"/>
    </xf>
    <xf numFmtId="0" fontId="40" fillId="16" borderId="10" xfId="0" applyFont="1" applyFill="1" applyBorder="1" applyAlignment="1">
      <alignment horizontal="left" vertical="top" wrapText="1"/>
    </xf>
    <xf numFmtId="0" fontId="41" fillId="0" borderId="10" xfId="0" applyFont="1" applyBorder="1" applyAlignment="1">
      <alignment horizontal="left" vertical="top" wrapText="1"/>
    </xf>
    <xf numFmtId="0" fontId="40" fillId="0" borderId="10" xfId="0" applyFont="1" applyBorder="1" applyAlignment="1">
      <alignment horizontal="left" vertical="top" wrapText="1"/>
    </xf>
    <xf numFmtId="0" fontId="41" fillId="21" borderId="10" xfId="0" applyFont="1" applyFill="1" applyBorder="1" applyAlignment="1">
      <alignment horizontal="left" vertical="top" wrapText="1"/>
    </xf>
    <xf numFmtId="0" fontId="41" fillId="0" borderId="0" xfId="0" applyFont="1" applyAlignment="1">
      <alignment horizontal="left" vertical="top" wrapText="1"/>
    </xf>
    <xf numFmtId="0" fontId="73" fillId="0" borderId="10" xfId="0" applyFont="1" applyBorder="1" applyAlignment="1">
      <alignment horizontal="left" vertical="center"/>
    </xf>
    <xf numFmtId="0" fontId="73" fillId="0" borderId="10" xfId="0" applyFont="1" applyBorder="1" applyAlignment="1">
      <alignment horizontal="center" vertical="center"/>
    </xf>
    <xf numFmtId="0" fontId="74" fillId="0" borderId="10" xfId="0" applyFont="1" applyBorder="1" applyAlignment="1">
      <alignment horizontal="left" vertical="center"/>
    </xf>
    <xf numFmtId="0" fontId="73" fillId="18" borderId="10" xfId="0" applyFont="1" applyFill="1" applyBorder="1" applyAlignment="1">
      <alignment horizontal="left" vertical="center"/>
    </xf>
    <xf numFmtId="0" fontId="73" fillId="0" borderId="10" xfId="0" applyFont="1" applyBorder="1" applyAlignment="1">
      <alignment horizontal="left" vertical="top" wrapText="1"/>
    </xf>
    <xf numFmtId="0" fontId="77" fillId="0" borderId="0" xfId="0" applyFont="1" applyAlignment="1">
      <alignment horizontal="left" vertical="center"/>
    </xf>
    <xf numFmtId="0" fontId="74" fillId="18" borderId="10" xfId="0" applyFont="1" applyFill="1" applyBorder="1" applyAlignment="1">
      <alignment horizontal="left" vertical="center"/>
    </xf>
    <xf numFmtId="164" fontId="73" fillId="0" borderId="10" xfId="0" applyNumberFormat="1" applyFont="1" applyBorder="1" applyAlignment="1">
      <alignment horizontal="left" vertical="center"/>
    </xf>
    <xf numFmtId="0" fontId="75" fillId="0" borderId="10" xfId="0" applyFont="1" applyBorder="1" applyAlignment="1">
      <alignment horizontal="left" vertical="center"/>
    </xf>
    <xf numFmtId="0" fontId="76" fillId="0" borderId="10" xfId="0" applyFont="1" applyBorder="1" applyAlignment="1">
      <alignment horizontal="left" vertical="top" wrapText="1"/>
    </xf>
    <xf numFmtId="167" fontId="73" fillId="0" borderId="10" xfId="0" applyNumberFormat="1" applyFont="1" applyBorder="1" applyAlignment="1">
      <alignment horizontal="left" vertical="center"/>
    </xf>
    <xf numFmtId="0" fontId="73" fillId="0" borderId="0" xfId="0" applyFont="1" applyAlignment="1">
      <alignment vertical="top"/>
    </xf>
    <xf numFmtId="0" fontId="73" fillId="0" borderId="0" xfId="0" applyFont="1" applyAlignment="1">
      <alignment vertical="top" wrapText="1"/>
    </xf>
    <xf numFmtId="0" fontId="73" fillId="0" borderId="0" xfId="0" applyFont="1" applyAlignment="1">
      <alignment horizontal="left" vertical="top" wrapText="1"/>
    </xf>
    <xf numFmtId="0" fontId="77" fillId="0" borderId="0" xfId="0" applyFont="1"/>
    <xf numFmtId="0" fontId="73" fillId="0" borderId="10" xfId="0" applyFont="1" applyBorder="1" applyAlignment="1">
      <alignment vertical="top" wrapText="1"/>
    </xf>
    <xf numFmtId="0" fontId="73" fillId="0" borderId="0" xfId="0" applyFont="1" applyAlignment="1">
      <alignment horizontal="center" vertical="top"/>
    </xf>
    <xf numFmtId="0" fontId="74" fillId="0" borderId="0" xfId="0" applyFont="1" applyAlignment="1">
      <alignment vertical="top"/>
    </xf>
    <xf numFmtId="0" fontId="73" fillId="0" borderId="0" xfId="0" applyFont="1" applyAlignment="1">
      <alignment horizontal="left" vertical="top"/>
    </xf>
    <xf numFmtId="0" fontId="71" fillId="0" borderId="6" xfId="0" applyFont="1" applyBorder="1" applyAlignment="1">
      <alignment horizontal="left" vertical="top"/>
    </xf>
    <xf numFmtId="0" fontId="0" fillId="0" borderId="8" xfId="0" applyBorder="1"/>
    <xf numFmtId="0" fontId="0" fillId="0" borderId="9" xfId="0" applyBorder="1"/>
    <xf numFmtId="0" fontId="78" fillId="0" borderId="10" xfId="1" applyBorder="1" applyAlignment="1">
      <alignment horizontal="left" vertical="center"/>
    </xf>
    <xf numFmtId="49" fontId="39" fillId="8" borderId="10" xfId="0" applyNumberFormat="1" applyFont="1" applyFill="1" applyBorder="1" applyAlignment="1">
      <alignment horizontal="left" vertical="top" wrapText="1"/>
    </xf>
    <xf numFmtId="49" fontId="40" fillId="16" borderId="10" xfId="0" applyNumberFormat="1" applyFont="1" applyFill="1" applyBorder="1" applyAlignment="1">
      <alignment horizontal="left" vertical="top" wrapText="1"/>
    </xf>
    <xf numFmtId="49" fontId="41" fillId="0" borderId="10" xfId="0" applyNumberFormat="1" applyFont="1" applyBorder="1" applyAlignment="1">
      <alignment horizontal="left" vertical="top" wrapText="1"/>
    </xf>
    <xf numFmtId="49" fontId="73" fillId="0" borderId="10" xfId="0" applyNumberFormat="1" applyFont="1" applyBorder="1" applyAlignment="1">
      <alignment horizontal="left" vertical="top" wrapText="1"/>
    </xf>
    <xf numFmtId="49" fontId="47" fillId="0" borderId="10" xfId="0" applyNumberFormat="1" applyFont="1" applyBorder="1" applyAlignment="1">
      <alignment horizontal="left" vertical="top" wrapText="1"/>
    </xf>
    <xf numFmtId="49" fontId="53" fillId="0" borderId="10" xfId="0" applyNumberFormat="1" applyFont="1" applyBorder="1" applyAlignment="1">
      <alignment horizontal="left" vertical="top" wrapText="1"/>
    </xf>
    <xf numFmtId="49" fontId="41" fillId="0" borderId="1" xfId="0" applyNumberFormat="1" applyFont="1" applyBorder="1" applyAlignment="1">
      <alignment horizontal="left" vertical="top" wrapText="1"/>
    </xf>
    <xf numFmtId="49" fontId="0" fillId="0" borderId="0" xfId="0" applyNumberFormat="1" applyAlignment="1">
      <alignment horizontal="left" vertical="top"/>
    </xf>
    <xf numFmtId="0" fontId="73" fillId="0" borderId="10"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l.acm.org/doi/10.1145/3290605.3300576" TargetMode="External"/><Relationship Id="rId21" Type="http://schemas.openxmlformats.org/officeDocument/2006/relationships/hyperlink" Target="https://scholar.google.com/scholar_lookup?title=A+circumplex+model+of+affect&amp;author=Russell,+J.A.&amp;publication_year=1980&amp;journal=J.+Personal.+Soc.+Psychol.&amp;volume=39&amp;pages=1161&amp;doi=10.1037/h0077714" TargetMode="External"/><Relationship Id="rId42" Type="http://schemas.openxmlformats.org/officeDocument/2006/relationships/hyperlink" Target="https://scholar.google.com/scholar_lookup?title=Developing+a+Scale+to+Measure+the+Interactivity+of+Websites&amp;author=Liu-Thompkins,+Y.&amp;publication_year=2003&amp;journal=J.+Advert.+Res.&amp;volume=43&amp;pages=207%E2%80%93216&amp;doi=10.1017/S0021849903030204" TargetMode="External"/><Relationship Id="rId63" Type="http://schemas.openxmlformats.org/officeDocument/2006/relationships/hyperlink" Target="https://ieeexplore.ieee.org/document/10294261/" TargetMode="External"/><Relationship Id="rId84" Type="http://schemas.openxmlformats.org/officeDocument/2006/relationships/hyperlink" Target="https://dl.acm.org/doi/10.1145/3613904.3642448" TargetMode="External"/><Relationship Id="rId138" Type="http://schemas.openxmlformats.org/officeDocument/2006/relationships/hyperlink" Target="https://ieeexplore.ieee.org/abstract/document/6634103" TargetMode="External"/><Relationship Id="rId107" Type="http://schemas.openxmlformats.org/officeDocument/2006/relationships/hyperlink" Target="https://ieeexplore.ieee.org/abstract/document/9787913" TargetMode="External"/><Relationship Id="rId11" Type="http://schemas.openxmlformats.org/officeDocument/2006/relationships/hyperlink" Target="http://seeingdata.org/" TargetMode="External"/><Relationship Id="rId32" Type="http://schemas.openxmlformats.org/officeDocument/2006/relationships/hyperlink" Target="https://www.tandfonline.com/doi/full/10.1080/07421222.2014.1001270" TargetMode="External"/><Relationship Id="rId37" Type="http://schemas.openxmlformats.org/officeDocument/2006/relationships/hyperlink" Target="https://journals.sagepub.com/doi/10.1177/1050651920959208" TargetMode="External"/><Relationship Id="rId53" Type="http://schemas.openxmlformats.org/officeDocument/2006/relationships/hyperlink" Target="https://dl.acm.org/doi/10.1145/2470654.2481326" TargetMode="External"/><Relationship Id="rId58" Type="http://schemas.openxmlformats.org/officeDocument/2006/relationships/hyperlink" Target="https://www.tandfonline.com/doi/full/10.1080/15213260903287259" TargetMode="External"/><Relationship Id="rId74" Type="http://schemas.openxmlformats.org/officeDocument/2006/relationships/hyperlink" Target="https://www.tandfonline.com/doi/full/10.1080/0144929X.2024.2408361" TargetMode="External"/><Relationship Id="rId79" Type="http://schemas.openxmlformats.org/officeDocument/2006/relationships/hyperlink" Target="https://ieeexplore.ieee.org/document/10153659/?arnumber=10153659" TargetMode="External"/><Relationship Id="rId102" Type="http://schemas.openxmlformats.org/officeDocument/2006/relationships/hyperlink" Target="https://dl.acm.org/doi/10.1145/3505284.3529972" TargetMode="External"/><Relationship Id="rId123" Type="http://schemas.openxmlformats.org/officeDocument/2006/relationships/hyperlink" Target="https://www.sciencedirect.com/science/article/pii/S0736585317308730" TargetMode="External"/><Relationship Id="rId128" Type="http://schemas.openxmlformats.org/officeDocument/2006/relationships/hyperlink" Target="https://ieeexplore.ieee.org/document/7369991" TargetMode="External"/><Relationship Id="rId5" Type="http://schemas.openxmlformats.org/officeDocument/2006/relationships/hyperlink" Target="https://ieeexplore.ieee.org/document/4272047" TargetMode="External"/><Relationship Id="rId90" Type="http://schemas.openxmlformats.org/officeDocument/2006/relationships/hyperlink" Target="https://doi.org/10.1109/VIS55277.2024.00021" TargetMode="External"/><Relationship Id="rId95" Type="http://schemas.openxmlformats.org/officeDocument/2006/relationships/hyperlink" Target="https://dl.acm.org/doi/10.1145/3544548.3581330" TargetMode="External"/><Relationship Id="rId22" Type="http://schemas.openxmlformats.org/officeDocument/2006/relationships/hyperlink" Target="https://www.sciencedirect.com/science/chapter/bookseries/abs/pii/S0065260108604128" TargetMode="External"/><Relationship Id="rId27" Type="http://schemas.openxmlformats.org/officeDocument/2006/relationships/hyperlink" Target="https://www.tandfonline.com/doi/full/10.1080/0144929X.2021.2000028?scroll=top&amp;needAccess=true" TargetMode="External"/><Relationship Id="rId43" Type="http://schemas.openxmlformats.org/officeDocument/2006/relationships/hyperlink" Target="https://doi.org/10.1023%2FB%3AQUAS.0000049239.15922.a3" TargetMode="External"/><Relationship Id="rId48" Type="http://schemas.openxmlformats.org/officeDocument/2006/relationships/hyperlink" Target="https://journals.sagepub.com/doi/full/10.1177/20552076221129103" TargetMode="External"/><Relationship Id="rId64" Type="http://schemas.openxmlformats.org/officeDocument/2006/relationships/hyperlink" Target="https://ieeexplore.ieee.org/abstract/document/10292909" TargetMode="External"/><Relationship Id="rId69" Type="http://schemas.openxmlformats.org/officeDocument/2006/relationships/hyperlink" Target="https://ieeexplore.ieee.org/document/10673804/?arnumber=10673804" TargetMode="External"/><Relationship Id="rId113" Type="http://schemas.openxmlformats.org/officeDocument/2006/relationships/hyperlink" Target="https://onlinelibrary.wiley.com/doi/abs/10.1111/cag.12575" TargetMode="External"/><Relationship Id="rId118" Type="http://schemas.openxmlformats.org/officeDocument/2006/relationships/hyperlink" Target="https://dl.acm.org/doi/10.1145/3290605.3300483" TargetMode="External"/><Relationship Id="rId134" Type="http://schemas.openxmlformats.org/officeDocument/2006/relationships/hyperlink" Target="https://dl.acm.org/doi/10.1145/2702123.2702452" TargetMode="External"/><Relationship Id="rId139" Type="http://schemas.openxmlformats.org/officeDocument/2006/relationships/hyperlink" Target="http://ieeexplore.ieee.org/document/6064988/" TargetMode="External"/><Relationship Id="rId80" Type="http://schemas.openxmlformats.org/officeDocument/2006/relationships/hyperlink" Target="https://ieeexplore.ieee.org/document/10579785/?arnumber=10579785" TargetMode="External"/><Relationship Id="rId85" Type="http://schemas.openxmlformats.org/officeDocument/2006/relationships/hyperlink" Target="https://ieeexplore.ieee.org/document/10669937/" TargetMode="External"/><Relationship Id="rId12" Type="http://schemas.openxmlformats.org/officeDocument/2006/relationships/hyperlink" Target="https://www.sciencedirect.com/science/article/pii/S0736585317308730" TargetMode="External"/><Relationship Id="rId17" Type="http://schemas.openxmlformats.org/officeDocument/2006/relationships/hyperlink" Target="https://osf.io/uxwts/" TargetMode="External"/><Relationship Id="rId33" Type="http://schemas.openxmlformats.org/officeDocument/2006/relationships/hyperlink" Target="https://dl.acm.org/doi/10.1145/2702123.2702608" TargetMode="External"/><Relationship Id="rId38" Type="http://schemas.openxmlformats.org/officeDocument/2006/relationships/hyperlink" Target="https://d1wqtxts1xzle7.cloudfront.net/87094539/DESIGNERS_20AND_20USERS_Norman-libre.pdf?1654538322=&amp;response-content-disposition=inline%3B+filename%3DDesigners_and_Users_Two_Perspectives_on.pdf&amp;Expires=1765100224&amp;Signature=GH6ZQkSXv41o67bj~~YBGLIrizxDydaTNBPt2JzOJhT5Z8P3lGlXOxT6WzG9CM3bNPgJiwje1im8BJq~IVF4TX82r-mCDeW8UmRal72KkYzbAo~q5g1u7drDZa8yfdBCOEqwplVBL3141G3etj5fSHS~Q0mSqvwAbQnI4zGzy6obPKl7Jt55XcIy7Bw95LXEQ1kFbOS~zqp07t~d7obSVqwxdo1LlcYl3IpjlBsYHrmaXUJIGjdkbhyvNx0eRpTZPvbkfeBtuvRw2nhtvKFTBvYz8O480fTENACAuYr3WmxpIfxExutwNK3g5eUw6UbX~zcTSIHekst1Hy~H-Jtq~A__&amp;Key-Pair-Id=APKAJLOHF5GGSLRBV4ZA" TargetMode="External"/><Relationship Id="rId59" Type="http://schemas.openxmlformats.org/officeDocument/2006/relationships/hyperlink" Target="https://www.nytimes.com/interactive/2021/02/26/science/reopen-schools-safety-ventilation.html" TargetMode="External"/><Relationship Id="rId103" Type="http://schemas.openxmlformats.org/officeDocument/2006/relationships/hyperlink" Target="https://dl.acm.org/doi/10.1145/3491102.3517727" TargetMode="External"/><Relationship Id="rId108" Type="http://schemas.openxmlformats.org/officeDocument/2006/relationships/hyperlink" Target="http://www.jbe-platform.com/content/journals/10.1075/idj.25.1.06cam" TargetMode="External"/><Relationship Id="rId124" Type="http://schemas.openxmlformats.org/officeDocument/2006/relationships/hyperlink" Target="https://www.sciencedirect.com/science/article/pii/S1071581918300041" TargetMode="External"/><Relationship Id="rId129" Type="http://schemas.openxmlformats.org/officeDocument/2006/relationships/hyperlink" Target="https://www.tandfonline.com/doi/full/10.1080/13658816.2015.1131829" TargetMode="External"/><Relationship Id="rId54" Type="http://schemas.openxmlformats.org/officeDocument/2006/relationships/hyperlink" Target="https://www.researchgate.net/publication/267816883_Toward_a_theory_of_semantic_representation" TargetMode="External"/><Relationship Id="rId70" Type="http://schemas.openxmlformats.org/officeDocument/2006/relationships/hyperlink" Target="https://dl.acm.org/doi/10.1145/3706598.3713807" TargetMode="External"/><Relationship Id="rId75" Type="http://schemas.openxmlformats.org/officeDocument/2006/relationships/hyperlink" Target="https://www.tandfonline.com/doi/full/10.1080/23729333.2022.2159781" TargetMode="External"/><Relationship Id="rId91" Type="http://schemas.openxmlformats.org/officeDocument/2006/relationships/hyperlink" Target="https://ieeexplore.ieee.org/abstract/document/10292909" TargetMode="External"/><Relationship Id="rId96" Type="http://schemas.openxmlformats.org/officeDocument/2006/relationships/hyperlink" Target="https://ieeexplore.ieee.org/document/10290962/" TargetMode="External"/><Relationship Id="rId140" Type="http://schemas.openxmlformats.org/officeDocument/2006/relationships/hyperlink" Target="https://doi.org/10.1080/10810730903032960" TargetMode="External"/><Relationship Id="rId1" Type="http://schemas.openxmlformats.org/officeDocument/2006/relationships/hyperlink" Target="https://faculty.cc.gatech.edu/~john.stasko/papers/infovis10-model.pdf" TargetMode="External"/><Relationship Id="rId6" Type="http://schemas.openxmlformats.org/officeDocument/2006/relationships/hyperlink" Target="http://visual.ly/" TargetMode="External"/><Relationship Id="rId23" Type="http://schemas.openxmlformats.org/officeDocument/2006/relationships/hyperlink" Target="https://psycnet.apa.org/record/2005-04648-000" TargetMode="External"/><Relationship Id="rId28" Type="http://schemas.openxmlformats.org/officeDocument/2006/relationships/hyperlink" Target="https://psycnet.apa.org/fulltext/2001-00465-003.pdf" TargetMode="External"/><Relationship Id="rId49" Type="http://schemas.openxmlformats.org/officeDocument/2006/relationships/hyperlink" Target="https://www.un.org/en/climatechange/communicating-climate-change" TargetMode="External"/><Relationship Id="rId114" Type="http://schemas.openxmlformats.org/officeDocument/2006/relationships/hyperlink" Target="https://onlinelibrary.wiley.com/doi/abs/10.1111/cgf.13980" TargetMode="External"/><Relationship Id="rId119" Type="http://schemas.openxmlformats.org/officeDocument/2006/relationships/hyperlink" Target="https://www.nature.com/articles/s41558-019-0587-5" TargetMode="External"/><Relationship Id="rId44" Type="http://schemas.openxmlformats.org/officeDocument/2006/relationships/hyperlink" Target="https://books.google.com/books?hl=en&amp;lr=&amp;id=k8tgDwAAQBAJ&amp;oi=fnd&amp;pg=PP1&amp;ots=YY3i3BsZ0e&amp;sig=IwonPOGlWKrwVZmBWsC94-lXps4" TargetMode="External"/><Relationship Id="rId60" Type="http://schemas.openxmlformats.org/officeDocument/2006/relationships/hyperlink" Target="https://dl.acm.org/doi/abs/10.1145/2421076.2421086" TargetMode="External"/><Relationship Id="rId65" Type="http://schemas.openxmlformats.org/officeDocument/2006/relationships/hyperlink" Target="https://ieeexplore.ieee.org/document/10409610/" TargetMode="External"/><Relationship Id="rId81" Type="http://schemas.openxmlformats.org/officeDocument/2006/relationships/hyperlink" Target="http://arxiv.org/abs/2402.12634" TargetMode="External"/><Relationship Id="rId86" Type="http://schemas.openxmlformats.org/officeDocument/2006/relationships/hyperlink" Target="https://ieeexplore.ieee.org/document/10409610/" TargetMode="External"/><Relationship Id="rId130" Type="http://schemas.openxmlformats.org/officeDocument/2006/relationships/hyperlink" Target="https://dl.acm.org/doi/10.1145/2993901.2993903" TargetMode="External"/><Relationship Id="rId135" Type="http://schemas.openxmlformats.org/officeDocument/2006/relationships/hyperlink" Target="http://ieeexplore.ieee.org/document/6876023/" TargetMode="External"/><Relationship Id="rId13" Type="http://schemas.openxmlformats.org/officeDocument/2006/relationships/hyperlink" Target="https://www.sciencedirect.com/science/article/pii/S0736585317308730" TargetMode="External"/><Relationship Id="rId18" Type="http://schemas.openxmlformats.org/officeDocument/2006/relationships/hyperlink" Target="http://dx.doi.org/10.1007/978-3-319-20499-4_1" TargetMode="External"/><Relationship Id="rId39" Type="http://schemas.openxmlformats.org/officeDocument/2006/relationships/hyperlink" Target="https://scholar.google.com/scholar_lookup?title=Towards+a+Science+of+User+Engagement+(Position+Paper)&amp;conference=Proceedings+of+the+WSDM+Workshop+on+User+Modelling+for+Web+Applications&amp;author=Attfield,+S.&amp;author=Kazai,+G.&amp;author=Lalmas,+M.&amp;author=Piwowarski,+B.&amp;publication_year=2011" TargetMode="External"/><Relationship Id="rId109" Type="http://schemas.openxmlformats.org/officeDocument/2006/relationships/hyperlink" Target="https://dl.acm.org/doi/10.1145/3450741.3465259" TargetMode="External"/><Relationship Id="rId34" Type="http://schemas.openxmlformats.org/officeDocument/2006/relationships/hyperlink" Target="https://doi.org/10.1080%2F1747423X.2016.1172129" TargetMode="External"/><Relationship Id="rId50" Type="http://schemas.openxmlformats.org/officeDocument/2006/relationships/hyperlink" Target="https://library.oapen.org/bitstream/handle/20.500.12657/22273/9789048543137.pdf?sequence=1%20" TargetMode="External"/><Relationship Id="rId55" Type="http://schemas.openxmlformats.org/officeDocument/2006/relationships/hyperlink" Target="https://journals.sagepub.com/doi/10.1177/1470357209343375" TargetMode="External"/><Relationship Id="rId76" Type="http://schemas.openxmlformats.org/officeDocument/2006/relationships/hyperlink" Target="https://ntnuopen.ntnu.no/ntnu-xmlui/handle/11250/3154948" TargetMode="External"/><Relationship Id="rId97" Type="http://schemas.openxmlformats.org/officeDocument/2006/relationships/hyperlink" Target="https://doi.org/10.1080/10696679.2022.2039875" TargetMode="External"/><Relationship Id="rId104" Type="http://schemas.openxmlformats.org/officeDocument/2006/relationships/hyperlink" Target="https://ieeexplore.ieee.org/document/9975360/" TargetMode="External"/><Relationship Id="rId120" Type="http://schemas.openxmlformats.org/officeDocument/2006/relationships/hyperlink" Target="https://www.frontiersin.org/journals/communication/articles/10.3389/fcomm.2018.00063/full" TargetMode="External"/><Relationship Id="rId125" Type="http://schemas.openxmlformats.org/officeDocument/2006/relationships/hyperlink" Target="https://doi.org/10.1177/0963662518756853" TargetMode="External"/><Relationship Id="rId141" Type="http://schemas.openxmlformats.org/officeDocument/2006/relationships/hyperlink" Target="https://ieeexplore.ieee.org/document/1648328" TargetMode="External"/><Relationship Id="rId7" Type="http://schemas.openxmlformats.org/officeDocument/2006/relationships/hyperlink" Target="https://www.sciencedirect.com/science/article/pii/S1551741121003788" TargetMode="External"/><Relationship Id="rId71" Type="http://schemas.openxmlformats.org/officeDocument/2006/relationships/hyperlink" Target="https://ieeexplore.ieee.org/document/10682437" TargetMode="External"/><Relationship Id="rId92" Type="http://schemas.openxmlformats.org/officeDocument/2006/relationships/hyperlink" Target="https://dl.acm.org/doi/10.1145/3643834.3661606" TargetMode="External"/><Relationship Id="rId2" Type="http://schemas.openxmlformats.org/officeDocument/2006/relationships/hyperlink" Target="https://scholar.google.com/scholar_lookup?title=A+circumplex+model+of+affect&amp;author=Russell,+J.A.&amp;publication_year=1980&amp;journal=J.+Personal.+Soc.+Psychol.&amp;volume=39&amp;pages=1161&amp;doi=10.1037/h0077714" TargetMode="External"/><Relationship Id="rId29" Type="http://schemas.openxmlformats.org/officeDocument/2006/relationships/hyperlink" Target="https://link.springer.com/article/10.3758/bf03194319?utm_source=getftr&amp;utm_medium=getftr&amp;utm_campaign=getftr_pilot&amp;getft_integrator=tfo" TargetMode="External"/><Relationship Id="rId24" Type="http://schemas.openxmlformats.org/officeDocument/2006/relationships/hyperlink" Target="https://dl.acm.org/doi/10.1145/3411764.3445211" TargetMode="External"/><Relationship Id="rId40" Type="http://schemas.openxmlformats.org/officeDocument/2006/relationships/hyperlink" Target="http://caixin.com/" TargetMode="External"/><Relationship Id="rId45" Type="http://schemas.openxmlformats.org/officeDocument/2006/relationships/hyperlink" Target="https://misq.umn.edu/skin/frontend/default/misq/pdf/appendices/2013/V37I1_Appendices/PingZhangAppendices.pdf" TargetMode="External"/><Relationship Id="rId66" Type="http://schemas.openxmlformats.org/officeDocument/2006/relationships/hyperlink" Target="https://ieeexplore.ieee.org/document/10153659/?arnumber=10153659" TargetMode="External"/><Relationship Id="rId87" Type="http://schemas.openxmlformats.org/officeDocument/2006/relationships/hyperlink" Target="https://linkinghub.elsevier.com/retrieve/pii/S1071581924001241" TargetMode="External"/><Relationship Id="rId110" Type="http://schemas.openxmlformats.org/officeDocument/2006/relationships/hyperlink" Target="https://doi.org/10.1177/15291006211051956" TargetMode="External"/><Relationship Id="rId115" Type="http://schemas.openxmlformats.org/officeDocument/2006/relationships/hyperlink" Target="https://dl.acm.org/doi/10.1145/3313831.3376462" TargetMode="External"/><Relationship Id="rId131" Type="http://schemas.openxmlformats.org/officeDocument/2006/relationships/hyperlink" Target="https://ieeexplore.ieee.org/document/7192636?denied=" TargetMode="External"/><Relationship Id="rId136" Type="http://schemas.openxmlformats.org/officeDocument/2006/relationships/hyperlink" Target="https://onlinelibrary.wiley.com/doi/abs/10.1002/asi.23096" TargetMode="External"/><Relationship Id="rId61" Type="http://schemas.openxmlformats.org/officeDocument/2006/relationships/hyperlink" Target="https://www.sciencedirect.com/science/article/pii/S0736585317308730" TargetMode="External"/><Relationship Id="rId82" Type="http://schemas.openxmlformats.org/officeDocument/2006/relationships/hyperlink" Target="https://dl.acm.org/doi/10.1145/3613904.3642661" TargetMode="External"/><Relationship Id="rId19" Type="http://schemas.openxmlformats.org/officeDocument/2006/relationships/hyperlink" Target="https://scholar.google.com/scholar_lookup?title=A+circumplex+model+of+affect&amp;author=Russell,+J.A.&amp;publication_year=1980&amp;journal=J.+Personal.+Soc.+Psychol.&amp;volume=39&amp;pages=1161&amp;doi=10.1037/h0077714" TargetMode="External"/><Relationship Id="rId14" Type="http://schemas.openxmlformats.org/officeDocument/2006/relationships/hyperlink" Target="https://stateofobesity.org/adult-obesity/" TargetMode="External"/><Relationship Id="rId30" Type="http://schemas.openxmlformats.org/officeDocument/2006/relationships/hyperlink" Target="https://journals.sagepub.com/doi/epdf/10.1177/10298649020050S107?src=getftr&amp;utm_source=tfo&amp;getft_integrator=tfo" TargetMode="External"/><Relationship Id="rId35" Type="http://schemas.openxmlformats.org/officeDocument/2006/relationships/hyperlink" Target="https://link.springer.com/doi/10.1007/s10584-014-1278-x" TargetMode="External"/><Relationship Id="rId56" Type="http://schemas.openxmlformats.org/officeDocument/2006/relationships/hyperlink" Target="https://academic.oup.com/book/2214/chapter/142269657" TargetMode="External"/><Relationship Id="rId77" Type="http://schemas.openxmlformats.org/officeDocument/2006/relationships/hyperlink" Target="https://linkinghub.elsevier.com/retrieve/pii/S1071581923001465" TargetMode="External"/><Relationship Id="rId100" Type="http://schemas.openxmlformats.org/officeDocument/2006/relationships/hyperlink" Target="https://doi.org/10.1080/0144929X.2021.2000028" TargetMode="External"/><Relationship Id="rId105" Type="http://schemas.openxmlformats.org/officeDocument/2006/relationships/hyperlink" Target="http://arxiv.org/abs/2211.03296" TargetMode="External"/><Relationship Id="rId126" Type="http://schemas.openxmlformats.org/officeDocument/2006/relationships/hyperlink" Target="http://idl.cs.washington.edu/files/2017-BlackHatVis-DECISIVe.pdf" TargetMode="External"/><Relationship Id="rId8" Type="http://schemas.openxmlformats.org/officeDocument/2006/relationships/hyperlink" Target="http://cognitivegiscience.psu.edu/uncertainty2014/Schedule.html" TargetMode="External"/><Relationship Id="rId51" Type="http://schemas.openxmlformats.org/officeDocument/2006/relationships/hyperlink" Target="https://dl.acm.org/doi/10.1145/1460355.1460357" TargetMode="External"/><Relationship Id="rId72" Type="http://schemas.openxmlformats.org/officeDocument/2006/relationships/hyperlink" Target="https://ieeexplore.ieee.org/document/10673804/?arnumber=10673804" TargetMode="External"/><Relationship Id="rId93" Type="http://schemas.openxmlformats.org/officeDocument/2006/relationships/hyperlink" Target="https://doi.org/10.1080/15230406.2023.2268502" TargetMode="External"/><Relationship Id="rId98" Type="http://schemas.openxmlformats.org/officeDocument/2006/relationships/hyperlink" Target="https://dl.acm.org/doi/10.1145/3544548.3581204" TargetMode="External"/><Relationship Id="rId121" Type="http://schemas.openxmlformats.org/officeDocument/2006/relationships/hyperlink" Target="https://onlinelibrary.wiley.com/doi/abs/10.1002/wcc.509" TargetMode="External"/><Relationship Id="rId3" Type="http://schemas.openxmlformats.org/officeDocument/2006/relationships/hyperlink" Target="https://scholar.google.com/scholar_lookup?title=A+circumplex+model+of+affect&amp;author=Russell,+J.A.&amp;publication_year=1980&amp;journal=J.+Personal.+Soc.+Psychol.&amp;volume=39&amp;pages=1161&amp;doi=10.1037/h0077714" TargetMode="External"/><Relationship Id="rId25" Type="http://schemas.openxmlformats.org/officeDocument/2006/relationships/hyperlink" Target="https://dl.acm.org/doi/10.1145/3544548.3581330" TargetMode="External"/><Relationship Id="rId46" Type="http://schemas.openxmlformats.org/officeDocument/2006/relationships/hyperlink" Target="https://dx.doi.org/10.1080/02699931.2014.967183" TargetMode="External"/><Relationship Id="rId67" Type="http://schemas.openxmlformats.org/officeDocument/2006/relationships/hyperlink" Target="https://ieeexplore.ieee.org/document/10309864/?arnumber=10309864" TargetMode="External"/><Relationship Id="rId116" Type="http://schemas.openxmlformats.org/officeDocument/2006/relationships/hyperlink" Target="https://dl.acm.org/doi/pdf/10.1145/3290605.3300474" TargetMode="External"/><Relationship Id="rId137" Type="http://schemas.openxmlformats.org/officeDocument/2006/relationships/hyperlink" Target="https://dl.acm.org/doi/10.1145/2470654.2481410" TargetMode="External"/><Relationship Id="rId20" Type="http://schemas.openxmlformats.org/officeDocument/2006/relationships/hyperlink" Target="https://www.sciencedirect.com/science/article/pii/S0169204618307205" TargetMode="External"/><Relationship Id="rId41" Type="http://schemas.openxmlformats.org/officeDocument/2006/relationships/hyperlink" Target="http://caixin.com/" TargetMode="External"/><Relationship Id="rId62" Type="http://schemas.openxmlformats.org/officeDocument/2006/relationships/hyperlink" Target="https://ieeexplore.ieee.org/abstract/document/9787913" TargetMode="External"/><Relationship Id="rId83" Type="http://schemas.openxmlformats.org/officeDocument/2006/relationships/hyperlink" Target="https://doi.org/10.1108/OIR-12-2022-0691" TargetMode="External"/><Relationship Id="rId88" Type="http://schemas.openxmlformats.org/officeDocument/2006/relationships/hyperlink" Target="https://dl.acm.org/doi/10.1145/3643834.3660732" TargetMode="External"/><Relationship Id="rId111" Type="http://schemas.openxmlformats.org/officeDocument/2006/relationships/hyperlink" Target="https://osf.io/dnr9s" TargetMode="External"/><Relationship Id="rId132" Type="http://schemas.openxmlformats.org/officeDocument/2006/relationships/hyperlink" Target="https://dl.acm.org/doi/10.1145/2702123.2702545" TargetMode="External"/><Relationship Id="rId15" Type="http://schemas.openxmlformats.org/officeDocument/2006/relationships/hyperlink" Target="https://www.sciencedirect.com/science/article/pii/S0736585317308730" TargetMode="External"/><Relationship Id="rId36" Type="http://schemas.openxmlformats.org/officeDocument/2006/relationships/hyperlink" Target="https://ieeexplore.ieee.org/stamp/stamp.jsp?tp=&amp;arnumber=6327285" TargetMode="External"/><Relationship Id="rId57" Type="http://schemas.openxmlformats.org/officeDocument/2006/relationships/hyperlink" Target="https://link.springer.com/chapter/10.1007/1-4020-2967-5_12" TargetMode="External"/><Relationship Id="rId106" Type="http://schemas.openxmlformats.org/officeDocument/2006/relationships/hyperlink" Target="https://ieeexplore.ieee.org/document/9913065/" TargetMode="External"/><Relationship Id="rId127" Type="http://schemas.openxmlformats.org/officeDocument/2006/relationships/hyperlink" Target="https://dl.acm.org/doi/10.1145/3025453.3025512" TargetMode="External"/><Relationship Id="rId10" Type="http://schemas.openxmlformats.org/officeDocument/2006/relationships/hyperlink" Target="https://www.tandfonline.com/doi/abs/10.1080/026999300402763" TargetMode="External"/><Relationship Id="rId31" Type="http://schemas.openxmlformats.org/officeDocument/2006/relationships/hyperlink" Target="https://firstmonday.org/ojs/index.php/fm/article/view/6389" TargetMode="External"/><Relationship Id="rId52" Type="http://schemas.openxmlformats.org/officeDocument/2006/relationships/hyperlink" Target="https://www.sciencedirect.com/science/article/pii/S1071581918300041" TargetMode="External"/><Relationship Id="rId73" Type="http://schemas.openxmlformats.org/officeDocument/2006/relationships/hyperlink" Target="https://www.sciencedirect.com/science/article/pii/S1071581924001265" TargetMode="External"/><Relationship Id="rId78" Type="http://schemas.openxmlformats.org/officeDocument/2006/relationships/hyperlink" Target="https://ieeexplore.ieee.org/document/10309864/?arnumber=10309864" TargetMode="External"/><Relationship Id="rId94" Type="http://schemas.openxmlformats.org/officeDocument/2006/relationships/hyperlink" Target="https://ieeexplore.ieee.org/document/10339930/?arnumber=10339930" TargetMode="External"/><Relationship Id="rId99" Type="http://schemas.openxmlformats.org/officeDocument/2006/relationships/hyperlink" Target="https://ieeexplore.ieee.org/document/10294261/" TargetMode="External"/><Relationship Id="rId101" Type="http://schemas.openxmlformats.org/officeDocument/2006/relationships/hyperlink" Target="https://doi.org/10.1007/s11165-020-09951-9" TargetMode="External"/><Relationship Id="rId122" Type="http://schemas.openxmlformats.org/officeDocument/2006/relationships/hyperlink" Target="https://www.tandfonline.com/doi/full/10.1080/03057267.2018.1442820" TargetMode="External"/><Relationship Id="rId4" Type="http://schemas.openxmlformats.org/officeDocument/2006/relationships/hyperlink" Target="https://www.jstor.org/stable/2288400?seq=1" TargetMode="External"/><Relationship Id="rId9" Type="http://schemas.openxmlformats.org/officeDocument/2006/relationships/hyperlink" Target="https://www.tandfonline.com/action/getFTRLinkout?url=http%3A%2F%2Fscholar.google.com%2Fscholar_lookup%3Fhl%3Den%26publication_year%3D2008%26author%3DC.%2BWare%26title%3DVisual%2Bthinking%2Bfor%2Bdesign&amp;doi=10.1080%2F13658816.2015.1131829&amp;doiOfLink=&amp;linkType=gs&amp;linkLocation=Reference&amp;linkSource=FULL_TEXT" TargetMode="External"/><Relationship Id="rId26" Type="http://schemas.openxmlformats.org/officeDocument/2006/relationships/hyperlink" Target="https://www.researchgate.net/publication/338379504_Reinventing_Television_News_Innovative_Formats_in_a_Social_Media_Environment" TargetMode="External"/><Relationship Id="rId47" Type="http://schemas.openxmlformats.org/officeDocument/2006/relationships/hyperlink" Target="https://ieeexplore.ieee.org/abstract/document/7539634/" TargetMode="External"/><Relationship Id="rId68" Type="http://schemas.openxmlformats.org/officeDocument/2006/relationships/hyperlink" Target="https://linkinghub.elsevier.com/retrieve/pii/S1071581923001465" TargetMode="External"/><Relationship Id="rId89" Type="http://schemas.openxmlformats.org/officeDocument/2006/relationships/hyperlink" Target="https://ieeexplore.ieee.org/document/9998319/" TargetMode="External"/><Relationship Id="rId112" Type="http://schemas.openxmlformats.org/officeDocument/2006/relationships/hyperlink" Target="https://dl.acm.org/doi/10.1145/3313831.3376348" TargetMode="External"/><Relationship Id="rId133" Type="http://schemas.openxmlformats.org/officeDocument/2006/relationships/hyperlink" Target="https://dl.acm.org/doi/10.1145/2702123.2702275" TargetMode="External"/><Relationship Id="rId16" Type="http://schemas.openxmlformats.org/officeDocument/2006/relationships/hyperlink" Target="https://www.sciencedirect.com/science/article/pii/S073658531730873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ieeexplore.ieee.org/document/6876023/" TargetMode="External"/><Relationship Id="rId21" Type="http://schemas.openxmlformats.org/officeDocument/2006/relationships/hyperlink" Target="https://ieeexplore.ieee.org/document/9307754/" TargetMode="External"/><Relationship Id="rId42" Type="http://schemas.openxmlformats.org/officeDocument/2006/relationships/hyperlink" Target="http://rowman.com/" TargetMode="External"/><Relationship Id="rId63" Type="http://schemas.openxmlformats.org/officeDocument/2006/relationships/hyperlink" Target="https://ieeexplore.ieee.org/document/10409610/" TargetMode="External"/><Relationship Id="rId84" Type="http://schemas.openxmlformats.org/officeDocument/2006/relationships/hyperlink" Target="https://ieeexplore.ieee.org/Xplorehelp/downloads/license-information/IEEE.html" TargetMode="External"/><Relationship Id="rId138" Type="http://schemas.openxmlformats.org/officeDocument/2006/relationships/hyperlink" Target="https://www.ncbi.nlm.nih.gov/pmc/articles/PMC5381435/" TargetMode="External"/><Relationship Id="rId159" Type="http://schemas.openxmlformats.org/officeDocument/2006/relationships/hyperlink" Target="http://arxiv.org/" TargetMode="External"/><Relationship Id="rId170" Type="http://schemas.openxmlformats.org/officeDocument/2006/relationships/hyperlink" Target="http://journals.sagepub.com/doi/10.1177/14614448221141648" TargetMode="External"/><Relationship Id="rId107" Type="http://schemas.openxmlformats.org/officeDocument/2006/relationships/hyperlink" Target="https://dl.acm.org/doi/10.1145/3313831.3376348" TargetMode="External"/><Relationship Id="rId11" Type="http://schemas.openxmlformats.org/officeDocument/2006/relationships/hyperlink" Target="https://creativecommons.org/licenses/by/4.0/legalcode" TargetMode="External"/><Relationship Id="rId32" Type="http://schemas.openxmlformats.org/officeDocument/2006/relationships/hyperlink" Target="https://ieeexplore.ieee.org/document/8476234/" TargetMode="External"/><Relationship Id="rId53" Type="http://schemas.openxmlformats.org/officeDocument/2006/relationships/hyperlink" Target="https://ieeexplore.ieee.org/document/10308716/?arnumber=10308716" TargetMode="External"/><Relationship Id="rId74" Type="http://schemas.openxmlformats.org/officeDocument/2006/relationships/hyperlink" Target="https://doi.org/10.1080/10696679.2022.2039875" TargetMode="External"/><Relationship Id="rId128" Type="http://schemas.openxmlformats.org/officeDocument/2006/relationships/hyperlink" Target="http://www.spiedigitallibrary.org/" TargetMode="External"/><Relationship Id="rId149" Type="http://schemas.openxmlformats.org/officeDocument/2006/relationships/hyperlink" Target="https://link.springer.com/10.1007/s44267-023-00011-0" TargetMode="External"/><Relationship Id="rId5" Type="http://schemas.openxmlformats.org/officeDocument/2006/relationships/hyperlink" Target="http://arxiv.org/abs/2407.13416" TargetMode="External"/><Relationship Id="rId95" Type="http://schemas.openxmlformats.org/officeDocument/2006/relationships/hyperlink" Target="https://ieeexplore.ieee.org/abstract/document/9787913" TargetMode="External"/><Relationship Id="rId160" Type="http://schemas.openxmlformats.org/officeDocument/2006/relationships/hyperlink" Target="https://ieeexplore.ieee.org/document/10308716/" TargetMode="External"/><Relationship Id="rId181" Type="http://schemas.openxmlformats.org/officeDocument/2006/relationships/hyperlink" Target="https://source.opennews.org/articles/connecting-dots/" TargetMode="External"/><Relationship Id="rId22" Type="http://schemas.openxmlformats.org/officeDocument/2006/relationships/hyperlink" Target="https://ieeexplore.ieee.org/Xplorehelp/downloads/license-information/IEEE.html" TargetMode="External"/><Relationship Id="rId43" Type="http://schemas.openxmlformats.org/officeDocument/2006/relationships/hyperlink" Target="https://dl.acm.org/doi/10.1145/764008.763957" TargetMode="External"/><Relationship Id="rId64" Type="http://schemas.openxmlformats.org/officeDocument/2006/relationships/hyperlink" Target="https://ieeexplore.ieee.org/Xplorehelp/downloads/license-information/IEEE.html" TargetMode="External"/><Relationship Id="rId118" Type="http://schemas.openxmlformats.org/officeDocument/2006/relationships/hyperlink" Target="https://ieeexplore.ieee.org/abstract/document/6634103" TargetMode="External"/><Relationship Id="rId139" Type="http://schemas.openxmlformats.org/officeDocument/2006/relationships/hyperlink" Target="https://onlinelibrary.wiley.com/doi/abs/10.1111/cgf.14556" TargetMode="External"/><Relationship Id="rId85" Type="http://schemas.openxmlformats.org/officeDocument/2006/relationships/hyperlink" Target="http://www.jbe-platform.com/content/journals/10.1075/idj.25.1.06cam" TargetMode="External"/><Relationship Id="rId150" Type="http://schemas.openxmlformats.org/officeDocument/2006/relationships/hyperlink" Target="https://www.psoyearbook.org/wp-content/uploads/2022/04/Seeing-the-Visual.pdf" TargetMode="External"/><Relationship Id="rId171" Type="http://schemas.openxmlformats.org/officeDocument/2006/relationships/hyperlink" Target="https://ieeexplore.ieee.org/document/9552195/?arnumber=9552195" TargetMode="External"/><Relationship Id="rId12" Type="http://schemas.openxmlformats.org/officeDocument/2006/relationships/hyperlink" Target="http://ieeexplore.ieee.org/document/6064988/" TargetMode="External"/><Relationship Id="rId33" Type="http://schemas.openxmlformats.org/officeDocument/2006/relationships/hyperlink" Target="https://dl.acm.org/doi/10.1145/3234149" TargetMode="External"/><Relationship Id="rId108" Type="http://schemas.openxmlformats.org/officeDocument/2006/relationships/hyperlink" Target="https://www.frontiersin.org/journals/communication/articles/10.3389/fcomm.2018.00063/full" TargetMode="External"/><Relationship Id="rId129" Type="http://schemas.openxmlformats.org/officeDocument/2006/relationships/hyperlink" Target="https://dl.acm.org/doi/10.1145/3206505.3206552" TargetMode="External"/><Relationship Id="rId54" Type="http://schemas.openxmlformats.org/officeDocument/2006/relationships/hyperlink" Target="https://dl.acm.org/doi/10.1145/3643834.3660732" TargetMode="External"/><Relationship Id="rId75" Type="http://schemas.openxmlformats.org/officeDocument/2006/relationships/hyperlink" Target="https://linkinghub.elsevier.com/retrieve/pii/S2590198223000763" TargetMode="External"/><Relationship Id="rId96" Type="http://schemas.openxmlformats.org/officeDocument/2006/relationships/hyperlink" Target="https://dl.acm.org/doi/10.1145/3491102.3517727" TargetMode="External"/><Relationship Id="rId140" Type="http://schemas.openxmlformats.org/officeDocument/2006/relationships/hyperlink" Target="https://onlinelibrary.wiley.com/doi/abs/10.1111/cgf.14553" TargetMode="External"/><Relationship Id="rId161" Type="http://schemas.openxmlformats.org/officeDocument/2006/relationships/hyperlink" Target="https://ieeexplore.ieee.org/document/9222293/" TargetMode="External"/><Relationship Id="rId182" Type="http://schemas.openxmlformats.org/officeDocument/2006/relationships/hyperlink" Target="https://www.datavisualizationsociety.org/" TargetMode="External"/><Relationship Id="rId6" Type="http://schemas.openxmlformats.org/officeDocument/2006/relationships/hyperlink" Target="http://arxiv.org/" TargetMode="External"/><Relationship Id="rId23" Type="http://schemas.openxmlformats.org/officeDocument/2006/relationships/hyperlink" Target="https://ieeexplore.ieee.org/document/10304299/" TargetMode="External"/><Relationship Id="rId119" Type="http://schemas.openxmlformats.org/officeDocument/2006/relationships/hyperlink" Target="http://arxiv.org/abs/2407.17291" TargetMode="External"/><Relationship Id="rId44" Type="http://schemas.openxmlformats.org/officeDocument/2006/relationships/hyperlink" Target="https://www.frontiersin.org/journals/psychology/articles/10.3389/fpsyg.2023.1139427/full" TargetMode="External"/><Relationship Id="rId65" Type="http://schemas.openxmlformats.org/officeDocument/2006/relationships/hyperlink" Target="https://dl.acm.org/doi/10.1145/3613904.3642661" TargetMode="External"/><Relationship Id="rId86" Type="http://schemas.openxmlformats.org/officeDocument/2006/relationships/hyperlink" Target="https://doi.org/10.1007/s10584-021-03291-x" TargetMode="External"/><Relationship Id="rId130" Type="http://schemas.openxmlformats.org/officeDocument/2006/relationships/hyperlink" Target="https://dl.acm.org/doi/10.1145/1180875.1180938" TargetMode="External"/><Relationship Id="rId151" Type="http://schemas.openxmlformats.org/officeDocument/2006/relationships/hyperlink" Target="http://arxiv.org/abs/2312.01164" TargetMode="External"/><Relationship Id="rId172" Type="http://schemas.openxmlformats.org/officeDocument/2006/relationships/hyperlink" Target="https://diglib.eg.org/handle/10.2312/envirvis20191098" TargetMode="External"/><Relationship Id="rId13" Type="http://schemas.openxmlformats.org/officeDocument/2006/relationships/hyperlink" Target="https://jcom.sissa.it/article/pubid/JCOM_2107_2022_A03/" TargetMode="External"/><Relationship Id="rId18" Type="http://schemas.openxmlformats.org/officeDocument/2006/relationships/hyperlink" Target="https://dl.acm.org/doi/10.1145/3025453.3026041" TargetMode="External"/><Relationship Id="rId39" Type="http://schemas.openxmlformats.org/officeDocument/2006/relationships/hyperlink" Target="https://link.springer.com/10.1007/978-3-031-02188-6" TargetMode="External"/><Relationship Id="rId109" Type="http://schemas.openxmlformats.org/officeDocument/2006/relationships/hyperlink" Target="https://doi.org/10.1177/0963662518756853" TargetMode="External"/><Relationship Id="rId34" Type="http://schemas.openxmlformats.org/officeDocument/2006/relationships/hyperlink" Target="https://ieeexplore.ieee.org/document/10158423/?arnumber=10158423" TargetMode="External"/><Relationship Id="rId50" Type="http://schemas.openxmlformats.org/officeDocument/2006/relationships/hyperlink" Target="https://ieeexplore.ieee.org/document/10673804/?arnumber=10673804" TargetMode="External"/><Relationship Id="rId55" Type="http://schemas.openxmlformats.org/officeDocument/2006/relationships/hyperlink" Target="https://linkinghub.elsevier.com/retrieve/pii/S1071581924001241" TargetMode="External"/><Relationship Id="rId76" Type="http://schemas.openxmlformats.org/officeDocument/2006/relationships/hyperlink" Target="https://ieeexplore.ieee.org/document/10290962/" TargetMode="External"/><Relationship Id="rId97" Type="http://schemas.openxmlformats.org/officeDocument/2006/relationships/hyperlink" Target="https://dl.acm.org/doi/10.1145/3491102.3517728" TargetMode="External"/><Relationship Id="rId104" Type="http://schemas.openxmlformats.org/officeDocument/2006/relationships/hyperlink" Target="https://dl.acm.org/doi/10.1145/3313831.3376222" TargetMode="External"/><Relationship Id="rId120" Type="http://schemas.openxmlformats.org/officeDocument/2006/relationships/hyperlink" Target="http://arxiv.org/" TargetMode="External"/><Relationship Id="rId125" Type="http://schemas.openxmlformats.org/officeDocument/2006/relationships/hyperlink" Target="https://onlinelibrary.wiley.com/doi/10.1111/cgf.14815" TargetMode="External"/><Relationship Id="rId141" Type="http://schemas.openxmlformats.org/officeDocument/2006/relationships/hyperlink" Target="https://journals.sagepub.com/doi/10.1177/13548565221079156" TargetMode="External"/><Relationship Id="rId146" Type="http://schemas.openxmlformats.org/officeDocument/2006/relationships/hyperlink" Target="http://arxiv.org/abs/2304.10540" TargetMode="External"/><Relationship Id="rId167" Type="http://schemas.openxmlformats.org/officeDocument/2006/relationships/hyperlink" Target="https://dl.acm.org/doi/10.1145/3613904.3641957" TargetMode="External"/><Relationship Id="rId7" Type="http://schemas.openxmlformats.org/officeDocument/2006/relationships/hyperlink" Target="https://dl.designresearchsociety.org/iasdr/iasdr2023/fullpapers/147" TargetMode="External"/><Relationship Id="rId71" Type="http://schemas.openxmlformats.org/officeDocument/2006/relationships/hyperlink" Target="https://linkinghub.elsevier.com/retrieve/pii/S1071581923001465" TargetMode="External"/><Relationship Id="rId92" Type="http://schemas.openxmlformats.org/officeDocument/2006/relationships/hyperlink" Target="https://ieeexplore.ieee.org/document/9975360/" TargetMode="External"/><Relationship Id="rId162" Type="http://schemas.openxmlformats.org/officeDocument/2006/relationships/hyperlink" Target="https://ieeexplore.ieee.org/Xplorehelp/downloads/license-information/IEEE.html" TargetMode="External"/><Relationship Id="rId183" Type="http://schemas.openxmlformats.org/officeDocument/2006/relationships/hyperlink" Target="https://www.informationisbeautifulawards.com/" TargetMode="External"/><Relationship Id="rId2" Type="http://schemas.openxmlformats.org/officeDocument/2006/relationships/hyperlink" Target="https://doi.org/10.1177/1940161220964780" TargetMode="External"/><Relationship Id="rId29" Type="http://schemas.openxmlformats.org/officeDocument/2006/relationships/hyperlink" Target="https://dl.acm.org/doi/10.1145/3290605.3300418" TargetMode="External"/><Relationship Id="rId24" Type="http://schemas.openxmlformats.org/officeDocument/2006/relationships/hyperlink" Target="https://ieeexplore.ieee.org/Xplorehelp/downloads/license-information/IEEE.html" TargetMode="External"/><Relationship Id="rId40" Type="http://schemas.openxmlformats.org/officeDocument/2006/relationships/hyperlink" Target="https://www.springer.com/tdm" TargetMode="External"/><Relationship Id="rId45" Type="http://schemas.openxmlformats.org/officeDocument/2006/relationships/hyperlink" Target="https://www.tandfonline.com/doi/full/10.1080/17524032.2024.2372579" TargetMode="External"/><Relationship Id="rId66" Type="http://schemas.openxmlformats.org/officeDocument/2006/relationships/hyperlink" Target="http://arxiv.org/abs/2402.12634" TargetMode="External"/><Relationship Id="rId87" Type="http://schemas.openxmlformats.org/officeDocument/2006/relationships/hyperlink" Target="https://ieeexplore.ieee.org/document/9913065/" TargetMode="External"/><Relationship Id="rId110" Type="http://schemas.openxmlformats.org/officeDocument/2006/relationships/hyperlink" Target="https://doi.org/10.1177/0038038516674675" TargetMode="External"/><Relationship Id="rId115" Type="http://schemas.openxmlformats.org/officeDocument/2006/relationships/hyperlink" Target="https://dl.acm.org/doi/10.1145/2702123.2702545" TargetMode="External"/><Relationship Id="rId131" Type="http://schemas.openxmlformats.org/officeDocument/2006/relationships/hyperlink" Target="https://www.tandfonline.com/doi/full/10.1080/02763869.2024.2290963" TargetMode="External"/><Relationship Id="rId136" Type="http://schemas.openxmlformats.org/officeDocument/2006/relationships/hyperlink" Target="https://doi.org/10.1109/TVCG.2023.3327385" TargetMode="External"/><Relationship Id="rId157" Type="http://schemas.openxmlformats.org/officeDocument/2006/relationships/hyperlink" Target="https://ieeexplore.ieee.org/document/8809393/?arnumber=8809393" TargetMode="External"/><Relationship Id="rId178" Type="http://schemas.openxmlformats.org/officeDocument/2006/relationships/hyperlink" Target="https://guns.periscopic.com/" TargetMode="External"/><Relationship Id="rId61" Type="http://schemas.openxmlformats.org/officeDocument/2006/relationships/hyperlink" Target="https://ieeexplore.ieee.org/abstract/document/10308621" TargetMode="External"/><Relationship Id="rId82" Type="http://schemas.openxmlformats.org/officeDocument/2006/relationships/hyperlink" Target="https://dl.acm.org/doi/10.1145/3544548.3581204" TargetMode="External"/><Relationship Id="rId152" Type="http://schemas.openxmlformats.org/officeDocument/2006/relationships/hyperlink" Target="http://arxiv.org/" TargetMode="External"/><Relationship Id="rId173" Type="http://schemas.openxmlformats.org/officeDocument/2006/relationships/hyperlink" Target="https://ieeexplore.ieee.org/document/9971409/?arnumber=9971409" TargetMode="External"/><Relationship Id="rId19" Type="http://schemas.openxmlformats.org/officeDocument/2006/relationships/hyperlink" Target="https://onlinelibrary.wiley.com/doi/abs/10.1111/cgf.14518" TargetMode="External"/><Relationship Id="rId14" Type="http://schemas.openxmlformats.org/officeDocument/2006/relationships/hyperlink" Target="http://arxiv.org/" TargetMode="External"/><Relationship Id="rId30" Type="http://schemas.openxmlformats.org/officeDocument/2006/relationships/hyperlink" Target="https://digitalcommons.uri.edu/jmle/vol10/iss2/7/" TargetMode="External"/><Relationship Id="rId35" Type="http://schemas.openxmlformats.org/officeDocument/2006/relationships/hyperlink" Target="https://direct.mit.edu/books/book/4660/Data-Feminism" TargetMode="External"/><Relationship Id="rId56" Type="http://schemas.openxmlformats.org/officeDocument/2006/relationships/hyperlink" Target="https://dl.acm.org/doi/10.1145/3643834.3661606" TargetMode="External"/><Relationship Id="rId77" Type="http://schemas.openxmlformats.org/officeDocument/2006/relationships/hyperlink" Target="https://ieeexplore.ieee.org/Xplorehelp/downloads/license-information/IEEE.html" TargetMode="External"/><Relationship Id="rId100" Type="http://schemas.openxmlformats.org/officeDocument/2006/relationships/hyperlink" Target="https://www.mdpi.com/1424-8220/21/14/4766" TargetMode="External"/><Relationship Id="rId105" Type="http://schemas.openxmlformats.org/officeDocument/2006/relationships/hyperlink" Target="https://onlinelibrary.wiley.com/doi/abs/10.1111/cgf.13980" TargetMode="External"/><Relationship Id="rId126" Type="http://schemas.openxmlformats.org/officeDocument/2006/relationships/hyperlink" Target="https://dl.acm.org/doi/10.1145/3027063.3053113" TargetMode="External"/><Relationship Id="rId147" Type="http://schemas.openxmlformats.org/officeDocument/2006/relationships/hyperlink" Target="http://arxiv.org/" TargetMode="External"/><Relationship Id="rId168" Type="http://schemas.openxmlformats.org/officeDocument/2006/relationships/hyperlink" Target="https://ieeexplore.ieee.org/document/10672524/" TargetMode="External"/><Relationship Id="rId8" Type="http://schemas.openxmlformats.org/officeDocument/2006/relationships/hyperlink" Target="https://doi.org/10.1080/10410236.2023.2185350" TargetMode="External"/><Relationship Id="rId51" Type="http://schemas.openxmlformats.org/officeDocument/2006/relationships/hyperlink" Target="https://ieeexplore.ieee.org/document/9998319/" TargetMode="External"/><Relationship Id="rId72" Type="http://schemas.openxmlformats.org/officeDocument/2006/relationships/hyperlink" Target="https://ieeexplore.ieee.org/document/10294261/" TargetMode="External"/><Relationship Id="rId93" Type="http://schemas.openxmlformats.org/officeDocument/2006/relationships/hyperlink" Target="https://doi.org/10.15223/policy-029" TargetMode="External"/><Relationship Id="rId98" Type="http://schemas.openxmlformats.org/officeDocument/2006/relationships/hyperlink" Target="https://ieeexplore.ieee.org/abstract/document/9451590" TargetMode="External"/><Relationship Id="rId121" Type="http://schemas.openxmlformats.org/officeDocument/2006/relationships/hyperlink" Target="https://dl.acm.org/doi/10.1145/3643834.3661524" TargetMode="External"/><Relationship Id="rId142" Type="http://schemas.openxmlformats.org/officeDocument/2006/relationships/hyperlink" Target="https://ieeexplore.ieee.org/document/9904442/" TargetMode="External"/><Relationship Id="rId163" Type="http://schemas.openxmlformats.org/officeDocument/2006/relationships/hyperlink" Target="https://dl.acm.org/doi/10.1145/3411764.3445637" TargetMode="External"/><Relationship Id="rId184" Type="http://schemas.openxmlformats.org/officeDocument/2006/relationships/hyperlink" Target="https://www.informationisbeautifulawards.com/" TargetMode="External"/><Relationship Id="rId3" Type="http://schemas.openxmlformats.org/officeDocument/2006/relationships/hyperlink" Target="https://dl.acm.org/doi/10.1145/3544548.3580910" TargetMode="External"/><Relationship Id="rId25" Type="http://schemas.openxmlformats.org/officeDocument/2006/relationships/hyperlink" Target="https://dl.acm.org/doi/10.1145/3613905.3650997" TargetMode="External"/><Relationship Id="rId46" Type="http://schemas.openxmlformats.org/officeDocument/2006/relationships/hyperlink" Target="https://dl.acm.org/doi/10.1145/3643834.3661506" TargetMode="External"/><Relationship Id="rId67" Type="http://schemas.openxmlformats.org/officeDocument/2006/relationships/hyperlink" Target="http://arxiv.org/" TargetMode="External"/><Relationship Id="rId116" Type="http://schemas.openxmlformats.org/officeDocument/2006/relationships/hyperlink" Target="https://onlinelibrary.wiley.com/doi/abs/10.1002/asi.23096" TargetMode="External"/><Relationship Id="rId137" Type="http://schemas.openxmlformats.org/officeDocument/2006/relationships/hyperlink" Target="https://ieeexplore.ieee.org/document/9905872/" TargetMode="External"/><Relationship Id="rId158" Type="http://schemas.openxmlformats.org/officeDocument/2006/relationships/hyperlink" Target="http://arxiv.org/abs/2109.06007" TargetMode="External"/><Relationship Id="rId20" Type="http://schemas.openxmlformats.org/officeDocument/2006/relationships/hyperlink" Target="https://dl.acm.org/doi/10.1145/1094562.1094570" TargetMode="External"/><Relationship Id="rId41" Type="http://schemas.openxmlformats.org/officeDocument/2006/relationships/hyperlink" Target="https://rowman.com/ISBN/9781538148365/Logic-of-Feeling-Technologys-Quest-to-Capitalize-Emotion" TargetMode="External"/><Relationship Id="rId62" Type="http://schemas.openxmlformats.org/officeDocument/2006/relationships/hyperlink" Target="https://doi.org/10.1108/OIR-12-2022-0691" TargetMode="External"/><Relationship Id="rId83" Type="http://schemas.openxmlformats.org/officeDocument/2006/relationships/hyperlink" Target="https://ieeexplore.ieee.org/document/9465643/" TargetMode="External"/><Relationship Id="rId88" Type="http://schemas.openxmlformats.org/officeDocument/2006/relationships/hyperlink" Target="https://ieeexplore.ieee.org/Xplorehelp/downloads/license-information/IEEE.html" TargetMode="External"/><Relationship Id="rId111" Type="http://schemas.openxmlformats.org/officeDocument/2006/relationships/hyperlink" Target="https://ieeexplore.ieee.org/document/7192646/" TargetMode="External"/><Relationship Id="rId132" Type="http://schemas.openxmlformats.org/officeDocument/2006/relationships/hyperlink" Target="https://firstmonday.org/ojs/index.php/fm/article/view/6389" TargetMode="External"/><Relationship Id="rId153" Type="http://schemas.openxmlformats.org/officeDocument/2006/relationships/hyperlink" Target="https://doi.org/10.1146/annurev-publhealth-071321-031118" TargetMode="External"/><Relationship Id="rId174" Type="http://schemas.openxmlformats.org/officeDocument/2006/relationships/hyperlink" Target="https://www.sciencedirect.com/science/article/pii/S0742051X07001102" TargetMode="External"/><Relationship Id="rId179" Type="http://schemas.openxmlformats.org/officeDocument/2006/relationships/hyperlink" Target="https://www.gapminder.org/dollar-street" TargetMode="External"/><Relationship Id="rId15" Type="http://schemas.openxmlformats.org/officeDocument/2006/relationships/hyperlink" Target="https://arxiv.org/abs/2304.10544v1" TargetMode="External"/><Relationship Id="rId36" Type="http://schemas.openxmlformats.org/officeDocument/2006/relationships/hyperlink" Target="http://direct.mit.edu/" TargetMode="External"/><Relationship Id="rId57" Type="http://schemas.openxmlformats.org/officeDocument/2006/relationships/hyperlink" Target="https://ieeexplore.ieee.org/abstract/document/10292909" TargetMode="External"/><Relationship Id="rId106" Type="http://schemas.openxmlformats.org/officeDocument/2006/relationships/hyperlink" Target="https://onlinelibrary.wiley.com/doi/abs/10.1111/cag.12575" TargetMode="External"/><Relationship Id="rId127" Type="http://schemas.openxmlformats.org/officeDocument/2006/relationships/hyperlink" Target="https://www.spiedigitallibrary.org/conference-proceedings-of-spie/9397/93970A/Emotion-prints--interaction-driven-emotion-visualization-on-multi-touch/10.1117/12.2076473.full" TargetMode="External"/><Relationship Id="rId10" Type="http://schemas.openxmlformats.org/officeDocument/2006/relationships/hyperlink" Target="https://osf.io/4j9nr" TargetMode="External"/><Relationship Id="rId31" Type="http://schemas.openxmlformats.org/officeDocument/2006/relationships/hyperlink" Target="https://dl.acm.org/doi/10.1145/3544548.3581086" TargetMode="External"/><Relationship Id="rId52" Type="http://schemas.openxmlformats.org/officeDocument/2006/relationships/hyperlink" Target="https://ieeexplore.ieee.org/Xplorehelp/downloads/license-information/IEEE.html" TargetMode="External"/><Relationship Id="rId73" Type="http://schemas.openxmlformats.org/officeDocument/2006/relationships/hyperlink" Target="https://ieeexplore.ieee.org/Xplorehelp/downloads/license-information/IEEE.html" TargetMode="External"/><Relationship Id="rId78" Type="http://schemas.openxmlformats.org/officeDocument/2006/relationships/hyperlink" Target="https://dl.acm.org/doi/10.1145/3579592" TargetMode="External"/><Relationship Id="rId94" Type="http://schemas.openxmlformats.org/officeDocument/2006/relationships/hyperlink" Target="https://linkinghub.elsevier.com/retrieve/pii/S2590174522001027" TargetMode="External"/><Relationship Id="rId99" Type="http://schemas.openxmlformats.org/officeDocument/2006/relationships/hyperlink" Target="https://osf.io/dnr9s" TargetMode="External"/><Relationship Id="rId101" Type="http://schemas.openxmlformats.org/officeDocument/2006/relationships/hyperlink" Target="http://creativecommons.org/licenses/by/3.0/" TargetMode="External"/><Relationship Id="rId122" Type="http://schemas.openxmlformats.org/officeDocument/2006/relationships/hyperlink" Target="https://dl.acm.org/doi/10.1145/3544549.3583173" TargetMode="External"/><Relationship Id="rId143" Type="http://schemas.openxmlformats.org/officeDocument/2006/relationships/hyperlink" Target="https://ieeexplore.ieee.org/Xplorehelp/downloads/license-information/IEEE.html" TargetMode="External"/><Relationship Id="rId148" Type="http://schemas.openxmlformats.org/officeDocument/2006/relationships/hyperlink" Target="https://doi.org/10.1080/15230406.2022.2102077" TargetMode="External"/><Relationship Id="rId164" Type="http://schemas.openxmlformats.org/officeDocument/2006/relationships/hyperlink" Target="https://ieeexplore.ieee.org/document/9975637/" TargetMode="External"/><Relationship Id="rId169" Type="http://schemas.openxmlformats.org/officeDocument/2006/relationships/hyperlink" Target="https://ieeexplore.ieee.org/Xplorehelp/downloads/license-information/IEEE.html" TargetMode="External"/><Relationship Id="rId185" Type="http://schemas.openxmlformats.org/officeDocument/2006/relationships/hyperlink" Target="https://sdgs.un.org/goals" TargetMode="External"/><Relationship Id="rId4" Type="http://schemas.openxmlformats.org/officeDocument/2006/relationships/hyperlink" Target="https://journals.sagepub.com/doi/10.1177/1473871611415996" TargetMode="External"/><Relationship Id="rId9" Type="http://schemas.openxmlformats.org/officeDocument/2006/relationships/hyperlink" Target="https://dl.acm.org/doi/10.1145/3411764.3445211" TargetMode="External"/><Relationship Id="rId180" Type="http://schemas.openxmlformats.org/officeDocument/2006/relationships/hyperlink" Target="http://www.fallen.io/ww2/" TargetMode="External"/><Relationship Id="rId26" Type="http://schemas.openxmlformats.org/officeDocument/2006/relationships/hyperlink" Target="https://ieeexplore.ieee.org/document/10081398/" TargetMode="External"/><Relationship Id="rId47" Type="http://schemas.openxmlformats.org/officeDocument/2006/relationships/hyperlink" Target="http://arxiv.org/abs/2309.01445" TargetMode="External"/><Relationship Id="rId68" Type="http://schemas.openxmlformats.org/officeDocument/2006/relationships/hyperlink" Target="https://ieeexplore.ieee.org/document/10579785/?arnumber=10579785" TargetMode="External"/><Relationship Id="rId89" Type="http://schemas.openxmlformats.org/officeDocument/2006/relationships/hyperlink" Target="https://ieeexplore.ieee.org/document/9552240/?arnumber=9552240" TargetMode="External"/><Relationship Id="rId112" Type="http://schemas.openxmlformats.org/officeDocument/2006/relationships/hyperlink" Target="https://ieeexplore.ieee.org/document/7192668/?arnumber=7192668" TargetMode="External"/><Relationship Id="rId133" Type="http://schemas.openxmlformats.org/officeDocument/2006/relationships/hyperlink" Target="http://www.tandfonline.com/doi/full/10.1080/1369118X.2016.1153126" TargetMode="External"/><Relationship Id="rId154" Type="http://schemas.openxmlformats.org/officeDocument/2006/relationships/hyperlink" Target="https://doi.org/10.1177/00027162221084709" TargetMode="External"/><Relationship Id="rId175" Type="http://schemas.openxmlformats.org/officeDocument/2006/relationships/hyperlink" Target="https://showyourstripes.info/" TargetMode="External"/><Relationship Id="rId16" Type="http://schemas.openxmlformats.org/officeDocument/2006/relationships/hyperlink" Target="https://dl.acm.org/doi/10.1145/3613904.3642805" TargetMode="External"/><Relationship Id="rId37" Type="http://schemas.openxmlformats.org/officeDocument/2006/relationships/hyperlink" Target="https://www.aup.nl/en/book/9789463722902" TargetMode="External"/><Relationship Id="rId58" Type="http://schemas.openxmlformats.org/officeDocument/2006/relationships/hyperlink" Target="https://ieeexplore.ieee.org/document/10669937/" TargetMode="External"/><Relationship Id="rId79" Type="http://schemas.openxmlformats.org/officeDocument/2006/relationships/hyperlink" Target="https://dl.acm.org/doi/10.1145/3544548.3581330" TargetMode="External"/><Relationship Id="rId102" Type="http://schemas.openxmlformats.org/officeDocument/2006/relationships/hyperlink" Target="http://www.mdpi.com/" TargetMode="External"/><Relationship Id="rId123" Type="http://schemas.openxmlformats.org/officeDocument/2006/relationships/hyperlink" Target="http://journals.sagepub.com/doi/10.1177/10755470221113833" TargetMode="External"/><Relationship Id="rId144" Type="http://schemas.openxmlformats.org/officeDocument/2006/relationships/hyperlink" Target="https://dl.acm.org/doi/10.1145/2702123.2702608" TargetMode="External"/><Relationship Id="rId90" Type="http://schemas.openxmlformats.org/officeDocument/2006/relationships/hyperlink" Target="http://arxiv.org/abs/2211.03296" TargetMode="External"/><Relationship Id="rId165" Type="http://schemas.openxmlformats.org/officeDocument/2006/relationships/hyperlink" Target="https://doi.org/10.15223/policy-029" TargetMode="External"/><Relationship Id="rId27" Type="http://schemas.openxmlformats.org/officeDocument/2006/relationships/hyperlink" Target="https://creativecommons.org/licenses/by/4.0/legalcode" TargetMode="External"/><Relationship Id="rId48" Type="http://schemas.openxmlformats.org/officeDocument/2006/relationships/hyperlink" Target="http://arxiv.org/" TargetMode="External"/><Relationship Id="rId69" Type="http://schemas.openxmlformats.org/officeDocument/2006/relationships/hyperlink" Target="https://ieeexplore.ieee.org/document/10153659/?arnumber=10153659" TargetMode="External"/><Relationship Id="rId113" Type="http://schemas.openxmlformats.org/officeDocument/2006/relationships/hyperlink" Target="https://dl.acm.org/doi/10.1145/2702123.2702452" TargetMode="External"/><Relationship Id="rId134" Type="http://schemas.openxmlformats.org/officeDocument/2006/relationships/hyperlink" Target="https://www.tandfonline.com/doi/full/10.1080/10410236.2020.1838094" TargetMode="External"/><Relationship Id="rId80" Type="http://schemas.openxmlformats.org/officeDocument/2006/relationships/hyperlink" Target="https://onlinelibrary.wiley.com/doi/abs/10.1111/cgf.14817" TargetMode="External"/><Relationship Id="rId155" Type="http://schemas.openxmlformats.org/officeDocument/2006/relationships/hyperlink" Target="https://academic.oup.com/dsh/article/38/3/1322/7140400" TargetMode="External"/><Relationship Id="rId176" Type="http://schemas.openxmlformats.org/officeDocument/2006/relationships/hyperlink" Target="http://www.oecdbetterlifeindex.org/" TargetMode="External"/><Relationship Id="rId17" Type="http://schemas.openxmlformats.org/officeDocument/2006/relationships/hyperlink" Target="https://ieeexplore.ieee.org/document/9975615/?arnumber=9975615" TargetMode="External"/><Relationship Id="rId38" Type="http://schemas.openxmlformats.org/officeDocument/2006/relationships/hyperlink" Target="https://creativecommons.org/licenses/by-nc-nd/4.0/" TargetMode="External"/><Relationship Id="rId59" Type="http://schemas.openxmlformats.org/officeDocument/2006/relationships/hyperlink" Target="https://ieeexplore.ieee.org/Xplorehelp/downloads/license-information/IEEE.html" TargetMode="External"/><Relationship Id="rId103" Type="http://schemas.openxmlformats.org/officeDocument/2006/relationships/hyperlink" Target="https://dl.acm.org/doi/10.1145/3313831.3376462" TargetMode="External"/><Relationship Id="rId124" Type="http://schemas.openxmlformats.org/officeDocument/2006/relationships/hyperlink" Target="https://dl.acm.org/doi/10.1145/3071088.3071090" TargetMode="External"/><Relationship Id="rId70" Type="http://schemas.openxmlformats.org/officeDocument/2006/relationships/hyperlink" Target="https://ieeexplore.ieee.org/document/10309864/?arnumber=10309864" TargetMode="External"/><Relationship Id="rId91" Type="http://schemas.openxmlformats.org/officeDocument/2006/relationships/hyperlink" Target="http://arxiv.org/" TargetMode="External"/><Relationship Id="rId145" Type="http://schemas.openxmlformats.org/officeDocument/2006/relationships/hyperlink" Target="https://www.themarginalian.org/2015/11/23/martha-nussbaum-upheavals-of-thought-neediness/" TargetMode="External"/><Relationship Id="rId166" Type="http://schemas.openxmlformats.org/officeDocument/2006/relationships/hyperlink" Target="https://ieeexplore.ieee.org/document/9046053/" TargetMode="External"/><Relationship Id="rId1" Type="http://schemas.openxmlformats.org/officeDocument/2006/relationships/hyperlink" Target="https://doi.org/10.1177/20539517221098414" TargetMode="External"/><Relationship Id="rId28" Type="http://schemas.openxmlformats.org/officeDocument/2006/relationships/hyperlink" Target="https://doi.org/10.1080/1051144X.2023.2192061" TargetMode="External"/><Relationship Id="rId49" Type="http://schemas.openxmlformats.org/officeDocument/2006/relationships/hyperlink" Target="https://ieeexplore.ieee.org/document/10294209/?arnumber=10294209" TargetMode="External"/><Relationship Id="rId114" Type="http://schemas.openxmlformats.org/officeDocument/2006/relationships/hyperlink" Target="https://dl.acm.org/doi/10.1145/2702123.2702275" TargetMode="External"/><Relationship Id="rId60" Type="http://schemas.openxmlformats.org/officeDocument/2006/relationships/hyperlink" Target="https://dl.acm.org/doi/10.1145/3613904.3642448" TargetMode="External"/><Relationship Id="rId81" Type="http://schemas.openxmlformats.org/officeDocument/2006/relationships/hyperlink" Target="https://ieeexplore.ieee.org/document/10339930/?arnumber=10339930" TargetMode="External"/><Relationship Id="rId135" Type="http://schemas.openxmlformats.org/officeDocument/2006/relationships/hyperlink" Target="https://www.jstor.org/stable/44809638" TargetMode="External"/><Relationship Id="rId156" Type="http://schemas.openxmlformats.org/officeDocument/2006/relationships/hyperlink" Target="https://creativecommons.org/licenses/by/4.0/" TargetMode="External"/><Relationship Id="rId177" Type="http://schemas.openxmlformats.org/officeDocument/2006/relationships/hyperlink" Target="https://guns.periscopic.com/?year=2020"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BT1007"/>
  <sheetViews>
    <sheetView tabSelected="1" zoomScale="160" zoomScaleNormal="125" workbookViewId="0">
      <pane xSplit="6" ySplit="2" topLeftCell="G5" activePane="bottomRight" state="frozen"/>
      <selection pane="topRight" activeCell="F1" sqref="F1"/>
      <selection pane="bottomLeft" activeCell="A3" sqref="A3"/>
      <selection pane="bottomRight" activeCell="C23" sqref="C23"/>
    </sheetView>
  </sheetViews>
  <sheetFormatPr baseColWidth="10" defaultColWidth="12.6640625" defaultRowHeight="15.75" customHeight="1"/>
  <cols>
    <col min="1" max="1" width="4.1640625" style="345" customWidth="1"/>
    <col min="2" max="2" width="3.83203125" style="345" customWidth="1"/>
    <col min="3" max="3" width="14.1640625" style="345" customWidth="1"/>
    <col min="4" max="4" width="7" style="365" customWidth="1"/>
    <col min="5" max="5" width="4.83203125" style="345" customWidth="1"/>
    <col min="6" max="6" width="7.33203125" style="345" customWidth="1"/>
    <col min="7" max="7" width="9.6640625" style="345" customWidth="1"/>
    <col min="8" max="9" width="13" style="345" customWidth="1"/>
    <col min="10" max="10" width="14.1640625" style="338" customWidth="1"/>
    <col min="11" max="11" width="12.6640625" style="338" customWidth="1"/>
    <col min="12" max="13" width="17.1640625" style="338" customWidth="1"/>
    <col min="14" max="14" width="13.33203125" style="338" customWidth="1"/>
    <col min="15" max="15" width="42.1640625" style="338" customWidth="1"/>
    <col min="16" max="16" width="26.1640625" customWidth="1"/>
    <col min="17" max="17" width="27.1640625" customWidth="1"/>
    <col min="18" max="18" width="11.33203125" customWidth="1"/>
    <col min="19" max="19" width="12.5" customWidth="1"/>
    <col min="20" max="20" width="54.83203125" customWidth="1"/>
    <col min="21" max="21" width="41.5" customWidth="1"/>
    <col min="22" max="22" width="24" style="323" customWidth="1"/>
    <col min="23" max="23" width="18.5" style="323" customWidth="1"/>
    <col min="24" max="24" width="14.83203125" customWidth="1"/>
    <col min="25" max="25" width="5.83203125" customWidth="1"/>
    <col min="26" max="26" width="23" customWidth="1"/>
    <col min="27" max="27" width="16.1640625" customWidth="1"/>
    <col min="28" max="28" width="16.1640625" style="338" customWidth="1"/>
    <col min="29" max="29" width="47.33203125" customWidth="1"/>
    <col min="30" max="30" width="14.1640625" customWidth="1"/>
    <col min="31" max="31" width="22.1640625" customWidth="1"/>
    <col min="32" max="32" width="12" customWidth="1"/>
    <col min="33" max="33" width="27.33203125" customWidth="1"/>
    <col min="34" max="34" width="34.5" customWidth="1"/>
    <col min="35" max="35" width="10.5" style="323" customWidth="1"/>
    <col min="36" max="36" width="80" style="408" customWidth="1"/>
    <col min="37" max="37" width="10.5" style="323" customWidth="1"/>
    <col min="38" max="38" width="12" customWidth="1"/>
    <col min="39" max="40" width="6.5" customWidth="1"/>
    <col min="42" max="42" width="10.83203125" customWidth="1"/>
    <col min="43" max="43" width="12.6640625" customWidth="1"/>
    <col min="44" max="44" width="9.83203125" customWidth="1"/>
    <col min="45" max="45" width="11.5" customWidth="1"/>
    <col min="46" max="47" width="8.33203125" customWidth="1"/>
    <col min="48" max="48" width="9.6640625" customWidth="1"/>
    <col min="49" max="49" width="24.5" customWidth="1"/>
    <col min="50" max="50" width="13.33203125" customWidth="1"/>
    <col min="51" max="51" width="14.33203125" customWidth="1"/>
    <col min="52" max="52" width="16.5" customWidth="1"/>
    <col min="53" max="53" width="18.6640625" customWidth="1"/>
    <col min="54" max="54" width="10.5" customWidth="1"/>
    <col min="55" max="55" width="12" customWidth="1"/>
    <col min="56" max="56" width="8.1640625" customWidth="1"/>
    <col min="57" max="57" width="16.6640625" customWidth="1"/>
    <col min="58" max="58" width="20.6640625" customWidth="1"/>
    <col min="59" max="59" width="22.6640625" customWidth="1"/>
    <col min="60" max="60" width="20.6640625" customWidth="1"/>
    <col min="61" max="61" width="11.1640625" customWidth="1"/>
    <col min="62" max="62" width="7.1640625" customWidth="1"/>
    <col min="63" max="63" width="14.33203125" customWidth="1"/>
    <col min="64" max="64" width="21" customWidth="1"/>
    <col min="65" max="65" width="6.33203125" customWidth="1"/>
    <col min="66" max="66" width="7.1640625" customWidth="1"/>
    <col min="67" max="67" width="40.83203125" customWidth="1"/>
    <col min="68" max="68" width="38.6640625" customWidth="1"/>
    <col min="69" max="69" width="34.33203125" customWidth="1"/>
    <col min="70" max="72" width="11.5" customWidth="1"/>
  </cols>
  <sheetData>
    <row r="1" spans="1:72" ht="22" customHeight="1">
      <c r="A1" s="326" t="s">
        <v>0</v>
      </c>
      <c r="B1" s="326"/>
      <c r="C1" s="326" t="s">
        <v>0</v>
      </c>
      <c r="D1" s="364" t="s">
        <v>0</v>
      </c>
      <c r="E1" s="339" t="s">
        <v>0</v>
      </c>
      <c r="F1" s="339" t="s">
        <v>0</v>
      </c>
      <c r="G1" s="339" t="s">
        <v>0</v>
      </c>
      <c r="H1" s="339"/>
      <c r="I1" s="339" t="s">
        <v>0</v>
      </c>
      <c r="J1" s="326" t="s">
        <v>0</v>
      </c>
      <c r="K1" s="326" t="s">
        <v>0</v>
      </c>
      <c r="L1" s="327" t="s">
        <v>1</v>
      </c>
      <c r="M1" s="327" t="s">
        <v>1</v>
      </c>
      <c r="N1" s="327" t="s">
        <v>1</v>
      </c>
      <c r="O1" s="327" t="s">
        <v>1</v>
      </c>
      <c r="P1" s="309" t="s">
        <v>1</v>
      </c>
      <c r="Q1" s="309" t="s">
        <v>1</v>
      </c>
      <c r="R1" s="310" t="s">
        <v>2</v>
      </c>
      <c r="S1" s="310" t="s">
        <v>2</v>
      </c>
      <c r="T1" s="310" t="s">
        <v>2</v>
      </c>
      <c r="U1" s="310" t="s">
        <v>2</v>
      </c>
      <c r="V1" s="306" t="s">
        <v>2</v>
      </c>
      <c r="W1" s="306" t="s">
        <v>2</v>
      </c>
      <c r="X1" s="310" t="s">
        <v>2</v>
      </c>
      <c r="Y1" s="310" t="s">
        <v>2</v>
      </c>
      <c r="Z1" s="310" t="s">
        <v>2</v>
      </c>
      <c r="AA1" s="310" t="s">
        <v>2</v>
      </c>
      <c r="AB1" s="306" t="s">
        <v>2</v>
      </c>
      <c r="AC1" s="310" t="s">
        <v>2</v>
      </c>
      <c r="AD1" s="311" t="s">
        <v>3</v>
      </c>
      <c r="AE1" s="311" t="s">
        <v>3</v>
      </c>
      <c r="AF1" s="311" t="s">
        <v>3</v>
      </c>
      <c r="AG1" s="311"/>
      <c r="AH1" s="311" t="s">
        <v>3</v>
      </c>
      <c r="AI1" s="372" t="s">
        <v>4</v>
      </c>
      <c r="AJ1" s="401" t="s">
        <v>4</v>
      </c>
      <c r="AK1" s="372" t="s">
        <v>4</v>
      </c>
      <c r="AL1" s="311" t="s">
        <v>3</v>
      </c>
      <c r="AM1" s="311" t="s">
        <v>3</v>
      </c>
      <c r="AN1" s="311" t="s">
        <v>3</v>
      </c>
      <c r="AO1" s="311" t="s">
        <v>3</v>
      </c>
      <c r="AP1" s="311" t="s">
        <v>3</v>
      </c>
      <c r="AQ1" s="311" t="s">
        <v>3</v>
      </c>
      <c r="AR1" s="311" t="s">
        <v>3</v>
      </c>
      <c r="AS1" s="311" t="s">
        <v>3</v>
      </c>
      <c r="AT1" s="311" t="s">
        <v>3</v>
      </c>
      <c r="AU1" s="311" t="s">
        <v>3</v>
      </c>
      <c r="AV1" s="312" t="s">
        <v>5</v>
      </c>
      <c r="AW1" s="312" t="s">
        <v>5</v>
      </c>
      <c r="AX1" s="312" t="s">
        <v>5</v>
      </c>
      <c r="AY1" s="312" t="s">
        <v>5</v>
      </c>
      <c r="AZ1" s="312" t="s">
        <v>5</v>
      </c>
      <c r="BA1" s="312" t="s">
        <v>5</v>
      </c>
      <c r="BB1" s="312" t="s">
        <v>5</v>
      </c>
      <c r="BC1" s="312" t="s">
        <v>5</v>
      </c>
      <c r="BD1" s="312" t="s">
        <v>5</v>
      </c>
      <c r="BE1" s="312" t="s">
        <v>5</v>
      </c>
      <c r="BF1" s="312" t="s">
        <v>5</v>
      </c>
      <c r="BG1" s="312" t="s">
        <v>5</v>
      </c>
      <c r="BH1" s="312" t="s">
        <v>5</v>
      </c>
      <c r="BI1" s="312" t="s">
        <v>5</v>
      </c>
      <c r="BJ1" s="312" t="s">
        <v>5</v>
      </c>
      <c r="BK1" s="312" t="s">
        <v>5</v>
      </c>
      <c r="BL1" s="312" t="s">
        <v>6</v>
      </c>
      <c r="BM1" s="312" t="s">
        <v>6</v>
      </c>
      <c r="BN1" s="312" t="s">
        <v>6</v>
      </c>
      <c r="BO1" s="313" t="s">
        <v>4</v>
      </c>
      <c r="BP1" s="313" t="s">
        <v>4</v>
      </c>
      <c r="BQ1" s="307" t="s">
        <v>7</v>
      </c>
      <c r="BR1" s="307" t="s">
        <v>7</v>
      </c>
      <c r="BS1" s="308" t="s">
        <v>7</v>
      </c>
      <c r="BT1" s="308" t="s">
        <v>7</v>
      </c>
    </row>
    <row r="2" spans="1:72" s="320" customFormat="1" ht="55.5" customHeight="1">
      <c r="A2" s="366" t="s">
        <v>8</v>
      </c>
      <c r="B2" s="366" t="s">
        <v>9</v>
      </c>
      <c r="C2" s="324" t="s">
        <v>10</v>
      </c>
      <c r="D2" s="324" t="s">
        <v>11</v>
      </c>
      <c r="E2" s="324" t="s">
        <v>12</v>
      </c>
      <c r="F2" s="324" t="s">
        <v>13</v>
      </c>
      <c r="G2" s="324" t="s">
        <v>2689</v>
      </c>
      <c r="H2" s="324" t="s">
        <v>14</v>
      </c>
      <c r="I2" s="324" t="s">
        <v>15</v>
      </c>
      <c r="J2" s="324" t="s">
        <v>16</v>
      </c>
      <c r="K2" s="324" t="s">
        <v>17</v>
      </c>
      <c r="L2" s="325" t="s">
        <v>18</v>
      </c>
      <c r="M2" s="325" t="s">
        <v>19</v>
      </c>
      <c r="N2" s="325" t="s">
        <v>20</v>
      </c>
      <c r="O2" s="325" t="s">
        <v>21</v>
      </c>
      <c r="P2" s="325" t="s">
        <v>22</v>
      </c>
      <c r="Q2" s="325" t="s">
        <v>23</v>
      </c>
      <c r="R2" s="321" t="s">
        <v>24</v>
      </c>
      <c r="S2" s="321" t="s">
        <v>25</v>
      </c>
      <c r="T2" s="321" t="s">
        <v>26</v>
      </c>
      <c r="U2" s="321" t="s">
        <v>27</v>
      </c>
      <c r="V2" s="321" t="s">
        <v>28</v>
      </c>
      <c r="W2" s="321" t="s">
        <v>29</v>
      </c>
      <c r="X2" s="321" t="s">
        <v>30</v>
      </c>
      <c r="Y2" s="321" t="s">
        <v>31</v>
      </c>
      <c r="Z2" s="321" t="s">
        <v>32</v>
      </c>
      <c r="AA2" s="321" t="s">
        <v>33</v>
      </c>
      <c r="AB2" s="321" t="s">
        <v>34</v>
      </c>
      <c r="AC2" s="321" t="s">
        <v>35</v>
      </c>
      <c r="AD2" s="367" t="s">
        <v>36</v>
      </c>
      <c r="AE2" s="367" t="s">
        <v>37</v>
      </c>
      <c r="AF2" s="367" t="s">
        <v>38</v>
      </c>
      <c r="AG2" s="367" t="s">
        <v>39</v>
      </c>
      <c r="AH2" s="367" t="s">
        <v>40</v>
      </c>
      <c r="AI2" s="373" t="s">
        <v>41</v>
      </c>
      <c r="AJ2" s="402" t="s">
        <v>42</v>
      </c>
      <c r="AK2" s="373" t="s">
        <v>43</v>
      </c>
      <c r="AL2" s="367" t="s">
        <v>44</v>
      </c>
      <c r="AM2" s="367" t="s">
        <v>45</v>
      </c>
      <c r="AN2" s="367" t="s">
        <v>46</v>
      </c>
      <c r="AO2" s="367" t="s">
        <v>47</v>
      </c>
      <c r="AP2" s="367" t="s">
        <v>48</v>
      </c>
      <c r="AQ2" s="367" t="s">
        <v>49</v>
      </c>
      <c r="AR2" s="367" t="s">
        <v>50</v>
      </c>
      <c r="AS2" s="367" t="s">
        <v>51</v>
      </c>
      <c r="AT2" s="367" t="s">
        <v>52</v>
      </c>
      <c r="AU2" s="367" t="s">
        <v>53</v>
      </c>
      <c r="AV2" s="369" t="s">
        <v>54</v>
      </c>
      <c r="AW2" s="369" t="s">
        <v>55</v>
      </c>
      <c r="AX2" s="369" t="s">
        <v>56</v>
      </c>
      <c r="AY2" s="369" t="s">
        <v>57</v>
      </c>
      <c r="AZ2" s="369" t="s">
        <v>58</v>
      </c>
      <c r="BA2" s="369" t="s">
        <v>59</v>
      </c>
      <c r="BB2" s="369" t="s">
        <v>60</v>
      </c>
      <c r="BC2" s="369" t="s">
        <v>61</v>
      </c>
      <c r="BD2" s="369" t="s">
        <v>62</v>
      </c>
      <c r="BE2" s="369" t="s">
        <v>63</v>
      </c>
      <c r="BF2" s="369" t="s">
        <v>64</v>
      </c>
      <c r="BG2" s="369" t="s">
        <v>65</v>
      </c>
      <c r="BH2" s="369" t="s">
        <v>66</v>
      </c>
      <c r="BI2" s="369" t="s">
        <v>67</v>
      </c>
      <c r="BJ2" s="369" t="s">
        <v>68</v>
      </c>
      <c r="BK2" s="369" t="s">
        <v>69</v>
      </c>
      <c r="BL2" s="370" t="s">
        <v>6</v>
      </c>
      <c r="BM2" s="370" t="s">
        <v>70</v>
      </c>
      <c r="BN2" s="370" t="s">
        <v>71</v>
      </c>
      <c r="BO2" s="368" t="s">
        <v>72</v>
      </c>
      <c r="BP2" s="368" t="s">
        <v>73</v>
      </c>
      <c r="BQ2" s="366" t="s">
        <v>74</v>
      </c>
      <c r="BR2" s="371" t="s">
        <v>75</v>
      </c>
      <c r="BS2" s="346" t="s">
        <v>76</v>
      </c>
      <c r="BT2" s="346" t="s">
        <v>77</v>
      </c>
    </row>
    <row r="3" spans="1:72" ht="45.75" hidden="1" customHeight="1">
      <c r="A3" s="19" t="s">
        <v>78</v>
      </c>
      <c r="B3" s="19"/>
      <c r="C3" s="64" t="s">
        <v>79</v>
      </c>
      <c r="D3" s="66">
        <v>2006</v>
      </c>
      <c r="E3" s="64" t="s">
        <v>80</v>
      </c>
      <c r="F3" s="67" t="s">
        <v>81</v>
      </c>
      <c r="G3" s="171"/>
      <c r="H3" s="171"/>
      <c r="I3" s="70" t="s">
        <v>82</v>
      </c>
      <c r="J3" s="170" t="s">
        <v>83</v>
      </c>
      <c r="K3" s="72" t="s">
        <v>84</v>
      </c>
      <c r="L3" s="64" t="s">
        <v>85</v>
      </c>
      <c r="M3" s="64"/>
      <c r="N3" s="70" t="s">
        <v>86</v>
      </c>
      <c r="O3" s="73" t="s">
        <v>87</v>
      </c>
      <c r="P3" s="73" t="s">
        <v>88</v>
      </c>
      <c r="Q3" s="74" t="s">
        <v>89</v>
      </c>
      <c r="R3" s="75" t="s">
        <v>90</v>
      </c>
      <c r="S3" s="73" t="s">
        <v>91</v>
      </c>
      <c r="T3" s="73"/>
      <c r="U3" s="73"/>
      <c r="V3" s="73" t="s">
        <v>92</v>
      </c>
      <c r="W3" s="73"/>
      <c r="X3" s="73"/>
      <c r="Y3" s="73"/>
      <c r="Z3" s="73" t="s">
        <v>93</v>
      </c>
      <c r="AA3" s="74"/>
      <c r="AB3" s="74"/>
      <c r="AC3" s="74" t="s">
        <v>94</v>
      </c>
      <c r="AD3" s="75" t="s">
        <v>95</v>
      </c>
      <c r="AE3" s="70" t="s">
        <v>96</v>
      </c>
      <c r="AF3" s="70"/>
      <c r="AG3" s="70"/>
      <c r="AH3" s="73"/>
      <c r="AI3" s="74"/>
      <c r="AJ3" s="81" t="s">
        <v>97</v>
      </c>
      <c r="AK3" s="74"/>
      <c r="AL3" s="74"/>
      <c r="AM3" s="64"/>
      <c r="AN3" s="64"/>
      <c r="AO3" s="73"/>
      <c r="AP3" s="77"/>
      <c r="AQ3" s="77"/>
      <c r="AR3" s="77"/>
      <c r="AS3" s="70" t="s">
        <v>98</v>
      </c>
      <c r="AT3" s="77" t="s">
        <v>99</v>
      </c>
      <c r="AU3" s="77"/>
      <c r="AV3" s="75" t="s">
        <v>100</v>
      </c>
      <c r="AW3" s="74"/>
      <c r="AX3" s="73"/>
      <c r="AY3" s="70"/>
      <c r="AZ3" s="70" t="s">
        <v>101</v>
      </c>
      <c r="BA3" s="70" t="s">
        <v>101</v>
      </c>
      <c r="BB3" s="79" t="s">
        <v>102</v>
      </c>
      <c r="BC3" s="70"/>
      <c r="BD3" s="80" t="s">
        <v>103</v>
      </c>
      <c r="BE3" s="78"/>
      <c r="BF3" s="78"/>
      <c r="BG3" s="78" t="s">
        <v>104</v>
      </c>
      <c r="BH3" s="78" t="s">
        <v>105</v>
      </c>
      <c r="BI3" s="78"/>
      <c r="BJ3" s="78"/>
      <c r="BK3" s="70"/>
      <c r="BL3" s="75"/>
      <c r="BM3" s="64"/>
      <c r="BN3" s="80"/>
      <c r="BO3" s="73"/>
      <c r="BP3" s="74"/>
      <c r="BQ3" s="81" t="s">
        <v>106</v>
      </c>
      <c r="BR3" s="65" t="s">
        <v>107</v>
      </c>
      <c r="BS3" s="89"/>
      <c r="BT3" s="89"/>
    </row>
    <row r="4" spans="1:72" ht="45.75" hidden="1" customHeight="1">
      <c r="A4" s="19" t="s">
        <v>108</v>
      </c>
      <c r="B4" s="19"/>
      <c r="C4" s="19" t="s">
        <v>109</v>
      </c>
      <c r="D4" s="20">
        <v>2009</v>
      </c>
      <c r="E4" s="19" t="s">
        <v>110</v>
      </c>
      <c r="F4" s="21" t="str">
        <f>HYPERLINK("http://dx.doi.org/10.1111/j.1467-9671.2009.01176.x","http://dx.doi.org/10.1111/j.1467-9671.2009.01176.x")</f>
        <v>http://dx.doi.org/10.1111/j.1467-9671.2009.01176.x</v>
      </c>
      <c r="G4" s="26" t="s">
        <v>111</v>
      </c>
      <c r="H4" s="26"/>
      <c r="I4" s="25" t="s">
        <v>112</v>
      </c>
      <c r="J4" s="24" t="s">
        <v>113</v>
      </c>
      <c r="K4" s="27" t="s">
        <v>114</v>
      </c>
      <c r="L4" s="23" t="s">
        <v>115</v>
      </c>
      <c r="M4" s="23" t="s">
        <v>116</v>
      </c>
      <c r="N4" s="25" t="s">
        <v>117</v>
      </c>
      <c r="O4" s="28" t="s">
        <v>118</v>
      </c>
      <c r="P4" s="28" t="s">
        <v>119</v>
      </c>
      <c r="Q4" s="29" t="s">
        <v>120</v>
      </c>
      <c r="R4" s="30" t="s">
        <v>121</v>
      </c>
      <c r="S4" s="28" t="s">
        <v>122</v>
      </c>
      <c r="T4" s="28" t="s">
        <v>123</v>
      </c>
      <c r="U4" s="28" t="s">
        <v>124</v>
      </c>
      <c r="V4" s="63" t="s">
        <v>125</v>
      </c>
      <c r="W4" s="31" t="s">
        <v>126</v>
      </c>
      <c r="X4" s="28" t="s">
        <v>127</v>
      </c>
      <c r="Y4" s="28" t="s">
        <v>128</v>
      </c>
      <c r="Z4" s="31" t="s">
        <v>129</v>
      </c>
      <c r="AA4" s="29" t="s">
        <v>130</v>
      </c>
      <c r="AB4" s="29"/>
      <c r="AC4" s="29" t="s">
        <v>131</v>
      </c>
      <c r="AD4" s="32" t="s">
        <v>132</v>
      </c>
      <c r="AE4" s="25" t="s">
        <v>133</v>
      </c>
      <c r="AF4" s="25"/>
      <c r="AG4" s="25"/>
      <c r="AH4" s="28" t="s">
        <v>134</v>
      </c>
      <c r="AI4" s="29"/>
      <c r="AJ4" s="39" t="s">
        <v>135</v>
      </c>
      <c r="AK4" s="29"/>
      <c r="AL4" s="29" t="s">
        <v>136</v>
      </c>
      <c r="AM4" s="23" t="s">
        <v>137</v>
      </c>
      <c r="AN4" s="23" t="s">
        <v>138</v>
      </c>
      <c r="AO4" s="28"/>
      <c r="AP4" s="33" t="s">
        <v>139</v>
      </c>
      <c r="AQ4" s="33" t="s">
        <v>140</v>
      </c>
      <c r="AR4" s="33" t="s">
        <v>141</v>
      </c>
      <c r="AS4" s="25" t="s">
        <v>142</v>
      </c>
      <c r="AT4" s="33"/>
      <c r="AU4" s="33"/>
      <c r="AV4" s="34" t="s">
        <v>143</v>
      </c>
      <c r="AW4" s="29" t="s">
        <v>144</v>
      </c>
      <c r="AX4" s="28" t="s">
        <v>145</v>
      </c>
      <c r="AY4" s="25" t="s">
        <v>146</v>
      </c>
      <c r="AZ4" s="25" t="s">
        <v>147</v>
      </c>
      <c r="BA4" s="25" t="s">
        <v>147</v>
      </c>
      <c r="BB4" s="37">
        <v>4</v>
      </c>
      <c r="BC4" s="25"/>
      <c r="BD4" s="38" t="s">
        <v>148</v>
      </c>
      <c r="BE4" s="35" t="s">
        <v>149</v>
      </c>
      <c r="BF4" s="35" t="s">
        <v>150</v>
      </c>
      <c r="BG4" s="35" t="s">
        <v>151</v>
      </c>
      <c r="BH4" s="35" t="s">
        <v>152</v>
      </c>
      <c r="BI4" s="36">
        <v>240</v>
      </c>
      <c r="BJ4" s="35"/>
      <c r="BK4" s="25"/>
      <c r="BL4" s="32" t="s">
        <v>153</v>
      </c>
      <c r="BM4" s="23"/>
      <c r="BN4" s="38" t="s">
        <v>154</v>
      </c>
      <c r="BO4" s="40" t="s">
        <v>155</v>
      </c>
      <c r="BP4" s="41" t="s">
        <v>156</v>
      </c>
      <c r="BQ4" s="42" t="s">
        <v>157</v>
      </c>
      <c r="BR4" s="29" t="s">
        <v>158</v>
      </c>
      <c r="BS4" s="44"/>
      <c r="BT4" s="44"/>
    </row>
    <row r="5" spans="1:72" s="338" customFormat="1" ht="16.5" customHeight="1">
      <c r="A5" s="329" t="s">
        <v>159</v>
      </c>
      <c r="B5" s="329"/>
      <c r="C5" s="329" t="s">
        <v>160</v>
      </c>
      <c r="D5" s="340">
        <v>2009</v>
      </c>
      <c r="E5" s="329" t="s">
        <v>161</v>
      </c>
      <c r="F5" s="352" t="s">
        <v>162</v>
      </c>
      <c r="G5" s="328" t="s">
        <v>163</v>
      </c>
      <c r="H5" s="328" t="s">
        <v>164</v>
      </c>
      <c r="I5" s="329" t="s">
        <v>112</v>
      </c>
      <c r="J5" s="328" t="s">
        <v>165</v>
      </c>
      <c r="K5" s="329" t="s">
        <v>166</v>
      </c>
      <c r="L5" s="329" t="s">
        <v>85</v>
      </c>
      <c r="M5" s="329" t="s">
        <v>167</v>
      </c>
      <c r="N5" s="329" t="s">
        <v>168</v>
      </c>
      <c r="O5" s="329" t="s">
        <v>169</v>
      </c>
      <c r="P5" s="329" t="s">
        <v>170</v>
      </c>
      <c r="Q5" s="329" t="s">
        <v>171</v>
      </c>
      <c r="R5" s="332" t="s">
        <v>90</v>
      </c>
      <c r="S5" s="329" t="s">
        <v>172</v>
      </c>
      <c r="T5" s="329" t="s">
        <v>173</v>
      </c>
      <c r="U5" s="329" t="s">
        <v>124</v>
      </c>
      <c r="V5" s="329" t="s">
        <v>174</v>
      </c>
      <c r="W5" s="332" t="s">
        <v>175</v>
      </c>
      <c r="X5" s="332"/>
      <c r="Y5" s="329"/>
      <c r="Z5" s="332" t="s">
        <v>176</v>
      </c>
      <c r="AA5" s="328" t="s">
        <v>177</v>
      </c>
      <c r="AB5" s="329" t="s">
        <v>178</v>
      </c>
      <c r="AC5" s="329" t="s">
        <v>179</v>
      </c>
      <c r="AD5" s="329" t="s">
        <v>180</v>
      </c>
      <c r="AE5" s="329" t="s">
        <v>181</v>
      </c>
      <c r="AF5" s="329" t="s">
        <v>182</v>
      </c>
      <c r="AG5" s="329" t="s">
        <v>183</v>
      </c>
      <c r="AH5" s="329" t="s">
        <v>183</v>
      </c>
      <c r="AI5" s="374"/>
      <c r="AJ5" s="403" t="s">
        <v>184</v>
      </c>
      <c r="AK5" s="374"/>
      <c r="AL5" s="329"/>
      <c r="AM5" s="329" t="s">
        <v>137</v>
      </c>
      <c r="AN5" s="329" t="s">
        <v>138</v>
      </c>
      <c r="AO5" s="329"/>
      <c r="AP5" s="329" t="s">
        <v>139</v>
      </c>
      <c r="AQ5" s="329" t="s">
        <v>140</v>
      </c>
      <c r="AR5" s="329" t="s">
        <v>185</v>
      </c>
      <c r="AS5" s="329" t="s">
        <v>98</v>
      </c>
      <c r="AT5" s="329" t="s">
        <v>186</v>
      </c>
      <c r="AU5" s="329"/>
      <c r="AV5" s="329" t="s">
        <v>143</v>
      </c>
      <c r="AW5" s="329" t="s">
        <v>187</v>
      </c>
      <c r="AX5" s="329" t="s">
        <v>188</v>
      </c>
      <c r="AY5" s="329" t="s">
        <v>189</v>
      </c>
      <c r="AZ5" s="329" t="s">
        <v>101</v>
      </c>
      <c r="BA5" s="329" t="s">
        <v>101</v>
      </c>
      <c r="BB5" s="329">
        <v>16</v>
      </c>
      <c r="BC5" s="329" t="s">
        <v>190</v>
      </c>
      <c r="BD5" s="329" t="s">
        <v>191</v>
      </c>
      <c r="BE5" s="329" t="s">
        <v>192</v>
      </c>
      <c r="BF5" s="329" t="s">
        <v>193</v>
      </c>
      <c r="BG5" s="329"/>
      <c r="BH5" s="329" t="s">
        <v>194</v>
      </c>
      <c r="BI5" s="329"/>
      <c r="BJ5" s="329" t="s">
        <v>195</v>
      </c>
      <c r="BK5" s="329" t="s">
        <v>196</v>
      </c>
      <c r="BL5" s="329" t="s">
        <v>197</v>
      </c>
      <c r="BM5" s="329" t="s">
        <v>138</v>
      </c>
      <c r="BN5" s="329"/>
      <c r="BO5" s="329" t="s">
        <v>198</v>
      </c>
      <c r="BP5" s="329" t="s">
        <v>199</v>
      </c>
      <c r="BQ5" s="329" t="s">
        <v>200</v>
      </c>
      <c r="BR5" s="329" t="s">
        <v>201</v>
      </c>
      <c r="BS5" s="347"/>
      <c r="BT5" s="347"/>
    </row>
    <row r="6" spans="1:72" ht="16.5" hidden="1" customHeight="1">
      <c r="A6" s="65" t="s">
        <v>202</v>
      </c>
      <c r="B6" s="65"/>
      <c r="C6" s="64" t="s">
        <v>203</v>
      </c>
      <c r="D6" s="66">
        <v>2010</v>
      </c>
      <c r="E6" s="64" t="s">
        <v>204</v>
      </c>
      <c r="F6" s="201"/>
      <c r="G6" s="71"/>
      <c r="H6" s="71"/>
      <c r="I6" s="70" t="s">
        <v>112</v>
      </c>
      <c r="J6" s="170" t="s">
        <v>205</v>
      </c>
      <c r="K6" s="72"/>
      <c r="L6" s="64" t="s">
        <v>206</v>
      </c>
      <c r="M6" s="64"/>
      <c r="N6" s="73" t="s">
        <v>206</v>
      </c>
      <c r="O6" s="73"/>
      <c r="P6" s="73"/>
      <c r="Q6" s="74"/>
      <c r="R6" s="75"/>
      <c r="S6" s="73"/>
      <c r="T6" s="73"/>
      <c r="U6" s="73"/>
      <c r="V6" s="74"/>
      <c r="W6" s="73"/>
      <c r="X6" s="73"/>
      <c r="Y6" s="73"/>
      <c r="Z6" s="73"/>
      <c r="AA6" s="74"/>
      <c r="AB6" s="74"/>
      <c r="AC6" s="74"/>
      <c r="AD6" s="75"/>
      <c r="AE6" s="70"/>
      <c r="AF6" s="70"/>
      <c r="AG6" s="70"/>
      <c r="AH6" s="73"/>
      <c r="AI6" s="74"/>
      <c r="AJ6" s="81"/>
      <c r="AK6" s="74"/>
      <c r="AL6" s="74"/>
      <c r="AM6" s="64"/>
      <c r="AN6" s="64"/>
      <c r="AO6" s="73"/>
      <c r="AP6" s="77"/>
      <c r="AQ6" s="77"/>
      <c r="AR6" s="77"/>
      <c r="AS6" s="70"/>
      <c r="AT6" s="77"/>
      <c r="AU6" s="77"/>
      <c r="AV6" s="75"/>
      <c r="AW6" s="74"/>
      <c r="AX6" s="73"/>
      <c r="AY6" s="70"/>
      <c r="AZ6" s="70"/>
      <c r="BA6" s="70"/>
      <c r="BB6" s="79"/>
      <c r="BC6" s="70"/>
      <c r="BD6" s="80"/>
      <c r="BE6" s="78"/>
      <c r="BF6" s="78"/>
      <c r="BG6" s="78"/>
      <c r="BH6" s="78"/>
      <c r="BI6" s="78"/>
      <c r="BJ6" s="78"/>
      <c r="BK6" s="70"/>
      <c r="BL6" s="75"/>
      <c r="BM6" s="64"/>
      <c r="BN6" s="80"/>
      <c r="BO6" s="73"/>
      <c r="BP6" s="74"/>
      <c r="BQ6" s="178" t="s">
        <v>207</v>
      </c>
      <c r="BR6" s="65" t="s">
        <v>107</v>
      </c>
      <c r="BS6" s="89"/>
      <c r="BT6" s="89"/>
    </row>
    <row r="7" spans="1:72" ht="10" hidden="1" customHeight="1">
      <c r="A7" s="2" t="s">
        <v>208</v>
      </c>
      <c r="B7" s="2"/>
      <c r="C7" s="1" t="s">
        <v>209</v>
      </c>
      <c r="D7" s="3">
        <v>2011</v>
      </c>
      <c r="E7" s="1" t="s">
        <v>210</v>
      </c>
      <c r="F7" s="4" t="s">
        <v>211</v>
      </c>
      <c r="G7" s="7"/>
      <c r="H7" s="7"/>
      <c r="I7" s="7" t="s">
        <v>112</v>
      </c>
      <c r="J7" s="6" t="s">
        <v>212</v>
      </c>
      <c r="K7" s="8" t="s">
        <v>213</v>
      </c>
      <c r="L7" s="1"/>
      <c r="M7" s="1"/>
      <c r="N7" s="7" t="s">
        <v>214</v>
      </c>
      <c r="O7" s="9" t="s">
        <v>215</v>
      </c>
      <c r="P7" s="10"/>
      <c r="Q7" s="11" t="s">
        <v>216</v>
      </c>
      <c r="R7" s="12"/>
      <c r="S7" s="10"/>
      <c r="T7" s="10"/>
      <c r="U7" s="10"/>
      <c r="V7" s="10"/>
      <c r="W7" s="10"/>
      <c r="X7" s="10"/>
      <c r="Y7" s="10"/>
      <c r="Z7" s="10"/>
      <c r="AA7" s="11"/>
      <c r="AB7" s="11"/>
      <c r="AC7" s="11"/>
      <c r="AD7" s="12"/>
      <c r="AE7" s="7"/>
      <c r="AF7" s="7"/>
      <c r="AG7" s="7"/>
      <c r="AH7" s="10"/>
      <c r="AI7" s="11"/>
      <c r="AJ7" s="17" t="s">
        <v>217</v>
      </c>
      <c r="AK7" s="11"/>
      <c r="AL7" s="11"/>
      <c r="AM7" s="1"/>
      <c r="AN7" s="1"/>
      <c r="AO7" s="10"/>
      <c r="AP7" s="13"/>
      <c r="AQ7" s="13"/>
      <c r="AR7" s="13"/>
      <c r="AS7" s="7"/>
      <c r="AT7" s="13"/>
      <c r="AU7" s="13"/>
      <c r="AV7" s="12"/>
      <c r="AW7" s="11"/>
      <c r="AX7" s="10"/>
      <c r="AY7" s="7"/>
      <c r="AZ7" s="7"/>
      <c r="BA7" s="7"/>
      <c r="BB7" s="15"/>
      <c r="BC7" s="7"/>
      <c r="BD7" s="16"/>
      <c r="BE7" s="14"/>
      <c r="BF7" s="14"/>
      <c r="BG7" s="14"/>
      <c r="BH7" s="14"/>
      <c r="BI7" s="14"/>
      <c r="BJ7" s="14"/>
      <c r="BK7" s="7"/>
      <c r="BL7" s="12"/>
      <c r="BM7" s="1"/>
      <c r="BN7" s="16"/>
      <c r="BO7" s="10" t="s">
        <v>218</v>
      </c>
      <c r="BP7" s="11" t="s">
        <v>219</v>
      </c>
      <c r="BQ7" s="17" t="s">
        <v>220</v>
      </c>
      <c r="BR7" s="1" t="s">
        <v>107</v>
      </c>
      <c r="BS7" s="18"/>
      <c r="BT7" s="18"/>
    </row>
    <row r="8" spans="1:72" s="338" customFormat="1" ht="16.5" customHeight="1">
      <c r="A8" s="329" t="s">
        <v>221</v>
      </c>
      <c r="B8" s="329"/>
      <c r="C8" s="329" t="s">
        <v>222</v>
      </c>
      <c r="D8" s="340">
        <v>2012</v>
      </c>
      <c r="E8" s="329" t="s">
        <v>223</v>
      </c>
      <c r="F8" s="354" t="str">
        <f>HYPERLINK("http://dx.doi.org/10.1109/TVCG.2012.272","http://dx.doi.org/10.1109/TVCG.2012.272")</f>
        <v>http://dx.doi.org/10.1109/TVCG.2012.272</v>
      </c>
      <c r="G8" s="329" t="s">
        <v>4217</v>
      </c>
      <c r="H8" s="329" t="s">
        <v>214</v>
      </c>
      <c r="I8" s="329" t="s">
        <v>112</v>
      </c>
      <c r="J8" s="329" t="s">
        <v>224</v>
      </c>
      <c r="K8" s="329" t="s">
        <v>225</v>
      </c>
      <c r="L8" s="329" t="s">
        <v>226</v>
      </c>
      <c r="M8" s="329" t="s">
        <v>227</v>
      </c>
      <c r="N8" s="329" t="s">
        <v>214</v>
      </c>
      <c r="O8" s="329" t="s">
        <v>228</v>
      </c>
      <c r="P8" s="329" t="s">
        <v>229</v>
      </c>
      <c r="Q8" s="329" t="s">
        <v>230</v>
      </c>
      <c r="R8" s="332" t="s">
        <v>90</v>
      </c>
      <c r="S8" s="329" t="s">
        <v>231</v>
      </c>
      <c r="T8" s="329" t="s">
        <v>232</v>
      </c>
      <c r="U8" s="329" t="s">
        <v>233</v>
      </c>
      <c r="V8" s="329" t="s">
        <v>124</v>
      </c>
      <c r="W8" s="332" t="s">
        <v>124</v>
      </c>
      <c r="X8" s="332"/>
      <c r="Y8" s="329" t="s">
        <v>234</v>
      </c>
      <c r="Z8" s="332" t="s">
        <v>235</v>
      </c>
      <c r="AA8" s="329" t="s">
        <v>130</v>
      </c>
      <c r="AB8" s="329" t="s">
        <v>236</v>
      </c>
      <c r="AC8" s="329" t="s">
        <v>236</v>
      </c>
      <c r="AD8" s="329" t="s">
        <v>237</v>
      </c>
      <c r="AE8" s="329" t="s">
        <v>238</v>
      </c>
      <c r="AF8" s="329" t="s">
        <v>238</v>
      </c>
      <c r="AG8" s="329" t="s">
        <v>239</v>
      </c>
      <c r="AH8" s="329" t="s">
        <v>239</v>
      </c>
      <c r="AI8" s="374" t="s">
        <v>240</v>
      </c>
      <c r="AJ8" s="403" t="s">
        <v>241</v>
      </c>
      <c r="AK8" s="374" t="s">
        <v>242</v>
      </c>
      <c r="AL8" s="329" t="s">
        <v>243</v>
      </c>
      <c r="AM8" s="329" t="s">
        <v>137</v>
      </c>
      <c r="AN8" s="329" t="s">
        <v>137</v>
      </c>
      <c r="AO8" s="329"/>
      <c r="AP8" s="329" t="s">
        <v>139</v>
      </c>
      <c r="AQ8" s="329" t="s">
        <v>140</v>
      </c>
      <c r="AR8" s="329" t="s">
        <v>145</v>
      </c>
      <c r="AS8" s="329" t="s">
        <v>244</v>
      </c>
      <c r="AT8" s="329" t="s">
        <v>245</v>
      </c>
      <c r="AU8" s="329"/>
      <c r="AV8" s="329" t="s">
        <v>143</v>
      </c>
      <c r="AW8" s="329" t="s">
        <v>246</v>
      </c>
      <c r="AX8" s="329" t="s">
        <v>145</v>
      </c>
      <c r="AY8" s="329" t="s">
        <v>189</v>
      </c>
      <c r="AZ8" s="329" t="s">
        <v>247</v>
      </c>
      <c r="BA8" s="329" t="s">
        <v>248</v>
      </c>
      <c r="BB8" s="329" t="s">
        <v>249</v>
      </c>
      <c r="BC8" s="329"/>
      <c r="BD8" s="329"/>
      <c r="BE8" s="329" t="s">
        <v>250</v>
      </c>
      <c r="BF8" s="329" t="s">
        <v>251</v>
      </c>
      <c r="BG8" s="329" t="s">
        <v>252</v>
      </c>
      <c r="BH8" s="329" t="s">
        <v>253</v>
      </c>
      <c r="BI8" s="329" t="s">
        <v>254</v>
      </c>
      <c r="BJ8" s="329"/>
      <c r="BK8" s="329" t="s">
        <v>255</v>
      </c>
      <c r="BL8" s="329" t="s">
        <v>256</v>
      </c>
      <c r="BM8" s="329" t="s">
        <v>138</v>
      </c>
      <c r="BN8" s="329"/>
      <c r="BO8" s="329" t="s">
        <v>257</v>
      </c>
      <c r="BP8" s="329" t="s">
        <v>258</v>
      </c>
      <c r="BQ8" s="329" t="s">
        <v>259</v>
      </c>
      <c r="BR8" s="329" t="s">
        <v>201</v>
      </c>
      <c r="BS8" s="347"/>
      <c r="BT8" s="347"/>
    </row>
    <row r="9" spans="1:72" s="338" customFormat="1" ht="16.5" customHeight="1">
      <c r="A9" s="329" t="s">
        <v>260</v>
      </c>
      <c r="B9" s="329"/>
      <c r="C9" s="329" t="s">
        <v>261</v>
      </c>
      <c r="D9" s="340">
        <v>2012</v>
      </c>
      <c r="E9" s="329" t="s">
        <v>262</v>
      </c>
      <c r="F9" s="354" t="str">
        <f>HYPERLINK("http://dx.doi.org/10.1016/j.ergon.2012.07.006","http://dx.doi.org/10.1016/j.ergon.2012.07.006")</f>
        <v>http://dx.doi.org/10.1016/j.ergon.2012.07.006</v>
      </c>
      <c r="G9" s="329" t="s">
        <v>4218</v>
      </c>
      <c r="H9" s="329" t="s">
        <v>263</v>
      </c>
      <c r="I9" s="329" t="s">
        <v>264</v>
      </c>
      <c r="J9" s="329" t="s">
        <v>265</v>
      </c>
      <c r="K9" s="329" t="s">
        <v>266</v>
      </c>
      <c r="L9" s="329" t="s">
        <v>267</v>
      </c>
      <c r="M9" s="329" t="s">
        <v>268</v>
      </c>
      <c r="N9" s="329" t="s">
        <v>269</v>
      </c>
      <c r="O9" s="329" t="s">
        <v>270</v>
      </c>
      <c r="P9" s="329" t="s">
        <v>271</v>
      </c>
      <c r="Q9" s="329"/>
      <c r="R9" s="332" t="s">
        <v>90</v>
      </c>
      <c r="S9" s="329" t="s">
        <v>272</v>
      </c>
      <c r="T9" s="329" t="s">
        <v>273</v>
      </c>
      <c r="U9" s="329" t="s">
        <v>274</v>
      </c>
      <c r="V9" s="329" t="s">
        <v>275</v>
      </c>
      <c r="W9" s="348" t="s">
        <v>276</v>
      </c>
      <c r="X9" s="329"/>
      <c r="Y9" s="329"/>
      <c r="Z9" s="329" t="s">
        <v>277</v>
      </c>
      <c r="AA9" s="328" t="s">
        <v>177</v>
      </c>
      <c r="AB9" s="328" t="s">
        <v>178</v>
      </c>
      <c r="AC9" s="329" t="s">
        <v>278</v>
      </c>
      <c r="AD9" s="329" t="s">
        <v>279</v>
      </c>
      <c r="AE9" s="329" t="s">
        <v>280</v>
      </c>
      <c r="AF9" s="329" t="s">
        <v>281</v>
      </c>
      <c r="AG9" s="329" t="s">
        <v>282</v>
      </c>
      <c r="AH9" s="329" t="s">
        <v>283</v>
      </c>
      <c r="AI9" s="374"/>
      <c r="AJ9" s="403" t="s">
        <v>284</v>
      </c>
      <c r="AK9" s="374"/>
      <c r="AL9" s="329" t="s">
        <v>285</v>
      </c>
      <c r="AM9" s="329" t="s">
        <v>138</v>
      </c>
      <c r="AN9" s="329" t="s">
        <v>138</v>
      </c>
      <c r="AO9" s="329"/>
      <c r="AP9" s="329" t="s">
        <v>139</v>
      </c>
      <c r="AQ9" s="329" t="s">
        <v>140</v>
      </c>
      <c r="AR9" s="329" t="s">
        <v>141</v>
      </c>
      <c r="AS9" s="329" t="s">
        <v>98</v>
      </c>
      <c r="AT9" s="329" t="s">
        <v>286</v>
      </c>
      <c r="AU9" s="329"/>
      <c r="AV9" s="329" t="s">
        <v>287</v>
      </c>
      <c r="AW9" s="329" t="s">
        <v>288</v>
      </c>
      <c r="AX9" s="329" t="s">
        <v>188</v>
      </c>
      <c r="AY9" s="329" t="s">
        <v>146</v>
      </c>
      <c r="AZ9" s="329" t="s">
        <v>289</v>
      </c>
      <c r="BA9" s="329" t="s">
        <v>101</v>
      </c>
      <c r="BB9" s="329">
        <v>28</v>
      </c>
      <c r="BC9" s="329" t="s">
        <v>290</v>
      </c>
      <c r="BD9" s="329" t="s">
        <v>291</v>
      </c>
      <c r="BE9" s="329" t="s">
        <v>292</v>
      </c>
      <c r="BF9" s="329" t="s">
        <v>293</v>
      </c>
      <c r="BG9" s="329" t="s">
        <v>294</v>
      </c>
      <c r="BH9" s="329" t="s">
        <v>295</v>
      </c>
      <c r="BI9" s="329">
        <v>15</v>
      </c>
      <c r="BJ9" s="329"/>
      <c r="BK9" s="329" t="s">
        <v>296</v>
      </c>
      <c r="BL9" s="329"/>
      <c r="BM9" s="329" t="s">
        <v>137</v>
      </c>
      <c r="BN9" s="329" t="s">
        <v>297</v>
      </c>
      <c r="BO9" s="329" t="s">
        <v>298</v>
      </c>
      <c r="BP9" s="329" t="s">
        <v>299</v>
      </c>
      <c r="BQ9" s="355" t="s">
        <v>300</v>
      </c>
      <c r="BR9" s="329" t="s">
        <v>201</v>
      </c>
      <c r="BS9" s="347"/>
      <c r="BT9" s="347"/>
    </row>
    <row r="10" spans="1:72" ht="16.5" hidden="1" customHeight="1">
      <c r="A10" s="65" t="s">
        <v>301</v>
      </c>
      <c r="B10" s="65"/>
      <c r="C10" s="68" t="s">
        <v>302</v>
      </c>
      <c r="D10" s="66">
        <v>2013</v>
      </c>
      <c r="E10" s="68" t="s">
        <v>303</v>
      </c>
      <c r="F10" s="121" t="s">
        <v>304</v>
      </c>
      <c r="G10" s="70"/>
      <c r="H10" s="70"/>
      <c r="I10" s="70"/>
      <c r="J10" s="124" t="s">
        <v>305</v>
      </c>
      <c r="K10" s="123" t="s">
        <v>303</v>
      </c>
      <c r="L10" s="68"/>
      <c r="M10" s="68"/>
      <c r="N10" s="122" t="s">
        <v>214</v>
      </c>
      <c r="O10" s="73"/>
      <c r="P10" s="73"/>
      <c r="Q10" s="74"/>
      <c r="R10" s="124"/>
      <c r="S10" s="245"/>
      <c r="T10" s="245"/>
      <c r="U10" s="245"/>
      <c r="V10" s="76"/>
      <c r="W10" s="76"/>
      <c r="X10" s="245"/>
      <c r="Y10" s="245"/>
      <c r="Z10" s="76"/>
      <c r="AA10" s="74"/>
      <c r="AB10" s="74"/>
      <c r="AC10" s="74"/>
      <c r="AD10" s="75"/>
      <c r="AE10" s="70"/>
      <c r="AF10" s="70"/>
      <c r="AG10" s="70"/>
      <c r="AH10" s="73"/>
      <c r="AI10" s="74"/>
      <c r="AJ10" s="81"/>
      <c r="AK10" s="74"/>
      <c r="AL10" s="74"/>
      <c r="AM10" s="64"/>
      <c r="AN10" s="64"/>
      <c r="AO10" s="73"/>
      <c r="AP10" s="245"/>
      <c r="AQ10" s="245"/>
      <c r="AR10" s="245"/>
      <c r="AS10" s="70"/>
      <c r="AT10" s="245"/>
      <c r="AU10" s="245"/>
      <c r="AV10" s="75" t="s">
        <v>143</v>
      </c>
      <c r="AW10" s="74"/>
      <c r="AX10" s="73"/>
      <c r="AY10" s="70"/>
      <c r="AZ10" s="70"/>
      <c r="BA10" s="70"/>
      <c r="BB10" s="79"/>
      <c r="BC10" s="70"/>
      <c r="BD10" s="80"/>
      <c r="BE10" s="78"/>
      <c r="BF10" s="78"/>
      <c r="BG10" s="78"/>
      <c r="BH10" s="78"/>
      <c r="BI10" s="78"/>
      <c r="BJ10" s="78"/>
      <c r="BK10" s="70"/>
      <c r="BL10" s="246"/>
      <c r="BM10" s="64"/>
      <c r="BN10" s="80"/>
      <c r="BO10" s="73"/>
      <c r="BP10" s="74"/>
      <c r="BQ10" s="81" t="s">
        <v>306</v>
      </c>
      <c r="BR10" s="64" t="s">
        <v>107</v>
      </c>
      <c r="BS10" s="82"/>
      <c r="BT10" s="82"/>
    </row>
    <row r="11" spans="1:72" s="338" customFormat="1" ht="51" customHeight="1">
      <c r="A11" s="329" t="s">
        <v>307</v>
      </c>
      <c r="B11" s="329"/>
      <c r="C11" s="329" t="s">
        <v>308</v>
      </c>
      <c r="D11" s="340">
        <v>2013</v>
      </c>
      <c r="E11" s="329" t="s">
        <v>309</v>
      </c>
      <c r="F11" s="352" t="s">
        <v>310</v>
      </c>
      <c r="G11" s="328" t="s">
        <v>311</v>
      </c>
      <c r="H11" s="328" t="s">
        <v>312</v>
      </c>
      <c r="I11" s="329" t="s">
        <v>112</v>
      </c>
      <c r="J11" s="328" t="s">
        <v>313</v>
      </c>
      <c r="K11" s="329" t="s">
        <v>314</v>
      </c>
      <c r="L11" s="329" t="s">
        <v>315</v>
      </c>
      <c r="M11" s="329" t="s">
        <v>316</v>
      </c>
      <c r="N11" s="329" t="s">
        <v>214</v>
      </c>
      <c r="O11" s="329" t="s">
        <v>317</v>
      </c>
      <c r="P11" s="329" t="s">
        <v>318</v>
      </c>
      <c r="Q11" s="329" t="s">
        <v>319</v>
      </c>
      <c r="R11" s="332" t="s">
        <v>90</v>
      </c>
      <c r="S11" s="329" t="s">
        <v>320</v>
      </c>
      <c r="T11" s="329" t="s">
        <v>321</v>
      </c>
      <c r="U11" s="329" t="s">
        <v>124</v>
      </c>
      <c r="V11" s="329" t="s">
        <v>275</v>
      </c>
      <c r="W11" s="348" t="s">
        <v>276</v>
      </c>
      <c r="X11" s="329" t="s">
        <v>322</v>
      </c>
      <c r="Y11" s="329" t="s">
        <v>323</v>
      </c>
      <c r="Z11" s="329" t="s">
        <v>324</v>
      </c>
      <c r="AA11" s="329" t="s">
        <v>177</v>
      </c>
      <c r="AB11" s="329" t="s">
        <v>178</v>
      </c>
      <c r="AC11" s="329" t="s">
        <v>325</v>
      </c>
      <c r="AD11" s="329" t="s">
        <v>326</v>
      </c>
      <c r="AE11" s="329" t="s">
        <v>327</v>
      </c>
      <c r="AF11" s="329" t="s">
        <v>328</v>
      </c>
      <c r="AG11" s="329" t="s">
        <v>329</v>
      </c>
      <c r="AH11" s="329" t="s">
        <v>330</v>
      </c>
      <c r="AI11" s="374"/>
      <c r="AJ11" s="403" t="s">
        <v>331</v>
      </c>
      <c r="AK11" s="374"/>
      <c r="AL11" s="329" t="s">
        <v>332</v>
      </c>
      <c r="AM11" s="329" t="s">
        <v>138</v>
      </c>
      <c r="AN11" s="329" t="s">
        <v>138</v>
      </c>
      <c r="AO11" s="329"/>
      <c r="AP11" s="329" t="s">
        <v>333</v>
      </c>
      <c r="AQ11" s="329" t="s">
        <v>140</v>
      </c>
      <c r="AR11" s="329" t="s">
        <v>145</v>
      </c>
      <c r="AS11" s="329" t="s">
        <v>98</v>
      </c>
      <c r="AT11" s="329" t="s">
        <v>334</v>
      </c>
      <c r="AU11" s="329" t="s">
        <v>335</v>
      </c>
      <c r="AV11" s="329" t="s">
        <v>287</v>
      </c>
      <c r="AW11" s="329" t="s">
        <v>288</v>
      </c>
      <c r="AX11" s="329" t="s">
        <v>336</v>
      </c>
      <c r="AY11" s="329" t="s">
        <v>337</v>
      </c>
      <c r="AZ11" s="329" t="s">
        <v>101</v>
      </c>
      <c r="BA11" s="329" t="s">
        <v>101</v>
      </c>
      <c r="BB11" s="329">
        <v>664</v>
      </c>
      <c r="BC11" s="329"/>
      <c r="BD11" s="329"/>
      <c r="BE11" s="329"/>
      <c r="BF11" s="329" t="s">
        <v>338</v>
      </c>
      <c r="BG11" s="356" t="s">
        <v>339</v>
      </c>
      <c r="BH11" s="329" t="s">
        <v>340</v>
      </c>
      <c r="BI11" s="329"/>
      <c r="BJ11" s="329"/>
      <c r="BK11" s="329" t="s">
        <v>341</v>
      </c>
      <c r="BL11" s="329" t="s">
        <v>342</v>
      </c>
      <c r="BM11" s="329" t="s">
        <v>137</v>
      </c>
      <c r="BN11" s="329" t="s">
        <v>343</v>
      </c>
      <c r="BO11" s="329" t="s">
        <v>344</v>
      </c>
      <c r="BP11" s="329" t="s">
        <v>345</v>
      </c>
      <c r="BQ11" s="329" t="s">
        <v>346</v>
      </c>
      <c r="BR11" s="329" t="s">
        <v>201</v>
      </c>
      <c r="BS11" s="329"/>
      <c r="BT11" s="329"/>
    </row>
    <row r="12" spans="1:72" s="338" customFormat="1" ht="16.5" customHeight="1">
      <c r="A12" s="329" t="s">
        <v>347</v>
      </c>
      <c r="B12" s="329"/>
      <c r="C12" s="329" t="s">
        <v>348</v>
      </c>
      <c r="D12" s="340">
        <v>2014</v>
      </c>
      <c r="E12" s="329" t="s">
        <v>349</v>
      </c>
      <c r="F12" s="354" t="str">
        <f>HYPERLINK("http://dx.doi.org/10.1016/j.ecss.2013.04.017","http://dx.doi.org/10.1016/j.ecss.2013.04.017")</f>
        <v>http://dx.doi.org/10.1016/j.ecss.2013.04.017</v>
      </c>
      <c r="G12" s="329" t="s">
        <v>4219</v>
      </c>
      <c r="H12" s="329" t="s">
        <v>350</v>
      </c>
      <c r="I12" s="329" t="s">
        <v>351</v>
      </c>
      <c r="J12" s="329" t="s">
        <v>352</v>
      </c>
      <c r="K12" s="329" t="s">
        <v>353</v>
      </c>
      <c r="L12" s="329" t="s">
        <v>267</v>
      </c>
      <c r="M12" s="329" t="s">
        <v>354</v>
      </c>
      <c r="N12" s="329" t="s">
        <v>355</v>
      </c>
      <c r="O12" s="329" t="s">
        <v>356</v>
      </c>
      <c r="P12" s="329" t="s">
        <v>357</v>
      </c>
      <c r="Q12" s="329"/>
      <c r="R12" s="332" t="s">
        <v>358</v>
      </c>
      <c r="S12" s="329" t="s">
        <v>359</v>
      </c>
      <c r="T12" s="329" t="s">
        <v>360</v>
      </c>
      <c r="U12" s="329" t="s">
        <v>361</v>
      </c>
      <c r="V12" s="329" t="s">
        <v>124</v>
      </c>
      <c r="W12" s="332" t="s">
        <v>124</v>
      </c>
      <c r="X12" s="329" t="s">
        <v>362</v>
      </c>
      <c r="Y12" s="329"/>
      <c r="Z12" s="332" t="s">
        <v>363</v>
      </c>
      <c r="AA12" s="329" t="s">
        <v>364</v>
      </c>
      <c r="AB12" s="329" t="s">
        <v>365</v>
      </c>
      <c r="AC12" s="329" t="s">
        <v>365</v>
      </c>
      <c r="AD12" s="329" t="s">
        <v>366</v>
      </c>
      <c r="AE12" s="329" t="s">
        <v>367</v>
      </c>
      <c r="AF12" s="329" t="s">
        <v>368</v>
      </c>
      <c r="AG12" s="329" t="s">
        <v>134</v>
      </c>
      <c r="AH12" s="329" t="s">
        <v>134</v>
      </c>
      <c r="AI12" s="374"/>
      <c r="AJ12" s="403" t="s">
        <v>369</v>
      </c>
      <c r="AK12" s="374"/>
      <c r="AL12" s="329" t="s">
        <v>370</v>
      </c>
      <c r="AM12" s="329" t="s">
        <v>137</v>
      </c>
      <c r="AN12" s="329" t="s">
        <v>137</v>
      </c>
      <c r="AO12" s="329"/>
      <c r="AP12" s="329" t="s">
        <v>139</v>
      </c>
      <c r="AQ12" s="329" t="s">
        <v>140</v>
      </c>
      <c r="AR12" s="329" t="s">
        <v>371</v>
      </c>
      <c r="AS12" s="329" t="s">
        <v>372</v>
      </c>
      <c r="AT12" s="329" t="s">
        <v>373</v>
      </c>
      <c r="AU12" s="329" t="s">
        <v>374</v>
      </c>
      <c r="AV12" s="329" t="s">
        <v>179</v>
      </c>
      <c r="AW12" s="329" t="s">
        <v>288</v>
      </c>
      <c r="AX12" s="329" t="s">
        <v>336</v>
      </c>
      <c r="AY12" s="329" t="s">
        <v>189</v>
      </c>
      <c r="AZ12" s="329" t="s">
        <v>375</v>
      </c>
      <c r="BA12" s="329" t="s">
        <v>376</v>
      </c>
      <c r="BB12" s="329">
        <v>157</v>
      </c>
      <c r="BC12" s="329" t="s">
        <v>377</v>
      </c>
      <c r="BD12" s="329" t="s">
        <v>378</v>
      </c>
      <c r="BE12" s="329" t="s">
        <v>379</v>
      </c>
      <c r="BF12" s="329" t="s">
        <v>380</v>
      </c>
      <c r="BG12" s="329" t="s">
        <v>381</v>
      </c>
      <c r="BH12" s="329" t="s">
        <v>382</v>
      </c>
      <c r="BI12" s="329">
        <v>60</v>
      </c>
      <c r="BJ12" s="329"/>
      <c r="BK12" s="329" t="s">
        <v>383</v>
      </c>
      <c r="BL12" s="329" t="s">
        <v>384</v>
      </c>
      <c r="BM12" s="329" t="s">
        <v>137</v>
      </c>
      <c r="BN12" s="329" t="s">
        <v>385</v>
      </c>
      <c r="BO12" s="329" t="s">
        <v>386</v>
      </c>
      <c r="BP12" s="329" t="s">
        <v>387</v>
      </c>
      <c r="BQ12" s="329"/>
      <c r="BR12" s="329" t="s">
        <v>201</v>
      </c>
      <c r="BS12" s="347"/>
      <c r="BT12" s="347"/>
    </row>
    <row r="13" spans="1:72" ht="16.5" hidden="1" customHeight="1">
      <c r="A13" s="65" t="s">
        <v>388</v>
      </c>
      <c r="B13" s="65"/>
      <c r="C13" s="68" t="s">
        <v>389</v>
      </c>
      <c r="D13" s="66">
        <v>2014</v>
      </c>
      <c r="E13" s="68" t="s">
        <v>390</v>
      </c>
      <c r="F13" s="121" t="s">
        <v>391</v>
      </c>
      <c r="G13" s="122" t="s">
        <v>392</v>
      </c>
      <c r="H13" s="122"/>
      <c r="I13" s="70"/>
      <c r="J13" s="124" t="s">
        <v>393</v>
      </c>
      <c r="K13" s="123" t="s">
        <v>394</v>
      </c>
      <c r="L13" s="68" t="s">
        <v>395</v>
      </c>
      <c r="M13" s="68"/>
      <c r="N13" s="122" t="s">
        <v>396</v>
      </c>
      <c r="O13" s="73"/>
      <c r="P13" s="73"/>
      <c r="Q13" s="74"/>
      <c r="R13" s="124"/>
      <c r="S13" s="73" t="s">
        <v>397</v>
      </c>
      <c r="T13" s="73"/>
      <c r="U13" s="73"/>
      <c r="V13" s="74"/>
      <c r="W13" s="73"/>
      <c r="X13" s="73"/>
      <c r="Y13" s="73"/>
      <c r="Z13" s="73"/>
      <c r="AA13" s="74"/>
      <c r="AB13" s="74"/>
      <c r="AC13" s="74"/>
      <c r="AD13" s="75"/>
      <c r="AE13" s="70"/>
      <c r="AF13" s="70"/>
      <c r="AG13" s="70"/>
      <c r="AH13" s="73"/>
      <c r="AI13" s="74"/>
      <c r="AJ13" s="81"/>
      <c r="AK13" s="74"/>
      <c r="AL13" s="74"/>
      <c r="AM13" s="64"/>
      <c r="AN13" s="64"/>
      <c r="AO13" s="73"/>
      <c r="AP13" s="77"/>
      <c r="AQ13" s="77"/>
      <c r="AR13" s="77"/>
      <c r="AS13" s="70"/>
      <c r="AT13" s="77"/>
      <c r="AU13" s="77"/>
      <c r="AV13" s="75"/>
      <c r="AW13" s="74"/>
      <c r="AX13" s="73"/>
      <c r="AY13" s="70"/>
      <c r="AZ13" s="70"/>
      <c r="BA13" s="70"/>
      <c r="BB13" s="79"/>
      <c r="BC13" s="70"/>
      <c r="BD13" s="80"/>
      <c r="BE13" s="78"/>
      <c r="BF13" s="78"/>
      <c r="BG13" s="78"/>
      <c r="BH13" s="78"/>
      <c r="BI13" s="78"/>
      <c r="BJ13" s="78"/>
      <c r="BK13" s="70"/>
      <c r="BL13" s="75"/>
      <c r="BM13" s="64"/>
      <c r="BN13" s="80"/>
      <c r="BO13" s="73"/>
      <c r="BP13" s="74"/>
      <c r="BQ13" s="81" t="s">
        <v>398</v>
      </c>
      <c r="BR13" s="74" t="s">
        <v>107</v>
      </c>
      <c r="BS13" s="244"/>
      <c r="BT13" s="244"/>
    </row>
    <row r="14" spans="1:72" ht="16.5" hidden="1" customHeight="1">
      <c r="A14" s="65" t="s">
        <v>399</v>
      </c>
      <c r="B14" s="65"/>
      <c r="C14" s="68" t="s">
        <v>400</v>
      </c>
      <c r="D14" s="66">
        <v>2014</v>
      </c>
      <c r="E14" s="68" t="s">
        <v>401</v>
      </c>
      <c r="F14" s="121" t="s">
        <v>402</v>
      </c>
      <c r="G14" s="70"/>
      <c r="H14" s="70"/>
      <c r="I14" s="70"/>
      <c r="J14" s="124" t="s">
        <v>403</v>
      </c>
      <c r="K14" s="123" t="s">
        <v>404</v>
      </c>
      <c r="L14" s="68"/>
      <c r="M14" s="68"/>
      <c r="N14" s="122" t="s">
        <v>214</v>
      </c>
      <c r="O14" s="73"/>
      <c r="P14" s="73"/>
      <c r="Q14" s="74"/>
      <c r="R14" s="124"/>
      <c r="S14" s="73"/>
      <c r="T14" s="73"/>
      <c r="U14" s="73"/>
      <c r="V14" s="73"/>
      <c r="W14" s="73"/>
      <c r="X14" s="73"/>
      <c r="Y14" s="73"/>
      <c r="Z14" s="73"/>
      <c r="AA14" s="74"/>
      <c r="AB14" s="74"/>
      <c r="AC14" s="74"/>
      <c r="AD14" s="75"/>
      <c r="AE14" s="70"/>
      <c r="AF14" s="70"/>
      <c r="AG14" s="70"/>
      <c r="AH14" s="73"/>
      <c r="AI14" s="74"/>
      <c r="AJ14" s="81"/>
      <c r="AK14" s="74"/>
      <c r="AL14" s="74"/>
      <c r="AM14" s="64"/>
      <c r="AN14" s="64"/>
      <c r="AO14" s="73"/>
      <c r="AP14" s="77"/>
      <c r="AQ14" s="77"/>
      <c r="AR14" s="77"/>
      <c r="AS14" s="70"/>
      <c r="AT14" s="77"/>
      <c r="AU14" s="77"/>
      <c r="AV14" s="75"/>
      <c r="AW14" s="74"/>
      <c r="AX14" s="73"/>
      <c r="AY14" s="70"/>
      <c r="AZ14" s="70"/>
      <c r="BA14" s="70"/>
      <c r="BB14" s="79"/>
      <c r="BC14" s="70"/>
      <c r="BD14" s="80"/>
      <c r="BE14" s="78"/>
      <c r="BF14" s="78"/>
      <c r="BG14" s="78"/>
      <c r="BH14" s="78"/>
      <c r="BI14" s="78"/>
      <c r="BJ14" s="78"/>
      <c r="BK14" s="70"/>
      <c r="BL14" s="75"/>
      <c r="BM14" s="64"/>
      <c r="BN14" s="80"/>
      <c r="BO14" s="73"/>
      <c r="BP14" s="74"/>
      <c r="BQ14" s="81" t="s">
        <v>405</v>
      </c>
      <c r="BR14" s="64" t="s">
        <v>107</v>
      </c>
      <c r="BS14" s="82"/>
      <c r="BT14" s="82"/>
    </row>
    <row r="15" spans="1:72" ht="16.5" hidden="1" customHeight="1">
      <c r="A15" s="65" t="s">
        <v>406</v>
      </c>
      <c r="B15" s="65"/>
      <c r="C15" s="68" t="s">
        <v>407</v>
      </c>
      <c r="D15" s="66">
        <v>2015</v>
      </c>
      <c r="E15" s="68" t="s">
        <v>408</v>
      </c>
      <c r="F15" s="121" t="s">
        <v>409</v>
      </c>
      <c r="G15" s="122" t="s">
        <v>410</v>
      </c>
      <c r="H15" s="122"/>
      <c r="I15" s="70"/>
      <c r="J15" s="75" t="s">
        <v>411</v>
      </c>
      <c r="K15" s="123" t="s">
        <v>412</v>
      </c>
      <c r="L15" s="68"/>
      <c r="M15" s="68"/>
      <c r="N15" s="122" t="s">
        <v>214</v>
      </c>
      <c r="O15" s="73" t="s">
        <v>413</v>
      </c>
      <c r="P15" s="73"/>
      <c r="Q15" s="74" t="s">
        <v>414</v>
      </c>
      <c r="R15" s="124"/>
      <c r="S15" s="73" t="s">
        <v>415</v>
      </c>
      <c r="T15" s="73"/>
      <c r="U15" s="73"/>
      <c r="V15" s="73" t="s">
        <v>124</v>
      </c>
      <c r="W15" s="73"/>
      <c r="X15" s="73"/>
      <c r="Y15" s="73"/>
      <c r="Z15" s="73" t="s">
        <v>416</v>
      </c>
      <c r="AA15" s="74"/>
      <c r="AB15" s="74"/>
      <c r="AC15" s="74" t="s">
        <v>417</v>
      </c>
      <c r="AD15" s="75"/>
      <c r="AE15" s="70"/>
      <c r="AF15" s="70"/>
      <c r="AG15" s="70"/>
      <c r="AH15" s="73"/>
      <c r="AI15" s="74"/>
      <c r="AJ15" s="81" t="s">
        <v>418</v>
      </c>
      <c r="AK15" s="74"/>
      <c r="AL15" s="74"/>
      <c r="AM15" s="64"/>
      <c r="AN15" s="64"/>
      <c r="AO15" s="73"/>
      <c r="AP15" s="77"/>
      <c r="AQ15" s="77"/>
      <c r="AR15" s="77"/>
      <c r="AS15" s="70"/>
      <c r="AT15" s="77"/>
      <c r="AU15" s="77"/>
      <c r="AV15" s="75"/>
      <c r="AW15" s="74"/>
      <c r="AX15" s="73"/>
      <c r="AY15" s="70"/>
      <c r="AZ15" s="70"/>
      <c r="BA15" s="70"/>
      <c r="BB15" s="79"/>
      <c r="BC15" s="64"/>
      <c r="BD15" s="70"/>
      <c r="BE15" s="78"/>
      <c r="BF15" s="78"/>
      <c r="BG15" s="78"/>
      <c r="BH15" s="78"/>
      <c r="BI15" s="78"/>
      <c r="BJ15" s="78"/>
      <c r="BK15" s="70"/>
      <c r="BL15" s="75"/>
      <c r="BM15" s="64"/>
      <c r="BN15" s="80"/>
      <c r="BO15" s="73"/>
      <c r="BP15" s="74"/>
      <c r="BQ15" s="81" t="s">
        <v>419</v>
      </c>
      <c r="BR15" s="64" t="s">
        <v>107</v>
      </c>
      <c r="BS15" s="82"/>
      <c r="BT15" s="82"/>
    </row>
    <row r="16" spans="1:72" ht="16.5" hidden="1" customHeight="1">
      <c r="A16" s="65" t="s">
        <v>420</v>
      </c>
      <c r="B16" s="65"/>
      <c r="C16" s="68" t="s">
        <v>421</v>
      </c>
      <c r="D16" s="66">
        <v>2015</v>
      </c>
      <c r="E16" s="68" t="s">
        <v>422</v>
      </c>
      <c r="F16" s="121" t="s">
        <v>423</v>
      </c>
      <c r="G16" s="122" t="s">
        <v>424</v>
      </c>
      <c r="H16" s="122"/>
      <c r="I16" s="70"/>
      <c r="J16" s="75" t="s">
        <v>425</v>
      </c>
      <c r="K16" s="123" t="s">
        <v>426</v>
      </c>
      <c r="L16" s="68"/>
      <c r="M16" s="68"/>
      <c r="N16" s="122" t="s">
        <v>214</v>
      </c>
      <c r="O16" s="73" t="s">
        <v>427</v>
      </c>
      <c r="P16" s="73"/>
      <c r="Q16" s="74" t="s">
        <v>428</v>
      </c>
      <c r="R16" s="124" t="s">
        <v>358</v>
      </c>
      <c r="S16" s="172" t="s">
        <v>429</v>
      </c>
      <c r="T16" s="73"/>
      <c r="U16" s="73"/>
      <c r="V16" s="73" t="s">
        <v>430</v>
      </c>
      <c r="W16" s="73"/>
      <c r="X16" s="73"/>
      <c r="Y16" s="73"/>
      <c r="Z16" s="73" t="s">
        <v>416</v>
      </c>
      <c r="AA16" s="74"/>
      <c r="AB16" s="74"/>
      <c r="AC16" s="74" t="s">
        <v>416</v>
      </c>
      <c r="AD16" s="75" t="s">
        <v>180</v>
      </c>
      <c r="AE16" s="70" t="s">
        <v>431</v>
      </c>
      <c r="AF16" s="70"/>
      <c r="AG16" s="70"/>
      <c r="AH16" s="70" t="s">
        <v>431</v>
      </c>
      <c r="AI16" s="74"/>
      <c r="AJ16" s="81" t="s">
        <v>432</v>
      </c>
      <c r="AK16" s="74"/>
      <c r="AL16" s="64"/>
      <c r="AM16" s="64"/>
      <c r="AN16" s="64"/>
      <c r="AO16" s="73"/>
      <c r="AP16" s="77"/>
      <c r="AQ16" s="77"/>
      <c r="AR16" s="77"/>
      <c r="AS16" s="70"/>
      <c r="AT16" s="77"/>
      <c r="AU16" s="77"/>
      <c r="AV16" s="75"/>
      <c r="AW16" s="74"/>
      <c r="AX16" s="73"/>
      <c r="AY16" s="70"/>
      <c r="AZ16" s="70"/>
      <c r="BA16" s="70"/>
      <c r="BB16" s="79"/>
      <c r="BC16" s="70"/>
      <c r="BD16" s="80"/>
      <c r="BE16" s="78"/>
      <c r="BF16" s="78"/>
      <c r="BG16" s="78"/>
      <c r="BH16" s="78"/>
      <c r="BI16" s="78"/>
      <c r="BJ16" s="78"/>
      <c r="BK16" s="70"/>
      <c r="BL16" s="75"/>
      <c r="BM16" s="64"/>
      <c r="BN16" s="80"/>
      <c r="BO16" s="73" t="s">
        <v>433</v>
      </c>
      <c r="BP16" s="74" t="s">
        <v>434</v>
      </c>
      <c r="BQ16" s="81" t="s">
        <v>435</v>
      </c>
      <c r="BR16" s="64" t="s">
        <v>107</v>
      </c>
      <c r="BS16" s="82"/>
      <c r="BT16" s="82"/>
    </row>
    <row r="17" spans="1:72" ht="16.5" hidden="1" customHeight="1">
      <c r="A17" s="65" t="s">
        <v>436</v>
      </c>
      <c r="B17" s="65"/>
      <c r="C17" s="68" t="s">
        <v>437</v>
      </c>
      <c r="D17" s="66">
        <v>2015</v>
      </c>
      <c r="E17" s="68" t="s">
        <v>438</v>
      </c>
      <c r="F17" s="121" t="s">
        <v>439</v>
      </c>
      <c r="G17" s="122" t="s">
        <v>440</v>
      </c>
      <c r="H17" s="122"/>
      <c r="I17" s="70"/>
      <c r="J17" s="75" t="s">
        <v>441</v>
      </c>
      <c r="K17" s="123" t="s">
        <v>442</v>
      </c>
      <c r="L17" s="68"/>
      <c r="M17" s="68"/>
      <c r="N17" s="122" t="s">
        <v>214</v>
      </c>
      <c r="O17" s="73" t="s">
        <v>443</v>
      </c>
      <c r="P17" s="73" t="s">
        <v>444</v>
      </c>
      <c r="Q17" s="74" t="s">
        <v>445</v>
      </c>
      <c r="R17" s="124" t="s">
        <v>358</v>
      </c>
      <c r="S17" s="125" t="s">
        <v>446</v>
      </c>
      <c r="T17" s="73"/>
      <c r="U17" s="73"/>
      <c r="V17" s="73" t="s">
        <v>447</v>
      </c>
      <c r="W17" s="73"/>
      <c r="X17" s="73"/>
      <c r="Y17" s="73"/>
      <c r="Z17" s="73" t="s">
        <v>416</v>
      </c>
      <c r="AA17" s="74"/>
      <c r="AB17" s="74"/>
      <c r="AC17" s="74" t="s">
        <v>416</v>
      </c>
      <c r="AD17" s="75" t="s">
        <v>448</v>
      </c>
      <c r="AE17" s="70" t="s">
        <v>448</v>
      </c>
      <c r="AF17" s="70"/>
      <c r="AG17" s="70"/>
      <c r="AH17" s="73" t="s">
        <v>448</v>
      </c>
      <c r="AI17" s="74"/>
      <c r="AJ17" s="81" t="s">
        <v>449</v>
      </c>
      <c r="AK17" s="74"/>
      <c r="AL17" s="74"/>
      <c r="AM17" s="64"/>
      <c r="AN17" s="64"/>
      <c r="AO17" s="73"/>
      <c r="AP17" s="77"/>
      <c r="AQ17" s="77"/>
      <c r="AR17" s="77"/>
      <c r="AS17" s="70" t="s">
        <v>98</v>
      </c>
      <c r="AT17" s="77" t="s">
        <v>450</v>
      </c>
      <c r="AU17" s="77"/>
      <c r="AV17" s="75" t="s">
        <v>287</v>
      </c>
      <c r="AW17" s="74"/>
      <c r="AX17" s="73" t="s">
        <v>336</v>
      </c>
      <c r="AY17" s="70"/>
      <c r="AZ17" s="70" t="s">
        <v>101</v>
      </c>
      <c r="BA17" s="70" t="s">
        <v>101</v>
      </c>
      <c r="BB17" s="79">
        <v>1278</v>
      </c>
      <c r="BC17" s="76" t="s">
        <v>451</v>
      </c>
      <c r="BD17" s="80" t="s">
        <v>452</v>
      </c>
      <c r="BE17" s="78" t="s">
        <v>453</v>
      </c>
      <c r="BF17" s="78"/>
      <c r="BG17" s="78" t="s">
        <v>454</v>
      </c>
      <c r="BH17" s="78" t="s">
        <v>455</v>
      </c>
      <c r="BI17" s="78">
        <v>10</v>
      </c>
      <c r="BJ17" s="78" t="s">
        <v>456</v>
      </c>
      <c r="BK17" s="70" t="s">
        <v>457</v>
      </c>
      <c r="BL17" s="75"/>
      <c r="BM17" s="64"/>
      <c r="BN17" s="80" t="s">
        <v>458</v>
      </c>
      <c r="BO17" s="73" t="s">
        <v>459</v>
      </c>
      <c r="BP17" s="74" t="s">
        <v>434</v>
      </c>
      <c r="BQ17" s="126" t="s">
        <v>460</v>
      </c>
      <c r="BR17" s="64" t="s">
        <v>107</v>
      </c>
      <c r="BS17" s="82"/>
      <c r="BT17" s="82"/>
    </row>
    <row r="18" spans="1:72" ht="16.5" hidden="1" customHeight="1">
      <c r="A18" s="130" t="s">
        <v>461</v>
      </c>
      <c r="B18" s="130"/>
      <c r="C18" s="130" t="s">
        <v>462</v>
      </c>
      <c r="D18" s="207">
        <v>2016</v>
      </c>
      <c r="E18" s="130" t="s">
        <v>463</v>
      </c>
      <c r="F18" s="208" t="str">
        <f>HYPERLINK("http://dx.doi.org/10.1080/08870446.2015.1112389","http://dx.doi.org/10.1080/08870446.2015.1112389")</f>
        <v>http://dx.doi.org/10.1080/08870446.2015.1112389</v>
      </c>
      <c r="G18" s="210" t="s">
        <v>464</v>
      </c>
      <c r="H18" s="210"/>
      <c r="I18" s="135" t="s">
        <v>465</v>
      </c>
      <c r="J18" s="209" t="s">
        <v>466</v>
      </c>
      <c r="K18" s="137" t="s">
        <v>467</v>
      </c>
      <c r="L18" s="129" t="s">
        <v>468</v>
      </c>
      <c r="M18" s="129" t="s">
        <v>469</v>
      </c>
      <c r="N18" s="135" t="s">
        <v>85</v>
      </c>
      <c r="O18" s="138" t="s">
        <v>470</v>
      </c>
      <c r="P18" s="138" t="s">
        <v>471</v>
      </c>
      <c r="Q18" s="142"/>
      <c r="R18" s="140" t="s">
        <v>90</v>
      </c>
      <c r="S18" s="138" t="s">
        <v>124</v>
      </c>
      <c r="T18" s="138"/>
      <c r="U18" s="138" t="s">
        <v>124</v>
      </c>
      <c r="V18" s="138" t="s">
        <v>124</v>
      </c>
      <c r="W18" s="138"/>
      <c r="X18" s="138" t="s">
        <v>472</v>
      </c>
      <c r="Y18" s="138" t="s">
        <v>473</v>
      </c>
      <c r="Z18" s="138" t="s">
        <v>474</v>
      </c>
      <c r="AA18" s="142" t="s">
        <v>475</v>
      </c>
      <c r="AB18" s="142"/>
      <c r="AC18" s="142" t="s">
        <v>476</v>
      </c>
      <c r="AD18" s="140" t="s">
        <v>477</v>
      </c>
      <c r="AE18" s="135" t="s">
        <v>478</v>
      </c>
      <c r="AF18" s="135"/>
      <c r="AG18" s="135"/>
      <c r="AH18" s="138" t="s">
        <v>134</v>
      </c>
      <c r="AI18" s="142"/>
      <c r="AJ18" s="150" t="s">
        <v>479</v>
      </c>
      <c r="AK18" s="142"/>
      <c r="AL18" s="142" t="s">
        <v>480</v>
      </c>
      <c r="AM18" s="129" t="s">
        <v>481</v>
      </c>
      <c r="AN18" s="129" t="s">
        <v>138</v>
      </c>
      <c r="AO18" s="138"/>
      <c r="AP18" s="143" t="s">
        <v>139</v>
      </c>
      <c r="AQ18" s="143" t="s">
        <v>140</v>
      </c>
      <c r="AR18" s="143" t="s">
        <v>141</v>
      </c>
      <c r="AS18" s="135" t="s">
        <v>482</v>
      </c>
      <c r="AT18" s="143" t="s">
        <v>483</v>
      </c>
      <c r="AU18" s="143"/>
      <c r="AV18" s="144" t="s">
        <v>287</v>
      </c>
      <c r="AW18" s="142" t="s">
        <v>484</v>
      </c>
      <c r="AX18" s="138" t="s">
        <v>336</v>
      </c>
      <c r="AY18" s="138" t="s">
        <v>189</v>
      </c>
      <c r="AZ18" s="135" t="s">
        <v>485</v>
      </c>
      <c r="BA18" s="135" t="s">
        <v>485</v>
      </c>
      <c r="BB18" s="147">
        <v>58</v>
      </c>
      <c r="BC18" s="135" t="s">
        <v>486</v>
      </c>
      <c r="BD18" s="148" t="s">
        <v>487</v>
      </c>
      <c r="BE18" s="146" t="s">
        <v>488</v>
      </c>
      <c r="BF18" s="146" t="s">
        <v>489</v>
      </c>
      <c r="BG18" s="146" t="s">
        <v>490</v>
      </c>
      <c r="BH18" s="146" t="s">
        <v>491</v>
      </c>
      <c r="BI18" s="177"/>
      <c r="BJ18" s="146" t="s">
        <v>456</v>
      </c>
      <c r="BK18" s="138" t="s">
        <v>492</v>
      </c>
      <c r="BL18" s="140"/>
      <c r="BM18" s="129"/>
      <c r="BN18" s="148" t="s">
        <v>493</v>
      </c>
      <c r="BO18" s="211" t="s">
        <v>494</v>
      </c>
      <c r="BP18" s="212" t="s">
        <v>495</v>
      </c>
      <c r="BQ18" s="149" t="s">
        <v>496</v>
      </c>
      <c r="BR18" s="129" t="s">
        <v>497</v>
      </c>
      <c r="BS18" s="253"/>
      <c r="BT18" s="253"/>
    </row>
    <row r="19" spans="1:72" ht="16.5" hidden="1" customHeight="1">
      <c r="A19" s="2" t="s">
        <v>498</v>
      </c>
      <c r="B19" s="2"/>
      <c r="C19" s="1" t="s">
        <v>499</v>
      </c>
      <c r="D19" s="3">
        <v>2016</v>
      </c>
      <c r="E19" s="1" t="s">
        <v>500</v>
      </c>
      <c r="F19" s="4" t="s">
        <v>501</v>
      </c>
      <c r="G19" s="7"/>
      <c r="H19" s="7"/>
      <c r="I19" s="7"/>
      <c r="J19" s="6" t="s">
        <v>502</v>
      </c>
      <c r="K19" s="8"/>
      <c r="L19" s="1"/>
      <c r="M19" s="1"/>
      <c r="N19" s="7"/>
      <c r="O19" s="10"/>
      <c r="P19" s="10"/>
      <c r="Q19" s="11"/>
      <c r="R19" s="12"/>
      <c r="S19" s="10"/>
      <c r="T19" s="10"/>
      <c r="U19" s="10"/>
      <c r="V19" s="10"/>
      <c r="W19" s="10"/>
      <c r="X19" s="10"/>
      <c r="Y19" s="10"/>
      <c r="Z19" s="10"/>
      <c r="AA19" s="11"/>
      <c r="AB19" s="11"/>
      <c r="AC19" s="11"/>
      <c r="AD19" s="12"/>
      <c r="AE19" s="7"/>
      <c r="AF19" s="7"/>
      <c r="AG19" s="7"/>
      <c r="AH19" s="10"/>
      <c r="AI19" s="11"/>
      <c r="AJ19" s="17"/>
      <c r="AK19" s="11"/>
      <c r="AL19" s="11"/>
      <c r="AM19" s="1"/>
      <c r="AN19" s="1"/>
      <c r="AO19" s="10"/>
      <c r="AP19" s="13"/>
      <c r="AQ19" s="13"/>
      <c r="AR19" s="13"/>
      <c r="AS19" s="7"/>
      <c r="AT19" s="13"/>
      <c r="AU19" s="13"/>
      <c r="AV19" s="12"/>
      <c r="AW19" s="11"/>
      <c r="AX19" s="10"/>
      <c r="AY19" s="7"/>
      <c r="AZ19" s="7"/>
      <c r="BA19" s="7"/>
      <c r="BB19" s="15"/>
      <c r="BC19" s="7"/>
      <c r="BD19" s="16"/>
      <c r="BE19" s="14"/>
      <c r="BF19" s="14"/>
      <c r="BG19" s="14"/>
      <c r="BH19" s="14"/>
      <c r="BI19" s="14"/>
      <c r="BJ19" s="14"/>
      <c r="BK19" s="7"/>
      <c r="BL19" s="12"/>
      <c r="BM19" s="1"/>
      <c r="BN19" s="16"/>
      <c r="BO19" s="10"/>
      <c r="BP19" s="11"/>
      <c r="BQ19" s="17" t="s">
        <v>503</v>
      </c>
      <c r="BR19" s="1" t="s">
        <v>107</v>
      </c>
      <c r="BS19" s="18"/>
      <c r="BT19" s="18"/>
    </row>
    <row r="20" spans="1:72" ht="16.5" hidden="1" customHeight="1">
      <c r="A20" s="2" t="s">
        <v>504</v>
      </c>
      <c r="B20" s="2"/>
      <c r="C20" s="1" t="s">
        <v>505</v>
      </c>
      <c r="D20" s="3">
        <v>2016</v>
      </c>
      <c r="E20" s="1" t="s">
        <v>506</v>
      </c>
      <c r="F20" s="259" t="s">
        <v>507</v>
      </c>
      <c r="G20" s="202" t="s">
        <v>508</v>
      </c>
      <c r="H20" s="202"/>
      <c r="I20" s="7"/>
      <c r="J20" s="6" t="s">
        <v>509</v>
      </c>
      <c r="K20" s="8"/>
      <c r="L20" s="1"/>
      <c r="M20" s="1"/>
      <c r="N20" s="7"/>
      <c r="O20" s="7"/>
      <c r="P20" s="7"/>
      <c r="Q20" s="1"/>
      <c r="R20" s="12"/>
      <c r="S20" s="7"/>
      <c r="T20" s="7"/>
      <c r="U20" s="7"/>
      <c r="V20" s="7"/>
      <c r="W20" s="7"/>
      <c r="X20" s="7"/>
      <c r="Y20" s="7"/>
      <c r="Z20" s="7"/>
      <c r="AA20" s="1"/>
      <c r="AB20" s="1"/>
      <c r="AC20" s="1"/>
      <c r="AD20" s="12"/>
      <c r="AE20" s="7"/>
      <c r="AF20" s="7"/>
      <c r="AG20" s="7"/>
      <c r="AH20" s="7"/>
      <c r="AI20" s="1"/>
      <c r="AJ20" s="12"/>
      <c r="AK20" s="1"/>
      <c r="AL20" s="1"/>
      <c r="AM20" s="1"/>
      <c r="AN20" s="1"/>
      <c r="AO20" s="7"/>
      <c r="AP20" s="5"/>
      <c r="AQ20" s="5"/>
      <c r="AR20" s="5"/>
      <c r="AS20" s="7"/>
      <c r="AT20" s="5"/>
      <c r="AU20" s="5"/>
      <c r="AV20" s="12"/>
      <c r="AW20" s="1"/>
      <c r="AX20" s="7"/>
      <c r="AY20" s="7"/>
      <c r="AZ20" s="7"/>
      <c r="BA20" s="7"/>
      <c r="BB20" s="223"/>
      <c r="BC20" s="7"/>
      <c r="BD20" s="16"/>
      <c r="BE20" s="16"/>
      <c r="BF20" s="16"/>
      <c r="BG20" s="16"/>
      <c r="BH20" s="16"/>
      <c r="BI20" s="16"/>
      <c r="BJ20" s="16"/>
      <c r="BK20" s="7"/>
      <c r="BL20" s="12"/>
      <c r="BM20" s="23" t="s">
        <v>138</v>
      </c>
      <c r="BN20" s="16"/>
      <c r="BO20" s="7"/>
      <c r="BP20" s="1"/>
      <c r="BQ20" s="12" t="s">
        <v>510</v>
      </c>
      <c r="BR20" s="1" t="s">
        <v>107</v>
      </c>
      <c r="BS20" s="5"/>
      <c r="BT20" s="5"/>
    </row>
    <row r="21" spans="1:72" ht="16.5" hidden="1" customHeight="1">
      <c r="A21" s="152" t="s">
        <v>511</v>
      </c>
      <c r="B21" s="152"/>
      <c r="C21" s="151" t="s">
        <v>512</v>
      </c>
      <c r="D21" s="153">
        <v>2016</v>
      </c>
      <c r="E21" s="151" t="s">
        <v>513</v>
      </c>
      <c r="F21" s="154" t="s">
        <v>514</v>
      </c>
      <c r="G21" s="157" t="s">
        <v>515</v>
      </c>
      <c r="H21" s="157"/>
      <c r="I21" s="156"/>
      <c r="J21" s="155" t="s">
        <v>516</v>
      </c>
      <c r="K21" s="158"/>
      <c r="L21" s="151" t="s">
        <v>517</v>
      </c>
      <c r="M21" s="151"/>
      <c r="N21" s="156" t="s">
        <v>517</v>
      </c>
      <c r="O21" s="159" t="s">
        <v>518</v>
      </c>
      <c r="P21" s="159" t="s">
        <v>519</v>
      </c>
      <c r="Q21" s="160" t="s">
        <v>520</v>
      </c>
      <c r="R21" s="161"/>
      <c r="S21" s="159"/>
      <c r="T21" s="159"/>
      <c r="U21" s="159"/>
      <c r="V21" s="159"/>
      <c r="W21" s="159"/>
      <c r="X21" s="159"/>
      <c r="Y21" s="159"/>
      <c r="Z21" s="159"/>
      <c r="AA21" s="162"/>
      <c r="AB21" s="162"/>
      <c r="AC21" s="162"/>
      <c r="AD21" s="161"/>
      <c r="AE21" s="156"/>
      <c r="AF21" s="156"/>
      <c r="AG21" s="156"/>
      <c r="AH21" s="159"/>
      <c r="AI21" s="162"/>
      <c r="AJ21" s="167"/>
      <c r="AK21" s="162"/>
      <c r="AL21" s="162"/>
      <c r="AM21" s="151"/>
      <c r="AN21" s="151"/>
      <c r="AO21" s="159"/>
      <c r="AP21" s="163"/>
      <c r="AQ21" s="163"/>
      <c r="AR21" s="163"/>
      <c r="AS21" s="156"/>
      <c r="AT21" s="163"/>
      <c r="AU21" s="163"/>
      <c r="AV21" s="161"/>
      <c r="AW21" s="162"/>
      <c r="AX21" s="159"/>
      <c r="AY21" s="156"/>
      <c r="AZ21" s="156"/>
      <c r="BA21" s="156"/>
      <c r="BB21" s="165"/>
      <c r="BC21" s="156"/>
      <c r="BD21" s="166"/>
      <c r="BE21" s="164"/>
      <c r="BF21" s="164"/>
      <c r="BG21" s="164"/>
      <c r="BH21" s="164"/>
      <c r="BI21" s="164"/>
      <c r="BJ21" s="164"/>
      <c r="BK21" s="156"/>
      <c r="BL21" s="161"/>
      <c r="BM21" s="151"/>
      <c r="BN21" s="166"/>
      <c r="BO21" s="159"/>
      <c r="BP21" s="162"/>
      <c r="BQ21" s="168" t="s">
        <v>521</v>
      </c>
      <c r="BR21" s="152" t="s">
        <v>107</v>
      </c>
      <c r="BS21" s="169"/>
      <c r="BT21" s="169"/>
    </row>
    <row r="22" spans="1:72" ht="16.5" hidden="1" customHeight="1">
      <c r="A22" s="2" t="s">
        <v>522</v>
      </c>
      <c r="B22" s="2"/>
      <c r="C22" s="1" t="s">
        <v>523</v>
      </c>
      <c r="D22" s="3">
        <v>2016</v>
      </c>
      <c r="E22" s="1" t="s">
        <v>524</v>
      </c>
      <c r="F22" s="259" t="s">
        <v>525</v>
      </c>
      <c r="G22" s="7"/>
      <c r="H22" s="7"/>
      <c r="I22" s="7" t="s">
        <v>526</v>
      </c>
      <c r="J22" s="6" t="s">
        <v>527</v>
      </c>
      <c r="K22" s="8" t="s">
        <v>528</v>
      </c>
      <c r="L22" s="1" t="s">
        <v>529</v>
      </c>
      <c r="M22" s="1" t="s">
        <v>530</v>
      </c>
      <c r="N22" s="7" t="s">
        <v>312</v>
      </c>
      <c r="O22" s="7" t="s">
        <v>531</v>
      </c>
      <c r="P22" s="7" t="s">
        <v>532</v>
      </c>
      <c r="Q22" s="1"/>
      <c r="R22" s="12" t="s">
        <v>358</v>
      </c>
      <c r="S22" s="7"/>
      <c r="T22" s="7" t="s">
        <v>533</v>
      </c>
      <c r="U22" s="7" t="s">
        <v>124</v>
      </c>
      <c r="V22" s="7" t="s">
        <v>124</v>
      </c>
      <c r="W22" s="7" t="s">
        <v>124</v>
      </c>
      <c r="X22" s="7"/>
      <c r="Y22" s="7"/>
      <c r="Z22" s="7" t="s">
        <v>534</v>
      </c>
      <c r="AA22" s="1" t="s">
        <v>535</v>
      </c>
      <c r="AB22" s="1"/>
      <c r="AC22" s="1" t="s">
        <v>536</v>
      </c>
      <c r="AD22" s="12" t="s">
        <v>180</v>
      </c>
      <c r="AE22" s="7" t="s">
        <v>537</v>
      </c>
      <c r="AF22" s="7" t="s">
        <v>328</v>
      </c>
      <c r="AG22" s="7"/>
      <c r="AH22" s="25" t="s">
        <v>538</v>
      </c>
      <c r="AI22" s="1"/>
      <c r="AJ22" s="12" t="s">
        <v>539</v>
      </c>
      <c r="AK22" s="1"/>
      <c r="AL22" s="1"/>
      <c r="AM22" s="1" t="s">
        <v>138</v>
      </c>
      <c r="AN22" s="1" t="s">
        <v>138</v>
      </c>
      <c r="AO22" s="7"/>
      <c r="AP22" s="5" t="s">
        <v>139</v>
      </c>
      <c r="AQ22" s="5" t="s">
        <v>540</v>
      </c>
      <c r="AR22" s="5" t="s">
        <v>541</v>
      </c>
      <c r="AS22" s="7" t="s">
        <v>98</v>
      </c>
      <c r="AT22" s="5"/>
      <c r="AU22" s="5"/>
      <c r="AV22" s="255" t="s">
        <v>143</v>
      </c>
      <c r="AW22" s="1" t="s">
        <v>542</v>
      </c>
      <c r="AX22" s="7" t="s">
        <v>145</v>
      </c>
      <c r="AY22" s="7" t="s">
        <v>189</v>
      </c>
      <c r="AZ22" s="7" t="s">
        <v>101</v>
      </c>
      <c r="BA22" s="7" t="s">
        <v>101</v>
      </c>
      <c r="BB22" s="223">
        <v>10</v>
      </c>
      <c r="BC22" s="7" t="s">
        <v>543</v>
      </c>
      <c r="BD22" s="16"/>
      <c r="BE22" s="16" t="s">
        <v>544</v>
      </c>
      <c r="BF22" s="16" t="s">
        <v>528</v>
      </c>
      <c r="BG22" s="16" t="s">
        <v>545</v>
      </c>
      <c r="BH22" s="16" t="s">
        <v>546</v>
      </c>
      <c r="BI22" s="260">
        <v>30</v>
      </c>
      <c r="BJ22" s="16" t="s">
        <v>547</v>
      </c>
      <c r="BK22" s="7" t="s">
        <v>548</v>
      </c>
      <c r="BL22" s="32" t="s">
        <v>549</v>
      </c>
      <c r="BM22" s="23" t="s">
        <v>138</v>
      </c>
      <c r="BN22" s="16"/>
      <c r="BO22" s="7" t="s">
        <v>550</v>
      </c>
      <c r="BP22" s="1" t="s">
        <v>551</v>
      </c>
      <c r="BQ22" s="12" t="s">
        <v>552</v>
      </c>
      <c r="BR22" s="1" t="s">
        <v>497</v>
      </c>
      <c r="BS22" s="256"/>
      <c r="BT22" s="256"/>
    </row>
    <row r="23" spans="1:72" s="338" customFormat="1" ht="16.5" customHeight="1">
      <c r="A23" s="329" t="s">
        <v>553</v>
      </c>
      <c r="B23" s="329"/>
      <c r="C23" s="329" t="s">
        <v>554</v>
      </c>
      <c r="D23" s="340">
        <v>2017</v>
      </c>
      <c r="E23" s="329" t="s">
        <v>555</v>
      </c>
      <c r="F23" s="352" t="s">
        <v>556</v>
      </c>
      <c r="G23" s="328" t="s">
        <v>557</v>
      </c>
      <c r="H23" s="328" t="s">
        <v>312</v>
      </c>
      <c r="I23" s="329" t="s">
        <v>112</v>
      </c>
      <c r="J23" s="328" t="s">
        <v>558</v>
      </c>
      <c r="K23" s="329" t="s">
        <v>559</v>
      </c>
      <c r="L23" s="329" t="s">
        <v>529</v>
      </c>
      <c r="M23" s="329" t="s">
        <v>560</v>
      </c>
      <c r="N23" s="329" t="s">
        <v>561</v>
      </c>
      <c r="O23" s="329" t="s">
        <v>562</v>
      </c>
      <c r="P23" s="329" t="s">
        <v>563</v>
      </c>
      <c r="Q23" s="329" t="s">
        <v>564</v>
      </c>
      <c r="R23" s="332" t="s">
        <v>90</v>
      </c>
      <c r="S23" s="329" t="s">
        <v>565</v>
      </c>
      <c r="T23" s="329" t="s">
        <v>566</v>
      </c>
      <c r="U23" s="329" t="s">
        <v>567</v>
      </c>
      <c r="V23" s="329" t="s">
        <v>568</v>
      </c>
      <c r="W23" s="332" t="s">
        <v>569</v>
      </c>
      <c r="X23" s="332" t="s">
        <v>570</v>
      </c>
      <c r="Y23" s="329" t="s">
        <v>571</v>
      </c>
      <c r="Z23" s="332" t="s">
        <v>572</v>
      </c>
      <c r="AA23" s="329" t="s">
        <v>177</v>
      </c>
      <c r="AB23" s="329" t="s">
        <v>573</v>
      </c>
      <c r="AC23" s="353" t="s">
        <v>574</v>
      </c>
      <c r="AD23" s="329" t="s">
        <v>575</v>
      </c>
      <c r="AE23" s="329" t="s">
        <v>576</v>
      </c>
      <c r="AF23" s="329" t="s">
        <v>577</v>
      </c>
      <c r="AG23" s="328" t="s">
        <v>282</v>
      </c>
      <c r="AH23" s="329" t="s">
        <v>578</v>
      </c>
      <c r="AI23" s="374" t="s">
        <v>579</v>
      </c>
      <c r="AJ23" s="403" t="s">
        <v>580</v>
      </c>
      <c r="AK23" s="374" t="s">
        <v>581</v>
      </c>
      <c r="AL23" s="329" t="s">
        <v>582</v>
      </c>
      <c r="AM23" s="329" t="s">
        <v>137</v>
      </c>
      <c r="AN23" s="329" t="s">
        <v>138</v>
      </c>
      <c r="AO23" s="329" t="s">
        <v>583</v>
      </c>
      <c r="AP23" s="329" t="s">
        <v>139</v>
      </c>
      <c r="AQ23" s="329" t="s">
        <v>140</v>
      </c>
      <c r="AR23" s="329" t="s">
        <v>584</v>
      </c>
      <c r="AS23" s="329" t="s">
        <v>98</v>
      </c>
      <c r="AT23" s="329" t="s">
        <v>585</v>
      </c>
      <c r="AU23" s="329" t="s">
        <v>586</v>
      </c>
      <c r="AV23" s="329" t="s">
        <v>179</v>
      </c>
      <c r="AW23" s="329" t="s">
        <v>288</v>
      </c>
      <c r="AX23" s="329" t="s">
        <v>188</v>
      </c>
      <c r="AY23" s="329" t="s">
        <v>337</v>
      </c>
      <c r="AZ23" s="329" t="s">
        <v>101</v>
      </c>
      <c r="BA23" s="329" t="s">
        <v>101</v>
      </c>
      <c r="BB23" s="329" t="s">
        <v>587</v>
      </c>
      <c r="BC23" s="329"/>
      <c r="BD23" s="329" t="s">
        <v>588</v>
      </c>
      <c r="BE23" s="329" t="s">
        <v>341</v>
      </c>
      <c r="BF23" s="329" t="s">
        <v>489</v>
      </c>
      <c r="BG23" s="329" t="s">
        <v>589</v>
      </c>
      <c r="BH23" s="329" t="s">
        <v>590</v>
      </c>
      <c r="BI23" s="329"/>
      <c r="BJ23" s="329"/>
      <c r="BK23" s="329" t="s">
        <v>341</v>
      </c>
      <c r="BL23" s="329" t="s">
        <v>591</v>
      </c>
      <c r="BM23" s="329" t="s">
        <v>137</v>
      </c>
      <c r="BN23" s="329" t="s">
        <v>592</v>
      </c>
      <c r="BO23" s="329" t="s">
        <v>593</v>
      </c>
      <c r="BP23" s="329" t="s">
        <v>594</v>
      </c>
      <c r="BQ23" s="329"/>
      <c r="BR23" s="329" t="s">
        <v>201</v>
      </c>
      <c r="BS23" s="347"/>
      <c r="BT23" s="347"/>
    </row>
    <row r="24" spans="1:72" ht="16.5" hidden="1" customHeight="1">
      <c r="A24" s="2" t="s">
        <v>595</v>
      </c>
      <c r="B24" s="2"/>
      <c r="C24" s="1" t="s">
        <v>596</v>
      </c>
      <c r="D24" s="3">
        <v>2017</v>
      </c>
      <c r="E24" s="1" t="s">
        <v>597</v>
      </c>
      <c r="F24" s="259" t="s">
        <v>598</v>
      </c>
      <c r="G24" s="202"/>
      <c r="H24" s="202"/>
      <c r="I24" s="7"/>
      <c r="J24" s="203" t="s">
        <v>599</v>
      </c>
      <c r="K24" s="8"/>
      <c r="L24" s="1"/>
      <c r="M24" s="1"/>
      <c r="N24" s="7"/>
      <c r="O24" s="7"/>
      <c r="P24" s="7"/>
      <c r="Q24" s="1"/>
      <c r="R24" s="12"/>
      <c r="S24" s="7"/>
      <c r="T24" s="7"/>
      <c r="U24" s="7"/>
      <c r="V24" s="7"/>
      <c r="W24" s="7"/>
      <c r="X24" s="7"/>
      <c r="Y24" s="7"/>
      <c r="Z24" s="7"/>
      <c r="AA24" s="1"/>
      <c r="AB24" s="1"/>
      <c r="AC24" s="1"/>
      <c r="AD24" s="12"/>
      <c r="AE24" s="7"/>
      <c r="AF24" s="7"/>
      <c r="AG24" s="7"/>
      <c r="AH24" s="7"/>
      <c r="AI24" s="1"/>
      <c r="AJ24" s="12"/>
      <c r="AK24" s="1"/>
      <c r="AL24" s="1"/>
      <c r="AM24" s="1"/>
      <c r="AN24" s="1"/>
      <c r="AO24" s="7"/>
      <c r="AP24" s="5"/>
      <c r="AQ24" s="5"/>
      <c r="AR24" s="5"/>
      <c r="AS24" s="7"/>
      <c r="AT24" s="5"/>
      <c r="AU24" s="5"/>
      <c r="AV24" s="12"/>
      <c r="AW24" s="1"/>
      <c r="AX24" s="7"/>
      <c r="AY24" s="7"/>
      <c r="AZ24" s="7"/>
      <c r="BA24" s="7"/>
      <c r="BB24" s="223"/>
      <c r="BC24" s="7"/>
      <c r="BD24" s="16"/>
      <c r="BE24" s="16"/>
      <c r="BF24" s="16"/>
      <c r="BG24" s="16"/>
      <c r="BH24" s="16"/>
      <c r="BI24" s="16"/>
      <c r="BJ24" s="16"/>
      <c r="BK24" s="7"/>
      <c r="BL24" s="12"/>
      <c r="BM24" s="1"/>
      <c r="BN24" s="16"/>
      <c r="BO24" s="7"/>
      <c r="BP24" s="1"/>
      <c r="BQ24" s="12" t="s">
        <v>600</v>
      </c>
      <c r="BR24" s="1" t="s">
        <v>107</v>
      </c>
      <c r="BS24" s="5"/>
      <c r="BT24" s="5"/>
    </row>
    <row r="25" spans="1:72" s="338" customFormat="1" ht="16.5" customHeight="1">
      <c r="A25" s="329" t="s">
        <v>601</v>
      </c>
      <c r="B25" s="329"/>
      <c r="C25" s="329" t="s">
        <v>602</v>
      </c>
      <c r="D25" s="340">
        <v>2017</v>
      </c>
      <c r="E25" s="329" t="s">
        <v>603</v>
      </c>
      <c r="F25" s="354" t="str">
        <f>HYPERLINK("http://dx.doi.org/10.1109/TVCG.2016.2598588","http://dx.doi.org/10.1109/TVCG.2016.2598588")</f>
        <v>http://dx.doi.org/10.1109/TVCG.2016.2598588</v>
      </c>
      <c r="G25" s="329" t="s">
        <v>4220</v>
      </c>
      <c r="H25" s="329" t="s">
        <v>214</v>
      </c>
      <c r="I25" s="329" t="s">
        <v>112</v>
      </c>
      <c r="J25" s="329" t="s">
        <v>604</v>
      </c>
      <c r="K25" s="329" t="s">
        <v>605</v>
      </c>
      <c r="L25" s="329" t="s">
        <v>85</v>
      </c>
      <c r="M25" s="329" t="s">
        <v>469</v>
      </c>
      <c r="N25" s="329" t="s">
        <v>214</v>
      </c>
      <c r="O25" s="329" t="s">
        <v>606</v>
      </c>
      <c r="P25" s="329" t="s">
        <v>607</v>
      </c>
      <c r="Q25" s="329" t="s">
        <v>608</v>
      </c>
      <c r="R25" s="332" t="s">
        <v>358</v>
      </c>
      <c r="S25" s="329" t="s">
        <v>609</v>
      </c>
      <c r="T25" s="329" t="s">
        <v>610</v>
      </c>
      <c r="U25" s="329" t="s">
        <v>124</v>
      </c>
      <c r="V25" s="329" t="s">
        <v>124</v>
      </c>
      <c r="W25" s="332" t="s">
        <v>124</v>
      </c>
      <c r="X25" s="332"/>
      <c r="Y25" s="329"/>
      <c r="Z25" s="332" t="s">
        <v>611</v>
      </c>
      <c r="AA25" s="329" t="s">
        <v>612</v>
      </c>
      <c r="AB25" s="329" t="s">
        <v>613</v>
      </c>
      <c r="AC25" s="329" t="s">
        <v>614</v>
      </c>
      <c r="AD25" s="329" t="s">
        <v>180</v>
      </c>
      <c r="AE25" s="329" t="s">
        <v>615</v>
      </c>
      <c r="AF25" s="329" t="s">
        <v>616</v>
      </c>
      <c r="AG25" s="329" t="s">
        <v>617</v>
      </c>
      <c r="AH25" s="329" t="s">
        <v>618</v>
      </c>
      <c r="AI25" s="374"/>
      <c r="AJ25" s="403" t="s">
        <v>619</v>
      </c>
      <c r="AK25" s="374"/>
      <c r="AL25" s="329" t="s">
        <v>620</v>
      </c>
      <c r="AM25" s="329" t="s">
        <v>137</v>
      </c>
      <c r="AN25" s="329" t="s">
        <v>138</v>
      </c>
      <c r="AO25" s="329" t="s">
        <v>620</v>
      </c>
      <c r="AP25" s="329" t="s">
        <v>333</v>
      </c>
      <c r="AQ25" s="329" t="s">
        <v>140</v>
      </c>
      <c r="AR25" s="329" t="s">
        <v>621</v>
      </c>
      <c r="AS25" s="329" t="s">
        <v>98</v>
      </c>
      <c r="AT25" s="329"/>
      <c r="AU25" s="329"/>
      <c r="AV25" s="329" t="s">
        <v>179</v>
      </c>
      <c r="AW25" s="329" t="s">
        <v>144</v>
      </c>
      <c r="AX25" s="329" t="s">
        <v>188</v>
      </c>
      <c r="AY25" s="329" t="s">
        <v>189</v>
      </c>
      <c r="AZ25" s="329" t="s">
        <v>622</v>
      </c>
      <c r="BA25" s="329" t="s">
        <v>622</v>
      </c>
      <c r="BB25" s="329" t="s">
        <v>623</v>
      </c>
      <c r="BC25" s="329" t="s">
        <v>624</v>
      </c>
      <c r="BD25" s="329" t="s">
        <v>625</v>
      </c>
      <c r="BE25" s="329" t="s">
        <v>626</v>
      </c>
      <c r="BF25" s="329" t="s">
        <v>627</v>
      </c>
      <c r="BG25" s="329" t="s">
        <v>628</v>
      </c>
      <c r="BH25" s="329" t="s">
        <v>629</v>
      </c>
      <c r="BI25" s="329">
        <v>60</v>
      </c>
      <c r="BJ25" s="329" t="s">
        <v>547</v>
      </c>
      <c r="BK25" s="329" t="s">
        <v>630</v>
      </c>
      <c r="BL25" s="329" t="s">
        <v>549</v>
      </c>
      <c r="BM25" s="329"/>
      <c r="BN25" s="329"/>
      <c r="BO25" s="329" t="s">
        <v>631</v>
      </c>
      <c r="BP25" s="329" t="s">
        <v>632</v>
      </c>
      <c r="BQ25" s="329" t="s">
        <v>633</v>
      </c>
      <c r="BR25" s="329" t="s">
        <v>201</v>
      </c>
      <c r="BS25" s="347"/>
      <c r="BT25" s="347"/>
    </row>
    <row r="26" spans="1:72" s="338" customFormat="1" ht="16.5" customHeight="1">
      <c r="A26" s="329" t="s">
        <v>634</v>
      </c>
      <c r="B26" s="329"/>
      <c r="C26" s="329" t="s">
        <v>635</v>
      </c>
      <c r="D26" s="340">
        <v>2018</v>
      </c>
      <c r="E26" s="329" t="s">
        <v>636</v>
      </c>
      <c r="F26" s="357" t="s">
        <v>637</v>
      </c>
      <c r="G26" s="329" t="s">
        <v>638</v>
      </c>
      <c r="H26" s="329" t="s">
        <v>639</v>
      </c>
      <c r="I26" s="329" t="s">
        <v>264</v>
      </c>
      <c r="J26" s="329" t="s">
        <v>640</v>
      </c>
      <c r="K26" s="329" t="s">
        <v>641</v>
      </c>
      <c r="L26" s="329" t="s">
        <v>529</v>
      </c>
      <c r="M26" s="329" t="s">
        <v>642</v>
      </c>
      <c r="N26" s="329" t="s">
        <v>643</v>
      </c>
      <c r="O26" s="329" t="s">
        <v>644</v>
      </c>
      <c r="P26" s="329" t="s">
        <v>645</v>
      </c>
      <c r="Q26" s="329" t="s">
        <v>646</v>
      </c>
      <c r="R26" s="332" t="s">
        <v>90</v>
      </c>
      <c r="S26" s="329" t="s">
        <v>647</v>
      </c>
      <c r="T26" s="329" t="s">
        <v>648</v>
      </c>
      <c r="U26" s="329" t="s">
        <v>124</v>
      </c>
      <c r="V26" s="329" t="s">
        <v>649</v>
      </c>
      <c r="W26" s="348" t="s">
        <v>650</v>
      </c>
      <c r="X26" s="332" t="s">
        <v>651</v>
      </c>
      <c r="Y26" s="329" t="s">
        <v>649</v>
      </c>
      <c r="Z26" s="332" t="s">
        <v>652</v>
      </c>
      <c r="AA26" s="328" t="s">
        <v>653</v>
      </c>
      <c r="AB26" s="328" t="s">
        <v>654</v>
      </c>
      <c r="AC26" s="329" t="s">
        <v>655</v>
      </c>
      <c r="AD26" s="329" t="s">
        <v>326</v>
      </c>
      <c r="AE26" s="329" t="s">
        <v>656</v>
      </c>
      <c r="AF26" s="329" t="s">
        <v>657</v>
      </c>
      <c r="AG26" s="329" t="s">
        <v>658</v>
      </c>
      <c r="AH26" s="329" t="s">
        <v>659</v>
      </c>
      <c r="AI26" s="374"/>
      <c r="AJ26" s="403" t="s">
        <v>660</v>
      </c>
      <c r="AK26" s="374"/>
      <c r="AL26" s="329"/>
      <c r="AM26" s="329" t="s">
        <v>137</v>
      </c>
      <c r="AN26" s="329" t="s">
        <v>138</v>
      </c>
      <c r="AO26" s="329"/>
      <c r="AP26" s="329" t="s">
        <v>139</v>
      </c>
      <c r="AQ26" s="329" t="s">
        <v>140</v>
      </c>
      <c r="AR26" s="329" t="s">
        <v>185</v>
      </c>
      <c r="AS26" s="329" t="s">
        <v>98</v>
      </c>
      <c r="AT26" s="329" t="s">
        <v>661</v>
      </c>
      <c r="AU26" s="329"/>
      <c r="AV26" s="329" t="s">
        <v>143</v>
      </c>
      <c r="AW26" s="329" t="s">
        <v>187</v>
      </c>
      <c r="AX26" s="329" t="s">
        <v>145</v>
      </c>
      <c r="AY26" s="329" t="s">
        <v>189</v>
      </c>
      <c r="AZ26" s="329" t="s">
        <v>101</v>
      </c>
      <c r="BA26" s="329" t="s">
        <v>101</v>
      </c>
      <c r="BB26" s="329">
        <v>46</v>
      </c>
      <c r="BC26" s="329"/>
      <c r="BD26" s="329"/>
      <c r="BE26" s="329" t="s">
        <v>662</v>
      </c>
      <c r="BF26" s="329" t="s">
        <v>193</v>
      </c>
      <c r="BG26" s="329" t="s">
        <v>663</v>
      </c>
      <c r="BH26" s="329" t="s">
        <v>664</v>
      </c>
      <c r="BI26" s="329">
        <v>30</v>
      </c>
      <c r="BJ26" s="329" t="s">
        <v>665</v>
      </c>
      <c r="BK26" s="329" t="s">
        <v>666</v>
      </c>
      <c r="BL26" s="329" t="s">
        <v>667</v>
      </c>
      <c r="BM26" s="329" t="s">
        <v>138</v>
      </c>
      <c r="BN26" s="329"/>
      <c r="BO26" s="329" t="s">
        <v>668</v>
      </c>
      <c r="BP26" s="329" t="s">
        <v>669</v>
      </c>
      <c r="BQ26" s="329" t="s">
        <v>670</v>
      </c>
      <c r="BR26" s="329" t="s">
        <v>201</v>
      </c>
      <c r="BS26" s="347"/>
      <c r="BT26" s="347"/>
    </row>
    <row r="27" spans="1:72" s="338" customFormat="1" ht="16.5" customHeight="1">
      <c r="A27" s="329" t="s">
        <v>671</v>
      </c>
      <c r="B27" s="329"/>
      <c r="C27" s="329" t="s">
        <v>672</v>
      </c>
      <c r="D27" s="340">
        <v>2018</v>
      </c>
      <c r="E27" s="329" t="s">
        <v>673</v>
      </c>
      <c r="F27" s="354" t="str">
        <f>HYPERLINK("http://dx.doi.org/10.1177/0038038516674675","http://dx.doi.org/10.1177/0038038516674675")</f>
        <v>http://dx.doi.org/10.1177/0038038516674675</v>
      </c>
      <c r="G27" s="329" t="s">
        <v>3301</v>
      </c>
      <c r="H27" s="329"/>
      <c r="I27" s="329" t="s">
        <v>264</v>
      </c>
      <c r="J27" s="329" t="s">
        <v>674</v>
      </c>
      <c r="K27" s="329" t="s">
        <v>675</v>
      </c>
      <c r="L27" s="329" t="s">
        <v>530</v>
      </c>
      <c r="M27" s="329" t="s">
        <v>676</v>
      </c>
      <c r="N27" s="329" t="s">
        <v>214</v>
      </c>
      <c r="O27" s="329" t="s">
        <v>677</v>
      </c>
      <c r="P27" s="329" t="s">
        <v>678</v>
      </c>
      <c r="Q27" s="329"/>
      <c r="R27" s="332" t="s">
        <v>90</v>
      </c>
      <c r="S27" s="351" t="s">
        <v>679</v>
      </c>
      <c r="T27" s="329" t="s">
        <v>680</v>
      </c>
      <c r="U27" s="329" t="s">
        <v>124</v>
      </c>
      <c r="V27" s="329" t="s">
        <v>124</v>
      </c>
      <c r="W27" s="332" t="s">
        <v>124</v>
      </c>
      <c r="X27" s="332" t="s">
        <v>681</v>
      </c>
      <c r="Y27" s="329" t="s">
        <v>682</v>
      </c>
      <c r="Z27" s="332" t="s">
        <v>683</v>
      </c>
      <c r="AA27" s="328" t="s">
        <v>177</v>
      </c>
      <c r="AB27" s="329" t="s">
        <v>684</v>
      </c>
      <c r="AC27" s="329" t="s">
        <v>685</v>
      </c>
      <c r="AD27" s="329" t="s">
        <v>180</v>
      </c>
      <c r="AE27" s="329" t="s">
        <v>686</v>
      </c>
      <c r="AF27" s="329" t="s">
        <v>687</v>
      </c>
      <c r="AG27" s="329" t="s">
        <v>688</v>
      </c>
      <c r="AH27" s="329" t="s">
        <v>538</v>
      </c>
      <c r="AI27" s="374"/>
      <c r="AJ27" s="403" t="s">
        <v>689</v>
      </c>
      <c r="AK27" s="374"/>
      <c r="AL27" s="329"/>
      <c r="AM27" s="329" t="s">
        <v>138</v>
      </c>
      <c r="AN27" s="329" t="s">
        <v>138</v>
      </c>
      <c r="AO27" s="329"/>
      <c r="AP27" s="329" t="s">
        <v>139</v>
      </c>
      <c r="AQ27" s="329" t="s">
        <v>690</v>
      </c>
      <c r="AR27" s="329" t="s">
        <v>185</v>
      </c>
      <c r="AS27" s="329" t="s">
        <v>691</v>
      </c>
      <c r="AT27" s="329" t="s">
        <v>692</v>
      </c>
      <c r="AU27" s="329" t="s">
        <v>693</v>
      </c>
      <c r="AV27" s="329" t="s">
        <v>143</v>
      </c>
      <c r="AW27" s="329" t="s">
        <v>694</v>
      </c>
      <c r="AX27" s="329" t="s">
        <v>145</v>
      </c>
      <c r="AY27" s="329" t="s">
        <v>189</v>
      </c>
      <c r="AZ27" s="329" t="s">
        <v>101</v>
      </c>
      <c r="BA27" s="329" t="s">
        <v>101</v>
      </c>
      <c r="BB27" s="329">
        <v>46</v>
      </c>
      <c r="BC27" s="329" t="s">
        <v>695</v>
      </c>
      <c r="BD27" s="329" t="s">
        <v>696</v>
      </c>
      <c r="BE27" s="329" t="s">
        <v>697</v>
      </c>
      <c r="BF27" s="329" t="s">
        <v>698</v>
      </c>
      <c r="BG27" s="329" t="s">
        <v>699</v>
      </c>
      <c r="BH27" s="329" t="s">
        <v>700</v>
      </c>
      <c r="BI27" s="329"/>
      <c r="BJ27" s="329"/>
      <c r="BK27" s="329" t="s">
        <v>701</v>
      </c>
      <c r="BL27" s="329" t="s">
        <v>667</v>
      </c>
      <c r="BM27" s="329" t="s">
        <v>138</v>
      </c>
      <c r="BN27" s="329" t="s">
        <v>124</v>
      </c>
      <c r="BO27" s="329"/>
      <c r="BP27" s="329" t="s">
        <v>702</v>
      </c>
      <c r="BQ27" s="329"/>
      <c r="BR27" s="329" t="s">
        <v>201</v>
      </c>
      <c r="BS27" s="347"/>
      <c r="BT27" s="347"/>
    </row>
    <row r="28" spans="1:72" ht="45.75" hidden="1" customHeight="1">
      <c r="A28" s="65" t="s">
        <v>703</v>
      </c>
      <c r="B28" s="65"/>
      <c r="C28" s="64" t="s">
        <v>704</v>
      </c>
      <c r="D28" s="66">
        <v>2018</v>
      </c>
      <c r="E28" s="64" t="s">
        <v>705</v>
      </c>
      <c r="F28" s="67" t="s">
        <v>706</v>
      </c>
      <c r="G28" s="171"/>
      <c r="H28" s="171"/>
      <c r="I28" s="70" t="s">
        <v>707</v>
      </c>
      <c r="J28" s="170" t="s">
        <v>708</v>
      </c>
      <c r="K28" s="72" t="s">
        <v>709</v>
      </c>
      <c r="L28" s="64" t="s">
        <v>312</v>
      </c>
      <c r="M28" s="64"/>
      <c r="N28" s="70" t="s">
        <v>312</v>
      </c>
      <c r="O28" s="73" t="s">
        <v>710</v>
      </c>
      <c r="P28" s="73"/>
      <c r="Q28" s="74"/>
      <c r="R28" s="75"/>
      <c r="S28" s="73"/>
      <c r="T28" s="73"/>
      <c r="U28" s="73"/>
      <c r="V28" s="73"/>
      <c r="W28" s="74"/>
      <c r="X28" s="74"/>
      <c r="Y28" s="73"/>
      <c r="Z28" s="74"/>
      <c r="AA28" s="74"/>
      <c r="AB28" s="74"/>
      <c r="AC28" s="74"/>
      <c r="AD28" s="75"/>
      <c r="AE28" s="70"/>
      <c r="AF28" s="70"/>
      <c r="AG28" s="70"/>
      <c r="AH28" s="73"/>
      <c r="AI28" s="74"/>
      <c r="AJ28" s="81"/>
      <c r="AK28" s="74"/>
      <c r="AL28" s="74"/>
      <c r="AM28" s="64"/>
      <c r="AN28" s="64"/>
      <c r="AO28" s="73"/>
      <c r="AP28" s="77"/>
      <c r="AQ28" s="77"/>
      <c r="AR28" s="77"/>
      <c r="AS28" s="70"/>
      <c r="AT28" s="77"/>
      <c r="AU28" s="77"/>
      <c r="AV28" s="75"/>
      <c r="AW28" s="74"/>
      <c r="AX28" s="73"/>
      <c r="AY28" s="70"/>
      <c r="AZ28" s="70"/>
      <c r="BA28" s="70"/>
      <c r="BB28" s="79"/>
      <c r="BC28" s="70"/>
      <c r="BD28" s="80"/>
      <c r="BE28" s="78"/>
      <c r="BF28" s="78"/>
      <c r="BG28" s="78"/>
      <c r="BH28" s="78"/>
      <c r="BI28" s="78"/>
      <c r="BJ28" s="78"/>
      <c r="BK28" s="70"/>
      <c r="BL28" s="75"/>
      <c r="BM28" s="64"/>
      <c r="BN28" s="80"/>
      <c r="BO28" s="73"/>
      <c r="BP28" s="74"/>
      <c r="BQ28" s="81" t="s">
        <v>711</v>
      </c>
      <c r="BR28" s="64" t="s">
        <v>107</v>
      </c>
      <c r="BS28" s="82"/>
      <c r="BT28" s="82"/>
    </row>
    <row r="29" spans="1:72" s="338" customFormat="1" ht="15" customHeight="1">
      <c r="A29" s="329" t="s">
        <v>712</v>
      </c>
      <c r="B29" s="329"/>
      <c r="C29" s="329" t="s">
        <v>713</v>
      </c>
      <c r="D29" s="340">
        <v>2018</v>
      </c>
      <c r="E29" s="329" t="s">
        <v>714</v>
      </c>
      <c r="F29" s="352" t="s">
        <v>715</v>
      </c>
      <c r="G29" s="352" t="s">
        <v>715</v>
      </c>
      <c r="H29" s="328"/>
      <c r="I29" s="329" t="s">
        <v>112</v>
      </c>
      <c r="J29" s="328" t="s">
        <v>716</v>
      </c>
      <c r="K29" s="329" t="s">
        <v>717</v>
      </c>
      <c r="L29" s="329" t="s">
        <v>85</v>
      </c>
      <c r="M29" s="329" t="s">
        <v>718</v>
      </c>
      <c r="N29" s="329" t="s">
        <v>719</v>
      </c>
      <c r="O29" s="329" t="s">
        <v>720</v>
      </c>
      <c r="P29" s="329" t="s">
        <v>721</v>
      </c>
      <c r="Q29" s="329" t="s">
        <v>722</v>
      </c>
      <c r="R29" s="332" t="s">
        <v>90</v>
      </c>
      <c r="S29" s="351" t="s">
        <v>723</v>
      </c>
      <c r="T29" s="329" t="s">
        <v>724</v>
      </c>
      <c r="U29" s="329" t="s">
        <v>725</v>
      </c>
      <c r="V29" s="349" t="s">
        <v>726</v>
      </c>
      <c r="W29" s="329" t="s">
        <v>727</v>
      </c>
      <c r="X29" s="349"/>
      <c r="Y29" s="329" t="s">
        <v>728</v>
      </c>
      <c r="Z29" s="358" t="s">
        <v>729</v>
      </c>
      <c r="AA29" s="329" t="s">
        <v>177</v>
      </c>
      <c r="AB29" s="329" t="s">
        <v>730</v>
      </c>
      <c r="AC29" s="329" t="s">
        <v>730</v>
      </c>
      <c r="AD29" s="329" t="s">
        <v>731</v>
      </c>
      <c r="AE29" s="329" t="s">
        <v>732</v>
      </c>
      <c r="AF29" s="329" t="s">
        <v>368</v>
      </c>
      <c r="AG29" s="329" t="s">
        <v>733</v>
      </c>
      <c r="AH29" s="329" t="s">
        <v>734</v>
      </c>
      <c r="AI29" s="374"/>
      <c r="AJ29" s="403" t="s">
        <v>735</v>
      </c>
      <c r="AK29" s="374"/>
      <c r="AL29" s="329" t="s">
        <v>736</v>
      </c>
      <c r="AM29" s="329" t="s">
        <v>137</v>
      </c>
      <c r="AN29" s="329" t="s">
        <v>138</v>
      </c>
      <c r="AO29" s="329" t="s">
        <v>737</v>
      </c>
      <c r="AP29" s="329" t="s">
        <v>139</v>
      </c>
      <c r="AQ29" s="329" t="s">
        <v>140</v>
      </c>
      <c r="AR29" s="329" t="s">
        <v>145</v>
      </c>
      <c r="AS29" s="329" t="s">
        <v>98</v>
      </c>
      <c r="AT29" s="359" t="s">
        <v>738</v>
      </c>
      <c r="AU29" s="329" t="s">
        <v>739</v>
      </c>
      <c r="AV29" s="329" t="s">
        <v>287</v>
      </c>
      <c r="AW29" s="329" t="s">
        <v>740</v>
      </c>
      <c r="AX29" s="329" t="s">
        <v>336</v>
      </c>
      <c r="AY29" s="329" t="s">
        <v>337</v>
      </c>
      <c r="AZ29" s="329" t="s">
        <v>101</v>
      </c>
      <c r="BA29" s="329" t="s">
        <v>101</v>
      </c>
      <c r="BB29" s="329" t="s">
        <v>741</v>
      </c>
      <c r="BC29" s="329" t="s">
        <v>742</v>
      </c>
      <c r="BD29" s="329" t="s">
        <v>743</v>
      </c>
      <c r="BE29" s="329" t="s">
        <v>744</v>
      </c>
      <c r="BF29" s="329" t="s">
        <v>489</v>
      </c>
      <c r="BG29" s="329" t="s">
        <v>745</v>
      </c>
      <c r="BH29" s="356" t="s">
        <v>746</v>
      </c>
      <c r="BI29" s="329"/>
      <c r="BJ29" s="329" t="s">
        <v>547</v>
      </c>
      <c r="BK29" s="329" t="s">
        <v>341</v>
      </c>
      <c r="BL29" s="329" t="s">
        <v>747</v>
      </c>
      <c r="BM29" s="329" t="s">
        <v>137</v>
      </c>
      <c r="BN29" s="329" t="s">
        <v>748</v>
      </c>
      <c r="BO29" s="351" t="s">
        <v>749</v>
      </c>
      <c r="BP29" s="329" t="s">
        <v>750</v>
      </c>
      <c r="BQ29" s="329" t="s">
        <v>751</v>
      </c>
      <c r="BR29" s="329" t="s">
        <v>201</v>
      </c>
      <c r="BS29" s="347"/>
      <c r="BT29" s="347"/>
    </row>
    <row r="30" spans="1:72" ht="45.75" hidden="1" customHeight="1">
      <c r="A30" s="65" t="s">
        <v>752</v>
      </c>
      <c r="B30" s="65"/>
      <c r="C30" s="64" t="s">
        <v>753</v>
      </c>
      <c r="D30" s="66">
        <v>2018</v>
      </c>
      <c r="E30" s="64" t="s">
        <v>754</v>
      </c>
      <c r="F30" s="67" t="s">
        <v>755</v>
      </c>
      <c r="G30" s="71" t="s">
        <v>756</v>
      </c>
      <c r="H30" s="71"/>
      <c r="I30" s="70"/>
      <c r="J30" s="69" t="s">
        <v>757</v>
      </c>
      <c r="K30" s="72"/>
      <c r="L30" s="64"/>
      <c r="M30" s="64"/>
      <c r="N30" s="70"/>
      <c r="O30" s="73" t="s">
        <v>758</v>
      </c>
      <c r="P30" s="73"/>
      <c r="Q30" s="74"/>
      <c r="R30" s="75"/>
      <c r="S30" s="73"/>
      <c r="T30" s="73"/>
      <c r="U30" s="73"/>
      <c r="V30" s="73"/>
      <c r="W30" s="76"/>
      <c r="X30" s="76"/>
      <c r="Y30" s="73"/>
      <c r="Z30" s="76"/>
      <c r="AA30" s="74"/>
      <c r="AB30" s="74"/>
      <c r="AC30" s="74"/>
      <c r="AD30" s="75"/>
      <c r="AE30" s="70"/>
      <c r="AF30" s="70"/>
      <c r="AG30" s="70"/>
      <c r="AH30" s="73"/>
      <c r="AI30" s="74"/>
      <c r="AJ30" s="81"/>
      <c r="AK30" s="74"/>
      <c r="AL30" s="74"/>
      <c r="AM30" s="64"/>
      <c r="AN30" s="64"/>
      <c r="AO30" s="73"/>
      <c r="AP30" s="77"/>
      <c r="AQ30" s="77"/>
      <c r="AR30" s="77"/>
      <c r="AS30" s="70"/>
      <c r="AT30" s="77"/>
      <c r="AU30" s="77"/>
      <c r="AV30" s="75"/>
      <c r="AW30" s="74"/>
      <c r="AX30" s="73"/>
      <c r="AY30" s="70"/>
      <c r="AZ30" s="70"/>
      <c r="BA30" s="70"/>
      <c r="BB30" s="79"/>
      <c r="BC30" s="70"/>
      <c r="BD30" s="80"/>
      <c r="BE30" s="78"/>
      <c r="BF30" s="78"/>
      <c r="BG30" s="78"/>
      <c r="BH30" s="78"/>
      <c r="BI30" s="78"/>
      <c r="BJ30" s="78"/>
      <c r="BK30" s="70"/>
      <c r="BL30" s="75"/>
      <c r="BM30" s="64"/>
      <c r="BN30" s="80"/>
      <c r="BO30" s="73"/>
      <c r="BP30" s="74"/>
      <c r="BQ30" s="81" t="s">
        <v>759</v>
      </c>
      <c r="BR30" s="64" t="s">
        <v>107</v>
      </c>
      <c r="BS30" s="82"/>
      <c r="BT30" s="82"/>
    </row>
    <row r="31" spans="1:72" ht="45.75" hidden="1" customHeight="1">
      <c r="A31" s="65" t="s">
        <v>760</v>
      </c>
      <c r="B31" s="65"/>
      <c r="C31" s="64" t="s">
        <v>761</v>
      </c>
      <c r="D31" s="66">
        <v>2018</v>
      </c>
      <c r="E31" s="64" t="s">
        <v>762</v>
      </c>
      <c r="F31" s="67" t="s">
        <v>763</v>
      </c>
      <c r="G31" s="171" t="s">
        <v>764</v>
      </c>
      <c r="H31" s="171"/>
      <c r="I31" s="70" t="s">
        <v>765</v>
      </c>
      <c r="J31" s="170" t="s">
        <v>766</v>
      </c>
      <c r="K31" s="72"/>
      <c r="L31" s="64" t="s">
        <v>267</v>
      </c>
      <c r="M31" s="64"/>
      <c r="N31" s="70"/>
      <c r="O31" s="73"/>
      <c r="P31" s="73"/>
      <c r="Q31" s="74"/>
      <c r="R31" s="75"/>
      <c r="S31" s="73"/>
      <c r="T31" s="73"/>
      <c r="U31" s="73"/>
      <c r="V31" s="73"/>
      <c r="W31" s="73"/>
      <c r="X31" s="73"/>
      <c r="Y31" s="73"/>
      <c r="Z31" s="74"/>
      <c r="AA31" s="74"/>
      <c r="AB31" s="74"/>
      <c r="AC31" s="74"/>
      <c r="AD31" s="75"/>
      <c r="AE31" s="70"/>
      <c r="AF31" s="70"/>
      <c r="AG31" s="70"/>
      <c r="AH31" s="73"/>
      <c r="AI31" s="74"/>
      <c r="AJ31" s="81"/>
      <c r="AK31" s="74"/>
      <c r="AL31" s="74"/>
      <c r="AM31" s="64"/>
      <c r="AN31" s="64"/>
      <c r="AO31" s="73"/>
      <c r="AP31" s="77"/>
      <c r="AQ31" s="77"/>
      <c r="AR31" s="77"/>
      <c r="AS31" s="70"/>
      <c r="AT31" s="77"/>
      <c r="AU31" s="77"/>
      <c r="AV31" s="75"/>
      <c r="AW31" s="74"/>
      <c r="AX31" s="73"/>
      <c r="AY31" s="70"/>
      <c r="AZ31" s="70"/>
      <c r="BA31" s="70"/>
      <c r="BB31" s="79"/>
      <c r="BC31" s="70"/>
      <c r="BD31" s="80"/>
      <c r="BE31" s="78"/>
      <c r="BF31" s="78"/>
      <c r="BG31" s="78"/>
      <c r="BH31" s="78"/>
      <c r="BI31" s="78"/>
      <c r="BJ31" s="78"/>
      <c r="BK31" s="70"/>
      <c r="BL31" s="75"/>
      <c r="BM31" s="64"/>
      <c r="BN31" s="80"/>
      <c r="BO31" s="73"/>
      <c r="BP31" s="74"/>
      <c r="BQ31" s="81" t="s">
        <v>767</v>
      </c>
      <c r="BR31" s="64" t="s">
        <v>107</v>
      </c>
      <c r="BS31" s="44"/>
      <c r="BT31" s="44"/>
    </row>
    <row r="32" spans="1:72" ht="45.75" hidden="1" customHeight="1">
      <c r="A32" s="65" t="s">
        <v>768</v>
      </c>
      <c r="B32" s="65"/>
      <c r="C32" s="65" t="s">
        <v>769</v>
      </c>
      <c r="D32" s="83">
        <v>2019</v>
      </c>
      <c r="E32" s="65" t="s">
        <v>770</v>
      </c>
      <c r="F32" s="84" t="str">
        <f>HYPERLINK("http://dx.doi.org/10.1177/0038026119830575","http://dx.doi.org/10.1177/0038026119830575")</f>
        <v>http://dx.doi.org/10.1177/0038026119830575</v>
      </c>
      <c r="G32" s="86" t="s">
        <v>771</v>
      </c>
      <c r="H32" s="86"/>
      <c r="I32" s="70" t="s">
        <v>772</v>
      </c>
      <c r="J32" s="85" t="s">
        <v>773</v>
      </c>
      <c r="K32" s="72" t="s">
        <v>774</v>
      </c>
      <c r="L32" s="64" t="s">
        <v>775</v>
      </c>
      <c r="M32" s="64"/>
      <c r="N32" s="70" t="s">
        <v>776</v>
      </c>
      <c r="O32" s="73" t="s">
        <v>777</v>
      </c>
      <c r="P32" s="73"/>
      <c r="Q32" s="74"/>
      <c r="R32" s="75"/>
      <c r="S32" s="73"/>
      <c r="T32" s="73"/>
      <c r="U32" s="73"/>
      <c r="V32" s="73"/>
      <c r="W32" s="73"/>
      <c r="X32" s="73"/>
      <c r="Y32" s="73"/>
      <c r="Z32" s="73"/>
      <c r="AA32" s="74"/>
      <c r="AB32" s="74"/>
      <c r="AC32" s="74"/>
      <c r="AD32" s="75"/>
      <c r="AE32" s="70"/>
      <c r="AF32" s="70"/>
      <c r="AG32" s="70"/>
      <c r="AH32" s="73"/>
      <c r="AI32" s="74"/>
      <c r="AJ32" s="81"/>
      <c r="AK32" s="74"/>
      <c r="AL32" s="74"/>
      <c r="AM32" s="64"/>
      <c r="AN32" s="64"/>
      <c r="AO32" s="73"/>
      <c r="AP32" s="77"/>
      <c r="AQ32" s="77"/>
      <c r="AR32" s="77"/>
      <c r="AS32" s="70"/>
      <c r="AT32" s="77"/>
      <c r="AU32" s="77"/>
      <c r="AV32" s="75"/>
      <c r="AW32" s="74"/>
      <c r="AX32" s="73"/>
      <c r="AY32" s="70"/>
      <c r="AZ32" s="70"/>
      <c r="BA32" s="70"/>
      <c r="BB32" s="79"/>
      <c r="BC32" s="70"/>
      <c r="BD32" s="80"/>
      <c r="BE32" s="78"/>
      <c r="BF32" s="78"/>
      <c r="BG32" s="78"/>
      <c r="BH32" s="78"/>
      <c r="BI32" s="78"/>
      <c r="BJ32" s="78"/>
      <c r="BK32" s="70"/>
      <c r="BL32" s="75"/>
      <c r="BM32" s="64"/>
      <c r="BN32" s="80"/>
      <c r="BO32" s="87"/>
      <c r="BP32" s="88"/>
      <c r="BQ32" s="81" t="s">
        <v>778</v>
      </c>
      <c r="BR32" s="64" t="s">
        <v>107</v>
      </c>
      <c r="BS32" s="68"/>
      <c r="BT32" s="68"/>
    </row>
    <row r="33" spans="1:72" ht="45.75" hidden="1" customHeight="1">
      <c r="A33" s="65" t="s">
        <v>779</v>
      </c>
      <c r="B33" s="65"/>
      <c r="C33" s="65" t="s">
        <v>780</v>
      </c>
      <c r="D33" s="83">
        <v>2019</v>
      </c>
      <c r="E33" s="65" t="s">
        <v>781</v>
      </c>
      <c r="F33" s="84" t="str">
        <f>HYPERLINK("http://dx.doi.org/10.1080/17453054.2019.1591158","http://dx.doi.org/10.1080/17453054.2019.1591158")</f>
        <v>http://dx.doi.org/10.1080/17453054.2019.1591158</v>
      </c>
      <c r="G33" s="86" t="s">
        <v>782</v>
      </c>
      <c r="H33" s="86"/>
      <c r="I33" s="70"/>
      <c r="J33" s="85" t="s">
        <v>783</v>
      </c>
      <c r="K33" s="72"/>
      <c r="L33" s="64"/>
      <c r="M33" s="64"/>
      <c r="N33" s="70"/>
      <c r="O33" s="73" t="s">
        <v>784</v>
      </c>
      <c r="P33" s="73"/>
      <c r="Q33" s="74"/>
      <c r="R33" s="75"/>
      <c r="S33" s="73"/>
      <c r="T33" s="73"/>
      <c r="U33" s="73"/>
      <c r="V33" s="73"/>
      <c r="W33" s="73"/>
      <c r="X33" s="73"/>
      <c r="Y33" s="73"/>
      <c r="Z33" s="74"/>
      <c r="AA33" s="74"/>
      <c r="AB33" s="74"/>
      <c r="AC33" s="74"/>
      <c r="AD33" s="75"/>
      <c r="AE33" s="70"/>
      <c r="AF33" s="70"/>
      <c r="AG33" s="70"/>
      <c r="AH33" s="73"/>
      <c r="AI33" s="74"/>
      <c r="AJ33" s="81"/>
      <c r="AK33" s="74"/>
      <c r="AL33" s="74"/>
      <c r="AM33" s="64"/>
      <c r="AN33" s="64"/>
      <c r="AO33" s="73"/>
      <c r="AP33" s="77"/>
      <c r="AQ33" s="77"/>
      <c r="AR33" s="77"/>
      <c r="AS33" s="70"/>
      <c r="AT33" s="77"/>
      <c r="AU33" s="77"/>
      <c r="AV33" s="75"/>
      <c r="AW33" s="74"/>
      <c r="AX33" s="73"/>
      <c r="AY33" s="70"/>
      <c r="AZ33" s="70"/>
      <c r="BA33" s="70"/>
      <c r="BB33" s="79"/>
      <c r="BC33" s="70"/>
      <c r="BD33" s="80"/>
      <c r="BE33" s="78"/>
      <c r="BF33" s="78"/>
      <c r="BG33" s="78"/>
      <c r="BH33" s="78"/>
      <c r="BI33" s="78"/>
      <c r="BJ33" s="78"/>
      <c r="BK33" s="70"/>
      <c r="BL33" s="75"/>
      <c r="BM33" s="64"/>
      <c r="BN33" s="80"/>
      <c r="BO33" s="87"/>
      <c r="BP33" s="88"/>
      <c r="BQ33" s="81" t="s">
        <v>785</v>
      </c>
      <c r="BR33" s="64" t="s">
        <v>107</v>
      </c>
      <c r="BS33" s="89"/>
      <c r="BT33" s="89"/>
    </row>
    <row r="34" spans="1:72" ht="45.75" hidden="1" customHeight="1">
      <c r="A34" s="65" t="s">
        <v>786</v>
      </c>
      <c r="B34" s="65"/>
      <c r="C34" s="65" t="s">
        <v>787</v>
      </c>
      <c r="D34" s="83">
        <v>2019</v>
      </c>
      <c r="E34" s="65" t="s">
        <v>788</v>
      </c>
      <c r="F34" s="84" t="str">
        <f>HYPERLINK("http://dx.doi.org/10.1080/09500693.2019.1640915","http://dx.doi.org/10.1080/09500693.2019.1640915")</f>
        <v>http://dx.doi.org/10.1080/09500693.2019.1640915</v>
      </c>
      <c r="G34" s="86" t="s">
        <v>789</v>
      </c>
      <c r="H34" s="86"/>
      <c r="I34" s="70" t="s">
        <v>790</v>
      </c>
      <c r="J34" s="85" t="s">
        <v>791</v>
      </c>
      <c r="K34" s="72" t="s">
        <v>792</v>
      </c>
      <c r="L34" s="64"/>
      <c r="M34" s="64"/>
      <c r="N34" s="70"/>
      <c r="O34" s="73" t="s">
        <v>793</v>
      </c>
      <c r="P34" s="73"/>
      <c r="Q34" s="74"/>
      <c r="R34" s="75"/>
      <c r="S34" s="73"/>
      <c r="T34" s="73"/>
      <c r="U34" s="73"/>
      <c r="V34" s="73"/>
      <c r="W34" s="73"/>
      <c r="X34" s="73"/>
      <c r="Y34" s="73"/>
      <c r="Z34" s="73"/>
      <c r="AA34" s="74"/>
      <c r="AB34" s="74"/>
      <c r="AC34" s="74"/>
      <c r="AD34" s="75"/>
      <c r="AE34" s="70"/>
      <c r="AF34" s="70"/>
      <c r="AG34" s="70"/>
      <c r="AH34" s="73"/>
      <c r="AI34" s="74"/>
      <c r="AJ34" s="81"/>
      <c r="AK34" s="74"/>
      <c r="AL34" s="74"/>
      <c r="AM34" s="64"/>
      <c r="AN34" s="64"/>
      <c r="AO34" s="73"/>
      <c r="AP34" s="77"/>
      <c r="AQ34" s="77"/>
      <c r="AR34" s="77"/>
      <c r="AS34" s="70"/>
      <c r="AT34" s="77"/>
      <c r="AU34" s="77"/>
      <c r="AV34" s="75"/>
      <c r="AW34" s="74"/>
      <c r="AX34" s="73"/>
      <c r="AY34" s="70"/>
      <c r="AZ34" s="70"/>
      <c r="BA34" s="70"/>
      <c r="BB34" s="79"/>
      <c r="BC34" s="70"/>
      <c r="BD34" s="80"/>
      <c r="BE34" s="78"/>
      <c r="BF34" s="78"/>
      <c r="BG34" s="78"/>
      <c r="BH34" s="78"/>
      <c r="BI34" s="78"/>
      <c r="BJ34" s="78"/>
      <c r="BK34" s="70"/>
      <c r="BL34" s="75"/>
      <c r="BM34" s="64"/>
      <c r="BN34" s="80"/>
      <c r="BO34" s="87"/>
      <c r="BP34" s="88"/>
      <c r="BQ34" s="81" t="s">
        <v>794</v>
      </c>
      <c r="BR34" s="64" t="s">
        <v>107</v>
      </c>
      <c r="BS34" s="68"/>
      <c r="BT34" s="68"/>
    </row>
    <row r="35" spans="1:72" ht="45.75" hidden="1" customHeight="1">
      <c r="A35" s="65" t="s">
        <v>795</v>
      </c>
      <c r="B35" s="65"/>
      <c r="C35" s="68" t="s">
        <v>796</v>
      </c>
      <c r="D35" s="66">
        <v>2019</v>
      </c>
      <c r="E35" s="68" t="s">
        <v>797</v>
      </c>
      <c r="F35" s="121" t="s">
        <v>798</v>
      </c>
      <c r="G35" s="122" t="s">
        <v>799</v>
      </c>
      <c r="H35" s="122"/>
      <c r="I35" s="70" t="s">
        <v>112</v>
      </c>
      <c r="J35" s="124" t="s">
        <v>800</v>
      </c>
      <c r="K35" s="123" t="s">
        <v>801</v>
      </c>
      <c r="L35" s="68" t="s">
        <v>267</v>
      </c>
      <c r="M35" s="68"/>
      <c r="N35" s="122" t="s">
        <v>643</v>
      </c>
      <c r="O35" s="73" t="s">
        <v>802</v>
      </c>
      <c r="P35" s="73" t="s">
        <v>803</v>
      </c>
      <c r="Q35" s="74"/>
      <c r="R35" s="124"/>
      <c r="S35" s="73"/>
      <c r="T35" s="73"/>
      <c r="U35" s="73"/>
      <c r="V35" s="73"/>
      <c r="W35" s="73"/>
      <c r="X35" s="73"/>
      <c r="Y35" s="73"/>
      <c r="Z35" s="73"/>
      <c r="AA35" s="74"/>
      <c r="AB35" s="74"/>
      <c r="AC35" s="74"/>
      <c r="AD35" s="75"/>
      <c r="AE35" s="70"/>
      <c r="AF35" s="70"/>
      <c r="AG35" s="70"/>
      <c r="AH35" s="73"/>
      <c r="AI35" s="74"/>
      <c r="AJ35" s="81" t="s">
        <v>804</v>
      </c>
      <c r="AK35" s="74"/>
      <c r="AL35" s="74"/>
      <c r="AM35" s="64"/>
      <c r="AN35" s="64"/>
      <c r="AO35" s="73"/>
      <c r="AP35" s="77"/>
      <c r="AQ35" s="77"/>
      <c r="AR35" s="77"/>
      <c r="AS35" s="70"/>
      <c r="AT35" s="77"/>
      <c r="AU35" s="77"/>
      <c r="AV35" s="75"/>
      <c r="AW35" s="74"/>
      <c r="AX35" s="73"/>
      <c r="AY35" s="70"/>
      <c r="AZ35" s="70"/>
      <c r="BA35" s="70"/>
      <c r="BB35" s="79"/>
      <c r="BC35" s="70"/>
      <c r="BD35" s="80"/>
      <c r="BE35" s="78"/>
      <c r="BF35" s="78"/>
      <c r="BG35" s="78"/>
      <c r="BH35" s="78"/>
      <c r="BI35" s="78"/>
      <c r="BJ35" s="78"/>
      <c r="BK35" s="70"/>
      <c r="BL35" s="75"/>
      <c r="BM35" s="64"/>
      <c r="BN35" s="80"/>
      <c r="BO35" s="73" t="s">
        <v>805</v>
      </c>
      <c r="BP35" s="74"/>
      <c r="BQ35" s="178" t="s">
        <v>806</v>
      </c>
      <c r="BR35" s="65" t="s">
        <v>107</v>
      </c>
      <c r="BS35" s="89"/>
      <c r="BT35" s="89"/>
    </row>
    <row r="36" spans="1:72" ht="45.75" hidden="1" customHeight="1">
      <c r="A36" s="65" t="s">
        <v>807</v>
      </c>
      <c r="B36" s="65"/>
      <c r="C36" s="64" t="s">
        <v>808</v>
      </c>
      <c r="D36" s="66">
        <v>2019</v>
      </c>
      <c r="E36" s="64" t="s">
        <v>809</v>
      </c>
      <c r="F36" s="67" t="s">
        <v>810</v>
      </c>
      <c r="G36" s="71"/>
      <c r="H36" s="71"/>
      <c r="I36" s="70" t="s">
        <v>811</v>
      </c>
      <c r="J36" s="170" t="s">
        <v>812</v>
      </c>
      <c r="K36" s="72"/>
      <c r="L36" s="64"/>
      <c r="M36" s="64"/>
      <c r="N36" s="70"/>
      <c r="O36" s="73"/>
      <c r="P36" s="73"/>
      <c r="Q36" s="74"/>
      <c r="R36" s="75"/>
      <c r="S36" s="73"/>
      <c r="T36" s="73"/>
      <c r="U36" s="73"/>
      <c r="V36" s="73"/>
      <c r="W36" s="73"/>
      <c r="X36" s="73"/>
      <c r="Y36" s="73"/>
      <c r="Z36" s="73"/>
      <c r="AA36" s="74"/>
      <c r="AB36" s="74"/>
      <c r="AC36" s="74"/>
      <c r="AD36" s="75"/>
      <c r="AE36" s="70"/>
      <c r="AF36" s="70"/>
      <c r="AG36" s="70"/>
      <c r="AH36" s="73"/>
      <c r="AI36" s="74"/>
      <c r="AJ36" s="81"/>
      <c r="AK36" s="74"/>
      <c r="AL36" s="74"/>
      <c r="AM36" s="64"/>
      <c r="AN36" s="64"/>
      <c r="AO36" s="73"/>
      <c r="AP36" s="77"/>
      <c r="AQ36" s="77"/>
      <c r="AR36" s="77"/>
      <c r="AS36" s="70"/>
      <c r="AT36" s="77"/>
      <c r="AU36" s="77"/>
      <c r="AV36" s="75"/>
      <c r="AW36" s="74"/>
      <c r="AX36" s="73"/>
      <c r="AY36" s="70"/>
      <c r="AZ36" s="70"/>
      <c r="BA36" s="70"/>
      <c r="BB36" s="79"/>
      <c r="BC36" s="70"/>
      <c r="BD36" s="80"/>
      <c r="BE36" s="78"/>
      <c r="BF36" s="78"/>
      <c r="BG36" s="78"/>
      <c r="BH36" s="78"/>
      <c r="BI36" s="78"/>
      <c r="BJ36" s="78"/>
      <c r="BK36" s="70"/>
      <c r="BL36" s="75"/>
      <c r="BM36" s="64"/>
      <c r="BN36" s="80"/>
      <c r="BO36" s="73"/>
      <c r="BP36" s="74"/>
      <c r="BQ36" s="178" t="s">
        <v>813</v>
      </c>
      <c r="BR36" s="65" t="s">
        <v>107</v>
      </c>
    </row>
    <row r="37" spans="1:72" ht="45.75" hidden="1" customHeight="1">
      <c r="A37" s="93" t="s">
        <v>814</v>
      </c>
      <c r="B37" s="93"/>
      <c r="C37" s="92" t="s">
        <v>815</v>
      </c>
      <c r="D37" s="94">
        <v>2019</v>
      </c>
      <c r="E37" s="92" t="s">
        <v>816</v>
      </c>
      <c r="F37" s="95" t="s">
        <v>817</v>
      </c>
      <c r="G37" s="114" t="s">
        <v>818</v>
      </c>
      <c r="H37" s="114"/>
      <c r="I37" s="96" t="s">
        <v>819</v>
      </c>
      <c r="J37" s="113" t="s">
        <v>820</v>
      </c>
      <c r="K37" s="97"/>
      <c r="L37" s="92" t="s">
        <v>821</v>
      </c>
      <c r="M37" s="92"/>
      <c r="N37" s="96" t="s">
        <v>214</v>
      </c>
      <c r="O37" s="98" t="s">
        <v>822</v>
      </c>
      <c r="P37" s="98"/>
      <c r="Q37" s="99"/>
      <c r="R37" s="100"/>
      <c r="S37" s="98"/>
      <c r="T37" s="98"/>
      <c r="U37" s="98"/>
      <c r="V37" s="98"/>
      <c r="W37" s="98"/>
      <c r="X37" s="98"/>
      <c r="Y37" s="98"/>
      <c r="Z37" s="98"/>
      <c r="AA37" s="99"/>
      <c r="AB37" s="99"/>
      <c r="AC37" s="99"/>
      <c r="AD37" s="100"/>
      <c r="AE37" s="96"/>
      <c r="AF37" s="96"/>
      <c r="AG37" s="96"/>
      <c r="AH37" s="98"/>
      <c r="AI37" s="99"/>
      <c r="AJ37" s="107" t="s">
        <v>823</v>
      </c>
      <c r="AK37" s="99"/>
      <c r="AL37" s="99"/>
      <c r="AM37" s="92"/>
      <c r="AN37" s="92"/>
      <c r="AO37" s="98"/>
      <c r="AP37" s="101"/>
      <c r="AQ37" s="101"/>
      <c r="AR37" s="101"/>
      <c r="AS37" s="96"/>
      <c r="AT37" s="101"/>
      <c r="AU37" s="101"/>
      <c r="AV37" s="102"/>
      <c r="AW37" s="99"/>
      <c r="AX37" s="98"/>
      <c r="AY37" s="96"/>
      <c r="AZ37" s="96"/>
      <c r="BA37" s="96"/>
      <c r="BB37" s="105"/>
      <c r="BC37" s="96"/>
      <c r="BD37" s="106"/>
      <c r="BE37" s="103"/>
      <c r="BF37" s="103"/>
      <c r="BG37" s="103"/>
      <c r="BH37" s="103"/>
      <c r="BI37" s="104"/>
      <c r="BJ37" s="103"/>
      <c r="BK37" s="96"/>
      <c r="BL37" s="100"/>
      <c r="BM37" s="92"/>
      <c r="BN37" s="106"/>
      <c r="BO37" s="98"/>
      <c r="BP37" s="99"/>
      <c r="BQ37" s="115" t="s">
        <v>824</v>
      </c>
      <c r="BR37" s="93" t="s">
        <v>825</v>
      </c>
      <c r="BS37" s="116"/>
      <c r="BT37" s="116"/>
    </row>
    <row r="38" spans="1:72" s="338" customFormat="1" ht="15" hidden="1" customHeight="1">
      <c r="A38" s="331" t="s">
        <v>826</v>
      </c>
      <c r="B38" s="331"/>
      <c r="C38" s="331" t="s">
        <v>827</v>
      </c>
      <c r="D38" s="341">
        <v>2019</v>
      </c>
      <c r="E38" s="331" t="s">
        <v>828</v>
      </c>
      <c r="F38" s="360" t="s">
        <v>829</v>
      </c>
      <c r="G38" s="330" t="s">
        <v>830</v>
      </c>
      <c r="H38" s="330"/>
      <c r="I38" s="331" t="s">
        <v>112</v>
      </c>
      <c r="J38" s="330" t="s">
        <v>831</v>
      </c>
      <c r="K38" s="331" t="s">
        <v>832</v>
      </c>
      <c r="L38" s="329" t="s">
        <v>529</v>
      </c>
      <c r="M38" s="331"/>
      <c r="N38" s="331" t="s">
        <v>214</v>
      </c>
      <c r="O38" s="331" t="s">
        <v>833</v>
      </c>
      <c r="P38" s="331"/>
      <c r="Q38" s="331"/>
      <c r="R38" s="331"/>
      <c r="S38" s="331"/>
      <c r="T38" s="331"/>
      <c r="U38" s="331"/>
      <c r="V38" s="331"/>
      <c r="W38" s="331"/>
      <c r="X38" s="331"/>
      <c r="Y38" s="331"/>
      <c r="Z38" s="331"/>
      <c r="AA38" s="331"/>
      <c r="AB38" s="331"/>
      <c r="AC38" s="331"/>
      <c r="AD38" s="331"/>
      <c r="AE38" s="331"/>
      <c r="AF38" s="331"/>
      <c r="AG38" s="331"/>
      <c r="AH38" s="331"/>
      <c r="AI38" s="376"/>
      <c r="AJ38" s="376" t="s">
        <v>834</v>
      </c>
      <c r="AK38" s="376"/>
      <c r="AL38" s="331"/>
      <c r="AM38" s="331"/>
      <c r="AN38" s="331"/>
      <c r="AO38" s="331"/>
      <c r="AP38" s="329" t="s">
        <v>621</v>
      </c>
      <c r="AQ38" s="329" t="s">
        <v>621</v>
      </c>
      <c r="AR38" s="329" t="s">
        <v>621</v>
      </c>
      <c r="AS38" s="331"/>
      <c r="AT38" s="331"/>
      <c r="AU38" s="331"/>
      <c r="AV38" s="331"/>
      <c r="AW38" s="331"/>
      <c r="AX38" s="331"/>
      <c r="AY38" s="331"/>
      <c r="AZ38" s="331"/>
      <c r="BA38" s="331"/>
      <c r="BB38" s="331"/>
      <c r="BC38" s="331"/>
      <c r="BD38" s="331"/>
      <c r="BE38" s="331"/>
      <c r="BF38" s="331"/>
      <c r="BG38" s="331"/>
      <c r="BH38" s="331"/>
      <c r="BI38" s="331"/>
      <c r="BJ38" s="331"/>
      <c r="BK38" s="331"/>
      <c r="BL38" s="331"/>
      <c r="BM38" s="331"/>
      <c r="BN38" s="331"/>
      <c r="BO38" s="331"/>
      <c r="BP38" s="331" t="s">
        <v>835</v>
      </c>
      <c r="BQ38" s="331" t="s">
        <v>836</v>
      </c>
      <c r="BR38" s="329" t="s">
        <v>621</v>
      </c>
      <c r="BS38" s="331" t="s">
        <v>137</v>
      </c>
      <c r="BT38" s="331"/>
    </row>
    <row r="39" spans="1:72" ht="45.75" hidden="1" customHeight="1">
      <c r="A39" s="19" t="s">
        <v>837</v>
      </c>
      <c r="B39" s="19"/>
      <c r="C39" s="62" t="s">
        <v>838</v>
      </c>
      <c r="D39" s="61">
        <v>2019</v>
      </c>
      <c r="E39" s="62" t="s">
        <v>839</v>
      </c>
      <c r="F39" s="117" t="s">
        <v>840</v>
      </c>
      <c r="G39" s="90" t="s">
        <v>841</v>
      </c>
      <c r="H39" s="90"/>
      <c r="I39" s="25" t="s">
        <v>112</v>
      </c>
      <c r="J39" s="118" t="s">
        <v>842</v>
      </c>
      <c r="K39" s="27" t="s">
        <v>843</v>
      </c>
      <c r="L39" s="62" t="s">
        <v>844</v>
      </c>
      <c r="M39" s="62" t="s">
        <v>845</v>
      </c>
      <c r="N39" s="90" t="s">
        <v>214</v>
      </c>
      <c r="O39" s="28" t="s">
        <v>846</v>
      </c>
      <c r="P39" s="28" t="s">
        <v>847</v>
      </c>
      <c r="Q39" s="29" t="s">
        <v>848</v>
      </c>
      <c r="R39" s="110" t="s">
        <v>849</v>
      </c>
      <c r="S39" s="28" t="s">
        <v>850</v>
      </c>
      <c r="T39" s="28" t="s">
        <v>850</v>
      </c>
      <c r="U39" s="28" t="s">
        <v>124</v>
      </c>
      <c r="V39" s="28" t="s">
        <v>124</v>
      </c>
      <c r="W39" s="31" t="s">
        <v>124</v>
      </c>
      <c r="X39" s="28"/>
      <c r="Y39" s="28"/>
      <c r="Z39" s="28" t="s">
        <v>851</v>
      </c>
      <c r="AA39" s="29" t="s">
        <v>475</v>
      </c>
      <c r="AB39" s="329" t="s">
        <v>852</v>
      </c>
      <c r="AC39" s="29" t="s">
        <v>853</v>
      </c>
      <c r="AD39" s="32" t="s">
        <v>854</v>
      </c>
      <c r="AE39" s="25" t="s">
        <v>855</v>
      </c>
      <c r="AF39" s="25"/>
      <c r="AG39" s="25"/>
      <c r="AH39" s="28" t="s">
        <v>856</v>
      </c>
      <c r="AI39" s="29"/>
      <c r="AJ39" s="39" t="s">
        <v>857</v>
      </c>
      <c r="AK39" s="29"/>
      <c r="AL39" s="29" t="s">
        <v>858</v>
      </c>
      <c r="AM39" s="23" t="s">
        <v>138</v>
      </c>
      <c r="AN39" s="23" t="s">
        <v>138</v>
      </c>
      <c r="AO39" s="28"/>
      <c r="AP39" s="33" t="s">
        <v>139</v>
      </c>
      <c r="AQ39" s="33" t="s">
        <v>540</v>
      </c>
      <c r="AR39" s="33" t="s">
        <v>185</v>
      </c>
      <c r="AS39" s="25" t="s">
        <v>859</v>
      </c>
      <c r="AT39" s="33" t="s">
        <v>860</v>
      </c>
      <c r="AU39" s="33"/>
      <c r="AV39" s="34" t="s">
        <v>143</v>
      </c>
      <c r="AW39" s="29" t="s">
        <v>542</v>
      </c>
      <c r="AX39" s="28" t="s">
        <v>145</v>
      </c>
      <c r="AY39" s="25" t="s">
        <v>189</v>
      </c>
      <c r="AZ39" s="25" t="s">
        <v>861</v>
      </c>
      <c r="BA39" s="25" t="s">
        <v>101</v>
      </c>
      <c r="BB39" s="37">
        <v>42</v>
      </c>
      <c r="BC39" s="25" t="s">
        <v>862</v>
      </c>
      <c r="BD39" s="38"/>
      <c r="BE39" s="35" t="s">
        <v>863</v>
      </c>
      <c r="BF39" s="35" t="s">
        <v>193</v>
      </c>
      <c r="BG39" s="35" t="s">
        <v>864</v>
      </c>
      <c r="BH39" s="35" t="s">
        <v>865</v>
      </c>
      <c r="BI39" s="36">
        <v>15</v>
      </c>
      <c r="BJ39" s="35" t="s">
        <v>195</v>
      </c>
      <c r="BK39" s="25"/>
      <c r="BL39" s="32" t="s">
        <v>866</v>
      </c>
      <c r="BM39" s="23"/>
      <c r="BN39" s="38"/>
      <c r="BO39" s="28" t="s">
        <v>867</v>
      </c>
      <c r="BP39" s="29" t="s">
        <v>868</v>
      </c>
      <c r="BQ39" s="39" t="s">
        <v>869</v>
      </c>
      <c r="BR39" s="23" t="s">
        <v>158</v>
      </c>
      <c r="BS39" s="62"/>
      <c r="BT39" s="62"/>
    </row>
    <row r="40" spans="1:72" ht="45.75" hidden="1" customHeight="1">
      <c r="A40" s="46" t="s">
        <v>870</v>
      </c>
      <c r="B40" s="46"/>
      <c r="C40" s="46" t="s">
        <v>871</v>
      </c>
      <c r="D40" s="214">
        <v>2020</v>
      </c>
      <c r="E40" s="46" t="s">
        <v>872</v>
      </c>
      <c r="F40" s="215" t="str">
        <f>HYPERLINK("http://dx.doi.org/10.1007/s00414-019-02221-y","http://dx.doi.org/10.1007/s00414-019-02221-y")</f>
        <v>http://dx.doi.org/10.1007/s00414-019-02221-y</v>
      </c>
      <c r="G40" s="217" t="s">
        <v>873</v>
      </c>
      <c r="H40" s="217"/>
      <c r="I40" s="51"/>
      <c r="J40" s="216" t="s">
        <v>874</v>
      </c>
      <c r="K40" s="52"/>
      <c r="L40" s="45"/>
      <c r="M40" s="45"/>
      <c r="N40" s="51"/>
      <c r="O40" s="53"/>
      <c r="P40" s="53"/>
      <c r="Q40" s="54"/>
      <c r="R40" s="50"/>
      <c r="S40" s="53"/>
      <c r="T40" s="53"/>
      <c r="U40" s="53"/>
      <c r="V40" s="53"/>
      <c r="W40" s="53"/>
      <c r="X40" s="53"/>
      <c r="Y40" s="53"/>
      <c r="Z40" s="53"/>
      <c r="AA40" s="54"/>
      <c r="AB40" s="329" t="s">
        <v>875</v>
      </c>
      <c r="AC40" s="54"/>
      <c r="AD40" s="50"/>
      <c r="AE40" s="51"/>
      <c r="AF40" s="51"/>
      <c r="AG40" s="51"/>
      <c r="AH40" s="53"/>
      <c r="AI40" s="54"/>
      <c r="AJ40" s="56"/>
      <c r="AK40" s="54"/>
      <c r="AL40" s="54"/>
      <c r="AM40" s="45"/>
      <c r="AN40" s="45"/>
      <c r="AO40" s="53"/>
      <c r="AP40" s="55"/>
      <c r="AQ40" s="55"/>
      <c r="AR40" s="55"/>
      <c r="AS40" s="51"/>
      <c r="AT40" s="55"/>
      <c r="AU40" s="55"/>
      <c r="AV40" s="50"/>
      <c r="AW40" s="54"/>
      <c r="AX40" s="53"/>
      <c r="AY40" s="51"/>
      <c r="AZ40" s="51"/>
      <c r="BA40" s="51"/>
      <c r="BB40" s="58"/>
      <c r="BC40" s="51"/>
      <c r="BD40" s="59"/>
      <c r="BE40" s="57"/>
      <c r="BF40" s="57"/>
      <c r="BG40" s="57"/>
      <c r="BH40" s="57"/>
      <c r="BI40" s="57"/>
      <c r="BJ40" s="57"/>
      <c r="BK40" s="51"/>
      <c r="BL40" s="50"/>
      <c r="BM40" s="45"/>
      <c r="BN40" s="59"/>
      <c r="BO40" s="218"/>
      <c r="BP40" s="219"/>
      <c r="BQ40" s="56" t="s">
        <v>876</v>
      </c>
      <c r="BR40" s="45" t="s">
        <v>107</v>
      </c>
      <c r="BS40" s="62"/>
      <c r="BT40" s="62"/>
    </row>
    <row r="41" spans="1:72" ht="45.75" hidden="1" customHeight="1">
      <c r="A41" s="46" t="s">
        <v>877</v>
      </c>
      <c r="B41" s="46"/>
      <c r="C41" s="46" t="s">
        <v>878</v>
      </c>
      <c r="D41" s="214">
        <v>2020</v>
      </c>
      <c r="E41" s="46" t="s">
        <v>879</v>
      </c>
      <c r="F41" s="215" t="str">
        <f>HYPERLINK("http://dx.doi.org/10.1109/MCG.2020.3025385","http://dx.doi.org/10.1109/MCG.2020.3025385")</f>
        <v>http://dx.doi.org/10.1109/MCG.2020.3025385</v>
      </c>
      <c r="G41" s="217" t="s">
        <v>880</v>
      </c>
      <c r="H41" s="217"/>
      <c r="I41" s="51"/>
      <c r="J41" s="216" t="s">
        <v>881</v>
      </c>
      <c r="K41" s="52"/>
      <c r="L41" s="45"/>
      <c r="M41" s="45"/>
      <c r="N41" s="51"/>
      <c r="O41" s="53"/>
      <c r="P41" s="53"/>
      <c r="Q41" s="54"/>
      <c r="R41" s="50"/>
      <c r="S41" s="53"/>
      <c r="T41" s="53"/>
      <c r="U41" s="53"/>
      <c r="V41" s="53"/>
      <c r="W41" s="53"/>
      <c r="X41" s="53"/>
      <c r="Y41" s="53"/>
      <c r="Z41" s="54"/>
      <c r="AA41" s="54"/>
      <c r="AB41" s="329" t="s">
        <v>882</v>
      </c>
      <c r="AC41" s="54"/>
      <c r="AD41" s="50"/>
      <c r="AE41" s="51"/>
      <c r="AF41" s="51"/>
      <c r="AG41" s="51"/>
      <c r="AH41" s="53"/>
      <c r="AI41" s="54"/>
      <c r="AJ41" s="56"/>
      <c r="AK41" s="54"/>
      <c r="AL41" s="54"/>
      <c r="AM41" s="45"/>
      <c r="AN41" s="45"/>
      <c r="AO41" s="53"/>
      <c r="AP41" s="55"/>
      <c r="AQ41" s="55"/>
      <c r="AR41" s="55"/>
      <c r="AS41" s="51"/>
      <c r="AT41" s="55"/>
      <c r="AU41" s="55"/>
      <c r="AV41" s="50"/>
      <c r="AW41" s="54"/>
      <c r="AX41" s="53"/>
      <c r="AY41" s="51"/>
      <c r="AZ41" s="51"/>
      <c r="BA41" s="51"/>
      <c r="BB41" s="58"/>
      <c r="BC41" s="51"/>
      <c r="BD41" s="59"/>
      <c r="BE41" s="57"/>
      <c r="BF41" s="57"/>
      <c r="BG41" s="57"/>
      <c r="BH41" s="57"/>
      <c r="BI41" s="57"/>
      <c r="BJ41" s="57"/>
      <c r="BK41" s="51"/>
      <c r="BL41" s="50"/>
      <c r="BM41" s="45"/>
      <c r="BN41" s="59"/>
      <c r="BO41" s="218"/>
      <c r="BP41" s="219"/>
      <c r="BQ41" s="56" t="s">
        <v>883</v>
      </c>
      <c r="BR41" s="45" t="s">
        <v>107</v>
      </c>
      <c r="BS41" s="22"/>
      <c r="BT41" s="22"/>
    </row>
    <row r="42" spans="1:72" ht="45.75" hidden="1" customHeight="1">
      <c r="A42" s="46" t="s">
        <v>884</v>
      </c>
      <c r="B42" s="46"/>
      <c r="C42" s="46" t="s">
        <v>885</v>
      </c>
      <c r="D42" s="214">
        <v>2020</v>
      </c>
      <c r="E42" s="46" t="s">
        <v>886</v>
      </c>
      <c r="F42" s="215" t="str">
        <f>HYPERLINK("http://dx.doi.org/10.3390/app10217499","http://dx.doi.org/10.3390/app10217499")</f>
        <v>http://dx.doi.org/10.3390/app10217499</v>
      </c>
      <c r="G42" s="217" t="s">
        <v>887</v>
      </c>
      <c r="H42" s="217"/>
      <c r="I42" s="51"/>
      <c r="J42" s="216" t="s">
        <v>888</v>
      </c>
      <c r="K42" s="52"/>
      <c r="L42" s="45"/>
      <c r="M42" s="45"/>
      <c r="N42" s="51"/>
      <c r="O42" s="53"/>
      <c r="P42" s="53"/>
      <c r="Q42" s="54"/>
      <c r="R42" s="50"/>
      <c r="S42" s="53"/>
      <c r="T42" s="53"/>
      <c r="U42" s="53"/>
      <c r="V42" s="53"/>
      <c r="W42" s="53"/>
      <c r="X42" s="53"/>
      <c r="Y42" s="53"/>
      <c r="Z42" s="53"/>
      <c r="AA42" s="54"/>
      <c r="AB42" s="54"/>
      <c r="AC42" s="54"/>
      <c r="AD42" s="50"/>
      <c r="AE42" s="51"/>
      <c r="AF42" s="51"/>
      <c r="AG42" s="51"/>
      <c r="AH42" s="53"/>
      <c r="AI42" s="54"/>
      <c r="AJ42" s="56"/>
      <c r="AK42" s="54"/>
      <c r="AL42" s="54"/>
      <c r="AM42" s="45"/>
      <c r="AN42" s="45"/>
      <c r="AO42" s="53"/>
      <c r="AP42" s="55"/>
      <c r="AQ42" s="55"/>
      <c r="AR42" s="55"/>
      <c r="AS42" s="51"/>
      <c r="AT42" s="55"/>
      <c r="AU42" s="55"/>
      <c r="AV42" s="50"/>
      <c r="AW42" s="54"/>
      <c r="AX42" s="53"/>
      <c r="AY42" s="51"/>
      <c r="AZ42" s="51"/>
      <c r="BA42" s="51"/>
      <c r="BB42" s="58"/>
      <c r="BC42" s="51"/>
      <c r="BD42" s="59"/>
      <c r="BE42" s="57"/>
      <c r="BF42" s="57"/>
      <c r="BG42" s="57"/>
      <c r="BH42" s="57"/>
      <c r="BI42" s="57"/>
      <c r="BJ42" s="57"/>
      <c r="BK42" s="51"/>
      <c r="BL42" s="50"/>
      <c r="BM42" s="45"/>
      <c r="BN42" s="59"/>
      <c r="BO42" s="218"/>
      <c r="BP42" s="219"/>
      <c r="BQ42" s="56" t="s">
        <v>889</v>
      </c>
      <c r="BR42" s="54" t="s">
        <v>107</v>
      </c>
      <c r="BS42" s="33"/>
      <c r="BT42" s="33"/>
    </row>
    <row r="43" spans="1:72" ht="45.75" hidden="1" customHeight="1">
      <c r="A43" s="46" t="s">
        <v>890</v>
      </c>
      <c r="B43" s="46"/>
      <c r="C43" s="45" t="s">
        <v>891</v>
      </c>
      <c r="D43" s="47">
        <v>2020</v>
      </c>
      <c r="E43" s="45" t="s">
        <v>892</v>
      </c>
      <c r="F43" s="48" t="str">
        <f>HYPERLINK("http://dx.doi.org/10.1080/17538157.2018.1540422","http://dx.doi.org/10.1080/17538157.2018.1540422")</f>
        <v>http://dx.doi.org/10.1080/17538157.2018.1540422</v>
      </c>
      <c r="G43" s="51" t="s">
        <v>893</v>
      </c>
      <c r="H43" s="51"/>
      <c r="I43" s="51" t="s">
        <v>112</v>
      </c>
      <c r="J43" s="50" t="s">
        <v>894</v>
      </c>
      <c r="K43" s="52"/>
      <c r="L43" s="45" t="s">
        <v>895</v>
      </c>
      <c r="M43" s="45"/>
      <c r="N43" s="51"/>
      <c r="O43" s="53" t="s">
        <v>896</v>
      </c>
      <c r="P43" s="53" t="s">
        <v>897</v>
      </c>
      <c r="Q43" s="54" t="s">
        <v>898</v>
      </c>
      <c r="R43" s="50"/>
      <c r="S43" s="53"/>
      <c r="T43" s="53"/>
      <c r="U43" s="53"/>
      <c r="V43" s="53" t="s">
        <v>899</v>
      </c>
      <c r="W43" s="53"/>
      <c r="X43" s="53"/>
      <c r="Y43" s="53"/>
      <c r="Z43" s="53"/>
      <c r="AA43" s="54"/>
      <c r="AB43" s="54"/>
      <c r="AC43" s="54"/>
      <c r="AD43" s="50" t="s">
        <v>900</v>
      </c>
      <c r="AE43" s="51"/>
      <c r="AF43" s="51"/>
      <c r="AG43" s="51"/>
      <c r="AH43" s="53" t="s">
        <v>901</v>
      </c>
      <c r="AI43" s="54"/>
      <c r="AJ43" s="56" t="s">
        <v>902</v>
      </c>
      <c r="AK43" s="54"/>
      <c r="AL43" s="54"/>
      <c r="AM43" s="54"/>
      <c r="AN43" s="54"/>
      <c r="AO43" s="53"/>
      <c r="AP43" s="55"/>
      <c r="AQ43" s="55"/>
      <c r="AR43" s="55"/>
      <c r="AS43" s="53" t="s">
        <v>98</v>
      </c>
      <c r="AT43" s="55" t="s">
        <v>903</v>
      </c>
      <c r="AU43" s="55"/>
      <c r="AV43" s="56"/>
      <c r="AW43" s="54"/>
      <c r="AX43" s="53"/>
      <c r="AY43" s="53"/>
      <c r="AZ43" s="53" t="s">
        <v>904</v>
      </c>
      <c r="BA43" s="53" t="s">
        <v>904</v>
      </c>
      <c r="BB43" s="58">
        <v>30</v>
      </c>
      <c r="BC43" s="51"/>
      <c r="BD43" s="59"/>
      <c r="BE43" s="57"/>
      <c r="BF43" s="57"/>
      <c r="BG43" s="57" t="s">
        <v>905</v>
      </c>
      <c r="BH43" s="57" t="s">
        <v>906</v>
      </c>
      <c r="BI43" s="57"/>
      <c r="BJ43" s="57" t="s">
        <v>907</v>
      </c>
      <c r="BK43" s="53" t="s">
        <v>908</v>
      </c>
      <c r="BL43" s="50"/>
      <c r="BM43" s="54"/>
      <c r="BN43" s="57"/>
      <c r="BO43" s="53" t="s">
        <v>909</v>
      </c>
      <c r="BP43" s="54" t="s">
        <v>910</v>
      </c>
      <c r="BQ43" s="56"/>
      <c r="BR43" s="45" t="s">
        <v>107</v>
      </c>
      <c r="BS43" s="60"/>
      <c r="BT43" s="60"/>
    </row>
    <row r="44" spans="1:72" s="383" customFormat="1" ht="16.5" customHeight="1">
      <c r="A44" s="378" t="s">
        <v>911</v>
      </c>
      <c r="B44" s="378"/>
      <c r="C44" s="378" t="s">
        <v>912</v>
      </c>
      <c r="D44" s="379">
        <v>2020</v>
      </c>
      <c r="E44" s="378" t="s">
        <v>913</v>
      </c>
      <c r="F44" s="380" t="s">
        <v>914</v>
      </c>
      <c r="G44" s="378" t="s">
        <v>915</v>
      </c>
      <c r="H44" s="378"/>
      <c r="I44" s="378" t="s">
        <v>264</v>
      </c>
      <c r="J44" s="378" t="s">
        <v>916</v>
      </c>
      <c r="K44" s="378" t="s">
        <v>917</v>
      </c>
      <c r="L44" s="378" t="s">
        <v>529</v>
      </c>
      <c r="M44" s="378" t="s">
        <v>918</v>
      </c>
      <c r="N44" s="378" t="s">
        <v>214</v>
      </c>
      <c r="O44" s="378" t="s">
        <v>919</v>
      </c>
      <c r="P44" s="378" t="s">
        <v>920</v>
      </c>
      <c r="Q44" s="378"/>
      <c r="R44" s="378" t="s">
        <v>90</v>
      </c>
      <c r="S44" s="380" t="s">
        <v>921</v>
      </c>
      <c r="T44" s="378" t="s">
        <v>922</v>
      </c>
      <c r="U44" s="378" t="s">
        <v>923</v>
      </c>
      <c r="V44" s="378" t="s">
        <v>124</v>
      </c>
      <c r="W44" s="381" t="s">
        <v>124</v>
      </c>
      <c r="X44" s="378"/>
      <c r="Y44" s="378"/>
      <c r="Z44" s="378"/>
      <c r="AA44" s="378" t="s">
        <v>177</v>
      </c>
      <c r="AB44" s="378" t="s">
        <v>924</v>
      </c>
      <c r="AC44" s="378" t="s">
        <v>924</v>
      </c>
      <c r="AD44" s="378" t="s">
        <v>925</v>
      </c>
      <c r="AE44" s="378" t="s">
        <v>926</v>
      </c>
      <c r="AF44" s="378" t="s">
        <v>927</v>
      </c>
      <c r="AG44" s="378" t="s">
        <v>928</v>
      </c>
      <c r="AH44" s="378" t="s">
        <v>929</v>
      </c>
      <c r="AI44" s="382" t="s">
        <v>930</v>
      </c>
      <c r="AJ44" s="404" t="s">
        <v>931</v>
      </c>
      <c r="AK44" s="382" t="s">
        <v>932</v>
      </c>
      <c r="AL44" s="378" t="s">
        <v>933</v>
      </c>
      <c r="AM44" s="378" t="s">
        <v>137</v>
      </c>
      <c r="AN44" s="378" t="s">
        <v>138</v>
      </c>
      <c r="AO44" s="378" t="s">
        <v>934</v>
      </c>
      <c r="AP44" s="378" t="s">
        <v>139</v>
      </c>
      <c r="AQ44" s="378" t="s">
        <v>140</v>
      </c>
      <c r="AR44" s="378" t="s">
        <v>935</v>
      </c>
      <c r="AS44" s="378" t="s">
        <v>98</v>
      </c>
      <c r="AT44" s="378"/>
      <c r="AU44" s="378"/>
      <c r="AV44" s="378" t="s">
        <v>179</v>
      </c>
      <c r="AW44" s="378" t="s">
        <v>288</v>
      </c>
      <c r="AX44" s="378" t="s">
        <v>336</v>
      </c>
      <c r="AY44" s="378" t="s">
        <v>936</v>
      </c>
      <c r="AZ44" s="378" t="s">
        <v>101</v>
      </c>
      <c r="BA44" s="378" t="s">
        <v>101</v>
      </c>
      <c r="BB44" s="378">
        <v>47</v>
      </c>
      <c r="BC44" s="378" t="s">
        <v>937</v>
      </c>
      <c r="BD44" s="378"/>
      <c r="BE44" s="378" t="s">
        <v>938</v>
      </c>
      <c r="BF44" s="378" t="s">
        <v>380</v>
      </c>
      <c r="BG44" s="378" t="s">
        <v>939</v>
      </c>
      <c r="BH44" s="378" t="s">
        <v>940</v>
      </c>
      <c r="BI44" s="378"/>
      <c r="BJ44" s="378" t="s">
        <v>941</v>
      </c>
      <c r="BK44" s="378" t="s">
        <v>942</v>
      </c>
      <c r="BL44" s="378" t="s">
        <v>943</v>
      </c>
      <c r="BM44" s="378" t="s">
        <v>137</v>
      </c>
      <c r="BN44" s="378" t="s">
        <v>944</v>
      </c>
      <c r="BO44" s="378" t="s">
        <v>945</v>
      </c>
      <c r="BP44" s="378" t="s">
        <v>946</v>
      </c>
      <c r="BQ44" s="378" t="s">
        <v>947</v>
      </c>
      <c r="BR44" s="378" t="s">
        <v>201</v>
      </c>
      <c r="BS44" s="378"/>
      <c r="BT44" s="378"/>
    </row>
    <row r="45" spans="1:72" s="383" customFormat="1" ht="15" customHeight="1">
      <c r="A45" s="378" t="s">
        <v>948</v>
      </c>
      <c r="B45" s="378"/>
      <c r="C45" s="378" t="s">
        <v>949</v>
      </c>
      <c r="D45" s="379">
        <v>2020</v>
      </c>
      <c r="E45" s="378" t="s">
        <v>950</v>
      </c>
      <c r="F45" s="380" t="s">
        <v>951</v>
      </c>
      <c r="G45" s="378" t="s">
        <v>952</v>
      </c>
      <c r="H45" s="378"/>
      <c r="I45" s="378" t="s">
        <v>264</v>
      </c>
      <c r="J45" s="378" t="s">
        <v>953</v>
      </c>
      <c r="K45" s="378" t="s">
        <v>954</v>
      </c>
      <c r="L45" s="378" t="s">
        <v>529</v>
      </c>
      <c r="M45" s="378" t="s">
        <v>955</v>
      </c>
      <c r="N45" s="378" t="s">
        <v>214</v>
      </c>
      <c r="O45" s="378" t="s">
        <v>956</v>
      </c>
      <c r="P45" s="378" t="s">
        <v>957</v>
      </c>
      <c r="Q45" s="378" t="s">
        <v>958</v>
      </c>
      <c r="R45" s="381" t="s">
        <v>90</v>
      </c>
      <c r="S45" s="378" t="s">
        <v>124</v>
      </c>
      <c r="T45" s="378" t="s">
        <v>959</v>
      </c>
      <c r="U45" s="378" t="s">
        <v>124</v>
      </c>
      <c r="V45" s="378" t="s">
        <v>960</v>
      </c>
      <c r="W45" s="381" t="s">
        <v>961</v>
      </c>
      <c r="X45" s="378"/>
      <c r="Y45" s="381" t="s">
        <v>962</v>
      </c>
      <c r="Z45" s="381" t="s">
        <v>963</v>
      </c>
      <c r="AA45" s="378" t="s">
        <v>130</v>
      </c>
      <c r="AB45" s="378" t="s">
        <v>924</v>
      </c>
      <c r="AC45" s="378" t="s">
        <v>924</v>
      </c>
      <c r="AD45" s="378" t="s">
        <v>237</v>
      </c>
      <c r="AE45" s="378" t="s">
        <v>964</v>
      </c>
      <c r="AF45" s="378" t="s">
        <v>965</v>
      </c>
      <c r="AG45" s="378" t="s">
        <v>966</v>
      </c>
      <c r="AH45" s="378" t="s">
        <v>967</v>
      </c>
      <c r="AI45" s="382"/>
      <c r="AJ45" s="404" t="s">
        <v>968</v>
      </c>
      <c r="AK45" s="382"/>
      <c r="AL45" s="378"/>
      <c r="AM45" s="378" t="s">
        <v>137</v>
      </c>
      <c r="AN45" s="378" t="s">
        <v>137</v>
      </c>
      <c r="AO45" s="378" t="s">
        <v>969</v>
      </c>
      <c r="AP45" s="378" t="s">
        <v>139</v>
      </c>
      <c r="AQ45" s="378" t="s">
        <v>140</v>
      </c>
      <c r="AR45" s="378" t="s">
        <v>584</v>
      </c>
      <c r="AS45" s="378" t="s">
        <v>98</v>
      </c>
      <c r="AT45" s="378" t="s">
        <v>970</v>
      </c>
      <c r="AU45" s="378" t="s">
        <v>971</v>
      </c>
      <c r="AV45" s="378" t="s">
        <v>287</v>
      </c>
      <c r="AW45" s="378" t="s">
        <v>288</v>
      </c>
      <c r="AX45" s="378" t="s">
        <v>336</v>
      </c>
      <c r="AY45" s="378" t="s">
        <v>337</v>
      </c>
      <c r="AZ45" s="378" t="s">
        <v>101</v>
      </c>
      <c r="BA45" s="378" t="s">
        <v>101</v>
      </c>
      <c r="BB45" s="378" t="s">
        <v>972</v>
      </c>
      <c r="BC45" s="378"/>
      <c r="BD45" s="378"/>
      <c r="BE45" s="378" t="s">
        <v>973</v>
      </c>
      <c r="BF45" s="378" t="s">
        <v>489</v>
      </c>
      <c r="BG45" s="378" t="s">
        <v>974</v>
      </c>
      <c r="BH45" s="378" t="s">
        <v>975</v>
      </c>
      <c r="BI45" s="378">
        <v>8</v>
      </c>
      <c r="BJ45" s="378" t="s">
        <v>547</v>
      </c>
      <c r="BK45" s="378" t="s">
        <v>976</v>
      </c>
      <c r="BL45" s="378"/>
      <c r="BM45" s="378" t="s">
        <v>137</v>
      </c>
      <c r="BN45" s="378" t="s">
        <v>977</v>
      </c>
      <c r="BO45" s="378" t="s">
        <v>978</v>
      </c>
      <c r="BP45" s="378" t="s">
        <v>979</v>
      </c>
      <c r="BQ45" s="378" t="s">
        <v>980</v>
      </c>
      <c r="BR45" s="378" t="s">
        <v>201</v>
      </c>
      <c r="BS45" s="378"/>
      <c r="BT45" s="378"/>
    </row>
    <row r="46" spans="1:72" s="383" customFormat="1" ht="15" customHeight="1">
      <c r="A46" s="378" t="s">
        <v>981</v>
      </c>
      <c r="B46" s="378"/>
      <c r="C46" s="378" t="s">
        <v>982</v>
      </c>
      <c r="D46" s="379">
        <v>2020</v>
      </c>
      <c r="E46" s="378" t="s">
        <v>983</v>
      </c>
      <c r="F46" s="380" t="s">
        <v>984</v>
      </c>
      <c r="G46" s="378" t="s">
        <v>985</v>
      </c>
      <c r="H46" s="378"/>
      <c r="I46" s="378" t="s">
        <v>986</v>
      </c>
      <c r="J46" s="378" t="s">
        <v>987</v>
      </c>
      <c r="K46" s="378" t="s">
        <v>988</v>
      </c>
      <c r="L46" s="378" t="s">
        <v>529</v>
      </c>
      <c r="M46" s="378" t="s">
        <v>989</v>
      </c>
      <c r="N46" s="378" t="s">
        <v>117</v>
      </c>
      <c r="O46" s="378" t="s">
        <v>990</v>
      </c>
      <c r="P46" s="378" t="s">
        <v>991</v>
      </c>
      <c r="Q46" s="378" t="s">
        <v>992</v>
      </c>
      <c r="R46" s="381" t="s">
        <v>90</v>
      </c>
      <c r="S46" s="378" t="s">
        <v>993</v>
      </c>
      <c r="T46" s="378" t="s">
        <v>994</v>
      </c>
      <c r="U46" s="378" t="s">
        <v>124</v>
      </c>
      <c r="V46" s="378" t="s">
        <v>995</v>
      </c>
      <c r="W46" s="378" t="s">
        <v>996</v>
      </c>
      <c r="X46" s="381"/>
      <c r="Y46" s="378"/>
      <c r="Z46" s="381" t="s">
        <v>997</v>
      </c>
      <c r="AA46" s="378" t="s">
        <v>612</v>
      </c>
      <c r="AB46" s="378" t="s">
        <v>998</v>
      </c>
      <c r="AC46" s="378" t="s">
        <v>998</v>
      </c>
      <c r="AD46" s="378" t="s">
        <v>132</v>
      </c>
      <c r="AE46" s="378" t="s">
        <v>999</v>
      </c>
      <c r="AF46" s="378" t="s">
        <v>1000</v>
      </c>
      <c r="AG46" s="378" t="s">
        <v>1001</v>
      </c>
      <c r="AH46" s="378" t="s">
        <v>1002</v>
      </c>
      <c r="AI46" s="382"/>
      <c r="AJ46" s="404" t="s">
        <v>1003</v>
      </c>
      <c r="AK46" s="382"/>
      <c r="AL46" s="378"/>
      <c r="AM46" s="378" t="s">
        <v>138</v>
      </c>
      <c r="AN46" s="378" t="s">
        <v>138</v>
      </c>
      <c r="AO46" s="378"/>
      <c r="AP46" s="378" t="s">
        <v>139</v>
      </c>
      <c r="AQ46" s="378" t="s">
        <v>140</v>
      </c>
      <c r="AR46" s="378" t="s">
        <v>584</v>
      </c>
      <c r="AS46" s="378" t="s">
        <v>98</v>
      </c>
      <c r="AT46" s="378"/>
      <c r="AU46" s="378"/>
      <c r="AV46" s="378" t="s">
        <v>179</v>
      </c>
      <c r="AW46" s="378" t="s">
        <v>144</v>
      </c>
      <c r="AX46" s="378" t="s">
        <v>179</v>
      </c>
      <c r="AY46" s="378" t="s">
        <v>936</v>
      </c>
      <c r="AZ46" s="378" t="s">
        <v>1004</v>
      </c>
      <c r="BA46" s="378" t="s">
        <v>101</v>
      </c>
      <c r="BB46" s="378">
        <v>55</v>
      </c>
      <c r="BC46" s="378"/>
      <c r="BD46" s="378" t="s">
        <v>1005</v>
      </c>
      <c r="BE46" s="378" t="s">
        <v>1006</v>
      </c>
      <c r="BF46" s="378" t="s">
        <v>1007</v>
      </c>
      <c r="BG46" s="378" t="s">
        <v>1008</v>
      </c>
      <c r="BH46" s="378" t="s">
        <v>1009</v>
      </c>
      <c r="BI46" s="378"/>
      <c r="BJ46" s="378"/>
      <c r="BK46" s="378" t="s">
        <v>1010</v>
      </c>
      <c r="BL46" s="378" t="s">
        <v>1011</v>
      </c>
      <c r="BM46" s="378" t="s">
        <v>138</v>
      </c>
      <c r="BN46" s="378"/>
      <c r="BO46" s="378" t="s">
        <v>1012</v>
      </c>
      <c r="BP46" s="378" t="s">
        <v>1013</v>
      </c>
      <c r="BQ46" s="378" t="s">
        <v>1014</v>
      </c>
      <c r="BR46" s="378" t="s">
        <v>201</v>
      </c>
      <c r="BS46" s="378"/>
      <c r="BT46" s="378"/>
    </row>
    <row r="47" spans="1:72" s="383" customFormat="1" ht="15" customHeight="1">
      <c r="A47" s="378" t="s">
        <v>1015</v>
      </c>
      <c r="B47" s="378"/>
      <c r="C47" s="378" t="s">
        <v>1016</v>
      </c>
      <c r="D47" s="379">
        <v>2020</v>
      </c>
      <c r="E47" s="378" t="s">
        <v>1017</v>
      </c>
      <c r="F47" s="380" t="s">
        <v>1018</v>
      </c>
      <c r="G47" s="378" t="s">
        <v>1019</v>
      </c>
      <c r="H47" s="378"/>
      <c r="I47" s="378" t="s">
        <v>1020</v>
      </c>
      <c r="J47" s="378" t="s">
        <v>1021</v>
      </c>
      <c r="K47" s="378" t="s">
        <v>1022</v>
      </c>
      <c r="L47" s="378" t="s">
        <v>315</v>
      </c>
      <c r="M47" s="378" t="s">
        <v>1023</v>
      </c>
      <c r="N47" s="378" t="s">
        <v>214</v>
      </c>
      <c r="O47" s="378" t="s">
        <v>1024</v>
      </c>
      <c r="P47" s="378" t="s">
        <v>1025</v>
      </c>
      <c r="Q47" s="378"/>
      <c r="R47" s="381" t="s">
        <v>90</v>
      </c>
      <c r="S47" s="378" t="s">
        <v>1026</v>
      </c>
      <c r="T47" s="378" t="s">
        <v>959</v>
      </c>
      <c r="U47" s="378" t="s">
        <v>1027</v>
      </c>
      <c r="V47" s="378" t="s">
        <v>1028</v>
      </c>
      <c r="W47" s="381" t="s">
        <v>1029</v>
      </c>
      <c r="X47" s="381"/>
      <c r="Y47" s="378" t="s">
        <v>1030</v>
      </c>
      <c r="Z47" s="381" t="s">
        <v>1031</v>
      </c>
      <c r="AA47" s="378" t="s">
        <v>130</v>
      </c>
      <c r="AB47" s="378" t="s">
        <v>1032</v>
      </c>
      <c r="AC47" s="378" t="s">
        <v>1032</v>
      </c>
      <c r="AD47" s="378" t="s">
        <v>180</v>
      </c>
      <c r="AE47" s="378" t="s">
        <v>1033</v>
      </c>
      <c r="AF47" s="378" t="s">
        <v>1034</v>
      </c>
      <c r="AG47" s="378" t="s">
        <v>1035</v>
      </c>
      <c r="AH47" s="378" t="s">
        <v>1036</v>
      </c>
      <c r="AI47" s="382" t="s">
        <v>1037</v>
      </c>
      <c r="AJ47" s="404" t="s">
        <v>1038</v>
      </c>
      <c r="AK47" s="382" t="s">
        <v>1039</v>
      </c>
      <c r="AL47" s="378" t="s">
        <v>1040</v>
      </c>
      <c r="AM47" s="378" t="s">
        <v>137</v>
      </c>
      <c r="AN47" s="378" t="s">
        <v>138</v>
      </c>
      <c r="AO47" s="378" t="s">
        <v>1041</v>
      </c>
      <c r="AP47" s="378" t="s">
        <v>333</v>
      </c>
      <c r="AQ47" s="378" t="s">
        <v>140</v>
      </c>
      <c r="AR47" s="378" t="s">
        <v>145</v>
      </c>
      <c r="AS47" s="378" t="s">
        <v>1042</v>
      </c>
      <c r="AT47" s="378"/>
      <c r="AU47" s="378"/>
      <c r="AV47" s="378" t="s">
        <v>143</v>
      </c>
      <c r="AW47" s="378" t="s">
        <v>288</v>
      </c>
      <c r="AX47" s="378" t="s">
        <v>188</v>
      </c>
      <c r="AY47" s="378" t="s">
        <v>146</v>
      </c>
      <c r="AZ47" s="378" t="s">
        <v>1043</v>
      </c>
      <c r="BA47" s="378" t="s">
        <v>101</v>
      </c>
      <c r="BB47" s="378">
        <v>12</v>
      </c>
      <c r="BC47" s="378" t="s">
        <v>1044</v>
      </c>
      <c r="BD47" s="378" t="s">
        <v>1045</v>
      </c>
      <c r="BE47" s="378" t="s">
        <v>1046</v>
      </c>
      <c r="BF47" s="378" t="s">
        <v>1047</v>
      </c>
      <c r="BG47" s="378" t="s">
        <v>1048</v>
      </c>
      <c r="BH47" s="378" t="s">
        <v>1049</v>
      </c>
      <c r="BI47" s="378">
        <v>90</v>
      </c>
      <c r="BJ47" s="378" t="s">
        <v>547</v>
      </c>
      <c r="BK47" s="378" t="s">
        <v>1050</v>
      </c>
      <c r="BL47" s="378" t="s">
        <v>667</v>
      </c>
      <c r="BM47" s="378" t="s">
        <v>138</v>
      </c>
      <c r="BN47" s="378"/>
      <c r="BO47" s="378" t="s">
        <v>1051</v>
      </c>
      <c r="BP47" s="378"/>
      <c r="BQ47" s="378" t="s">
        <v>1052</v>
      </c>
      <c r="BR47" s="378" t="s">
        <v>201</v>
      </c>
      <c r="BS47" s="378"/>
      <c r="BT47" s="378"/>
    </row>
    <row r="48" spans="1:72" ht="1" hidden="1" customHeight="1">
      <c r="A48" s="46" t="s">
        <v>1053</v>
      </c>
      <c r="B48" s="46"/>
      <c r="C48" s="46" t="s">
        <v>1054</v>
      </c>
      <c r="D48" s="214">
        <v>2021</v>
      </c>
      <c r="E48" s="46" t="s">
        <v>1055</v>
      </c>
      <c r="F48" s="215" t="str">
        <f>HYPERLINK("http://dx.doi.org/10.3390/mti5040018","http://dx.doi.org/10.3390/mti5040018")</f>
        <v>http://dx.doi.org/10.3390/mti5040018</v>
      </c>
      <c r="G48" s="217" t="s">
        <v>1056</v>
      </c>
      <c r="H48" s="217"/>
      <c r="I48" s="51"/>
      <c r="J48" s="216" t="s">
        <v>1057</v>
      </c>
      <c r="K48" s="52"/>
      <c r="L48" s="45"/>
      <c r="M48" s="45"/>
      <c r="N48" s="51"/>
      <c r="O48" s="53"/>
      <c r="P48" s="53"/>
      <c r="Q48" s="54"/>
      <c r="R48" s="50"/>
      <c r="S48" s="53"/>
      <c r="T48" s="53"/>
      <c r="U48" s="53"/>
      <c r="V48" s="53"/>
      <c r="W48" s="53"/>
      <c r="X48" s="53"/>
      <c r="Y48" s="53"/>
      <c r="Z48" s="53"/>
      <c r="AA48" s="54"/>
      <c r="AB48" s="54"/>
      <c r="AC48" s="54"/>
      <c r="AD48" s="50"/>
      <c r="AE48" s="51"/>
      <c r="AF48" s="51"/>
      <c r="AG48" s="51"/>
      <c r="AH48" s="53"/>
      <c r="AI48" s="54"/>
      <c r="AJ48" s="56"/>
      <c r="AK48" s="54"/>
      <c r="AL48" s="54"/>
      <c r="AM48" s="45"/>
      <c r="AN48" s="45"/>
      <c r="AO48" s="53"/>
      <c r="AP48" s="55"/>
      <c r="AQ48" s="55"/>
      <c r="AR48" s="55"/>
      <c r="AS48" s="51"/>
      <c r="AT48" s="55"/>
      <c r="AU48" s="55"/>
      <c r="AV48" s="50"/>
      <c r="AW48" s="54"/>
      <c r="AX48" s="53"/>
      <c r="AY48" s="51"/>
      <c r="AZ48" s="51"/>
      <c r="BA48" s="51"/>
      <c r="BB48" s="58"/>
      <c r="BC48" s="51"/>
      <c r="BD48" s="59"/>
      <c r="BE48" s="57"/>
      <c r="BF48" s="57"/>
      <c r="BG48" s="57"/>
      <c r="BH48" s="57"/>
      <c r="BI48" s="57"/>
      <c r="BJ48" s="57"/>
      <c r="BK48" s="51"/>
      <c r="BL48" s="50"/>
      <c r="BM48" s="45"/>
      <c r="BN48" s="59"/>
      <c r="BO48" s="218"/>
      <c r="BP48" s="219"/>
      <c r="BQ48" s="56" t="s">
        <v>1058</v>
      </c>
      <c r="BR48" s="45" t="s">
        <v>107</v>
      </c>
      <c r="BS48" s="62"/>
      <c r="BT48" s="62"/>
    </row>
    <row r="49" spans="1:72" s="392" customFormat="1" ht="16" customHeight="1">
      <c r="A49" s="389" t="s">
        <v>1059</v>
      </c>
      <c r="B49" s="389"/>
      <c r="C49" s="389" t="s">
        <v>1060</v>
      </c>
      <c r="D49" s="394">
        <v>2021</v>
      </c>
      <c r="E49" s="389" t="s">
        <v>1061</v>
      </c>
      <c r="F49" s="395" t="s">
        <v>1062</v>
      </c>
      <c r="G49" s="389" t="s">
        <v>1062</v>
      </c>
      <c r="H49" s="389"/>
      <c r="I49" s="389" t="s">
        <v>1063</v>
      </c>
      <c r="J49" s="389" t="s">
        <v>1064</v>
      </c>
      <c r="K49" s="389" t="s">
        <v>1065</v>
      </c>
      <c r="L49" s="389" t="s">
        <v>530</v>
      </c>
      <c r="M49" s="389" t="s">
        <v>530</v>
      </c>
      <c r="N49" s="389" t="s">
        <v>214</v>
      </c>
      <c r="O49" s="390" t="s">
        <v>1066</v>
      </c>
      <c r="P49" s="390" t="s">
        <v>1067</v>
      </c>
      <c r="Q49" s="390"/>
      <c r="R49" s="389" t="s">
        <v>90</v>
      </c>
      <c r="S49" s="390" t="s">
        <v>1068</v>
      </c>
      <c r="T49" s="390" t="s">
        <v>1068</v>
      </c>
      <c r="U49" s="329" t="s">
        <v>1069</v>
      </c>
      <c r="V49" s="390"/>
      <c r="W49" s="390"/>
      <c r="X49" s="390" t="s">
        <v>1070</v>
      </c>
      <c r="Y49" s="390"/>
      <c r="Z49" s="390"/>
      <c r="AA49" s="328" t="s">
        <v>177</v>
      </c>
      <c r="AB49" s="390" t="s">
        <v>4231</v>
      </c>
      <c r="AC49" s="390" t="s">
        <v>4231</v>
      </c>
      <c r="AD49" s="389"/>
      <c r="AE49" s="389" t="s">
        <v>1382</v>
      </c>
      <c r="AF49" s="389" t="s">
        <v>1382</v>
      </c>
      <c r="AG49" s="389" t="s">
        <v>688</v>
      </c>
      <c r="AH49" s="390" t="s">
        <v>538</v>
      </c>
      <c r="AI49" s="390"/>
      <c r="AJ49" s="404" t="s">
        <v>4232</v>
      </c>
      <c r="AK49" s="390"/>
      <c r="AL49" s="390" t="s">
        <v>538</v>
      </c>
      <c r="AM49" s="389" t="s">
        <v>138</v>
      </c>
      <c r="AN49" s="389" t="s">
        <v>138</v>
      </c>
      <c r="AO49" s="390"/>
      <c r="AP49" s="391" t="s">
        <v>139</v>
      </c>
      <c r="AQ49" s="391" t="s">
        <v>540</v>
      </c>
      <c r="AR49" s="391" t="s">
        <v>145</v>
      </c>
      <c r="AS49" s="389" t="s">
        <v>98</v>
      </c>
      <c r="AT49" s="391" t="s">
        <v>4242</v>
      </c>
      <c r="AU49" s="391" t="s">
        <v>4238</v>
      </c>
      <c r="AV49" s="389" t="s">
        <v>179</v>
      </c>
      <c r="AW49" s="378" t="s">
        <v>288</v>
      </c>
      <c r="AX49" s="390" t="s">
        <v>336</v>
      </c>
      <c r="AY49" s="389" t="s">
        <v>337</v>
      </c>
      <c r="AZ49" s="389" t="s">
        <v>4235</v>
      </c>
      <c r="BA49" s="389" t="s">
        <v>101</v>
      </c>
      <c r="BB49" s="391" t="s">
        <v>4239</v>
      </c>
      <c r="BC49" s="389" t="s">
        <v>4237</v>
      </c>
      <c r="BD49" s="389"/>
      <c r="BE49" s="390" t="s">
        <v>4234</v>
      </c>
      <c r="BF49" s="390" t="s">
        <v>380</v>
      </c>
      <c r="BG49" s="390" t="s">
        <v>337</v>
      </c>
      <c r="BH49" s="390" t="s">
        <v>4236</v>
      </c>
      <c r="BI49" s="390" t="s">
        <v>2423</v>
      </c>
      <c r="BJ49" s="390"/>
      <c r="BK49" s="389" t="s">
        <v>341</v>
      </c>
      <c r="BL49" s="389" t="s">
        <v>2503</v>
      </c>
      <c r="BM49" s="389" t="s">
        <v>137</v>
      </c>
      <c r="BN49" s="389" t="s">
        <v>4241</v>
      </c>
      <c r="BO49" s="390" t="s">
        <v>4233</v>
      </c>
      <c r="BP49" s="390"/>
      <c r="BQ49" s="390"/>
      <c r="BR49" s="389" t="s">
        <v>201</v>
      </c>
      <c r="BS49" s="396"/>
      <c r="BT49" s="396"/>
    </row>
    <row r="50" spans="1:72" s="383" customFormat="1" ht="17.25" customHeight="1">
      <c r="A50" s="378" t="s">
        <v>1071</v>
      </c>
      <c r="B50" s="378"/>
      <c r="C50" s="378" t="s">
        <v>1072</v>
      </c>
      <c r="D50" s="379">
        <v>2021</v>
      </c>
      <c r="E50" s="378" t="s">
        <v>1073</v>
      </c>
      <c r="F50" s="380" t="str">
        <f>HYPERLINK("http://dx.doi.org/10.3390/s21144766","http://dx.doi.org/10.3390/s21144766")</f>
        <v>http://dx.doi.org/10.3390/s21144766</v>
      </c>
      <c r="G50" s="378" t="s">
        <v>3259</v>
      </c>
      <c r="H50" s="378"/>
      <c r="I50" s="378" t="s">
        <v>1074</v>
      </c>
      <c r="J50" s="378" t="s">
        <v>1075</v>
      </c>
      <c r="K50" s="378" t="s">
        <v>1076</v>
      </c>
      <c r="L50" s="378" t="s">
        <v>1077</v>
      </c>
      <c r="M50" s="378" t="s">
        <v>263</v>
      </c>
      <c r="N50" s="378" t="s">
        <v>1078</v>
      </c>
      <c r="O50" s="378" t="s">
        <v>1079</v>
      </c>
      <c r="P50" s="378" t="s">
        <v>1080</v>
      </c>
      <c r="Q50" s="378"/>
      <c r="R50" s="381" t="s">
        <v>90</v>
      </c>
      <c r="S50" s="378" t="s">
        <v>1081</v>
      </c>
      <c r="T50" s="378" t="s">
        <v>1082</v>
      </c>
      <c r="U50" s="378" t="s">
        <v>124</v>
      </c>
      <c r="V50" s="378" t="s">
        <v>275</v>
      </c>
      <c r="W50" s="384" t="s">
        <v>276</v>
      </c>
      <c r="X50" s="381" t="s">
        <v>1083</v>
      </c>
      <c r="Y50" s="378" t="s">
        <v>1084</v>
      </c>
      <c r="Z50" s="378"/>
      <c r="AA50" s="378" t="s">
        <v>130</v>
      </c>
      <c r="AB50" s="378" t="s">
        <v>1085</v>
      </c>
      <c r="AC50" s="378" t="s">
        <v>1085</v>
      </c>
      <c r="AD50" s="378" t="s">
        <v>1086</v>
      </c>
      <c r="AE50" s="378" t="s">
        <v>1087</v>
      </c>
      <c r="AF50" s="378" t="s">
        <v>281</v>
      </c>
      <c r="AG50" s="378" t="s">
        <v>282</v>
      </c>
      <c r="AH50" s="378" t="s">
        <v>283</v>
      </c>
      <c r="AI50" s="382"/>
      <c r="AJ50" s="404" t="s">
        <v>1088</v>
      </c>
      <c r="AK50" s="382"/>
      <c r="AL50" s="378" t="s">
        <v>1089</v>
      </c>
      <c r="AM50" s="378" t="s">
        <v>138</v>
      </c>
      <c r="AN50" s="378" t="s">
        <v>138</v>
      </c>
      <c r="AO50" s="378"/>
      <c r="AP50" s="378" t="s">
        <v>139</v>
      </c>
      <c r="AQ50" s="378" t="s">
        <v>140</v>
      </c>
      <c r="AR50" s="378" t="s">
        <v>145</v>
      </c>
      <c r="AS50" s="378" t="s">
        <v>98</v>
      </c>
      <c r="AT50" s="378" t="s">
        <v>1090</v>
      </c>
      <c r="AU50" s="378"/>
      <c r="AV50" s="378" t="s">
        <v>287</v>
      </c>
      <c r="AW50" s="378" t="s">
        <v>288</v>
      </c>
      <c r="AX50" s="378" t="s">
        <v>188</v>
      </c>
      <c r="AY50" s="378" t="s">
        <v>936</v>
      </c>
      <c r="AZ50" s="378" t="s">
        <v>1091</v>
      </c>
      <c r="BA50" s="378" t="s">
        <v>1092</v>
      </c>
      <c r="BB50" s="378">
        <v>73</v>
      </c>
      <c r="BC50" s="378" t="s">
        <v>1093</v>
      </c>
      <c r="BD50" s="378" t="s">
        <v>1094</v>
      </c>
      <c r="BE50" s="378" t="s">
        <v>1095</v>
      </c>
      <c r="BF50" s="378" t="s">
        <v>1096</v>
      </c>
      <c r="BG50" s="378" t="s">
        <v>1097</v>
      </c>
      <c r="BH50" s="378" t="s">
        <v>1098</v>
      </c>
      <c r="BI50" s="378"/>
      <c r="BJ50" s="378"/>
      <c r="BK50" s="378" t="s">
        <v>1099</v>
      </c>
      <c r="BL50" s="378" t="s">
        <v>1100</v>
      </c>
      <c r="BM50" s="378" t="s">
        <v>137</v>
      </c>
      <c r="BN50" s="409" t="s">
        <v>1101</v>
      </c>
      <c r="BO50" s="378" t="s">
        <v>1102</v>
      </c>
      <c r="BP50" s="378" t="s">
        <v>1103</v>
      </c>
      <c r="BQ50" s="378" t="s">
        <v>1104</v>
      </c>
      <c r="BR50" s="378" t="s">
        <v>201</v>
      </c>
      <c r="BS50" s="385"/>
      <c r="BT50" s="385"/>
    </row>
    <row r="51" spans="1:72" ht="17.25" hidden="1" customHeight="1">
      <c r="A51" s="46" t="s">
        <v>1105</v>
      </c>
      <c r="B51" s="46"/>
      <c r="C51" s="49" t="s">
        <v>1106</v>
      </c>
      <c r="D51" s="47">
        <v>2021</v>
      </c>
      <c r="E51" s="49" t="s">
        <v>1107</v>
      </c>
      <c r="F51" s="195" t="s">
        <v>1108</v>
      </c>
      <c r="G51" s="196"/>
      <c r="H51" s="196"/>
      <c r="I51" s="51"/>
      <c r="J51" s="198" t="s">
        <v>1109</v>
      </c>
      <c r="K51" s="197" t="s">
        <v>1110</v>
      </c>
      <c r="L51" s="49" t="s">
        <v>1111</v>
      </c>
      <c r="M51" s="49"/>
      <c r="N51" s="196" t="s">
        <v>214</v>
      </c>
      <c r="O51" s="53"/>
      <c r="P51" s="53"/>
      <c r="Q51" s="54"/>
      <c r="R51" s="198"/>
      <c r="S51" s="53"/>
      <c r="T51" s="53"/>
      <c r="U51" s="53"/>
      <c r="V51" s="53"/>
      <c r="W51" s="53"/>
      <c r="X51" s="53"/>
      <c r="Y51" s="53"/>
      <c r="Z51" s="53"/>
      <c r="AA51" s="54"/>
      <c r="AB51" s="54"/>
      <c r="AC51" s="54"/>
      <c r="AD51" s="50"/>
      <c r="AE51" s="51"/>
      <c r="AF51" s="51"/>
      <c r="AG51" s="51"/>
      <c r="AH51" s="53"/>
      <c r="AI51" s="54"/>
      <c r="AJ51" s="56"/>
      <c r="AK51" s="54"/>
      <c r="AL51" s="54"/>
      <c r="AM51" s="45"/>
      <c r="AN51" s="45"/>
      <c r="AO51" s="53"/>
      <c r="AP51" s="55"/>
      <c r="AQ51" s="55"/>
      <c r="AR51" s="55"/>
      <c r="AS51" s="51"/>
      <c r="AT51" s="55"/>
      <c r="AU51" s="55"/>
      <c r="AV51" s="50"/>
      <c r="AW51" s="54"/>
      <c r="AX51" s="53"/>
      <c r="AY51" s="51"/>
      <c r="AZ51" s="51"/>
      <c r="BA51" s="51"/>
      <c r="BB51" s="58"/>
      <c r="BC51" s="51"/>
      <c r="BD51" s="59"/>
      <c r="BE51" s="57"/>
      <c r="BF51" s="57"/>
      <c r="BG51" s="57"/>
      <c r="BH51" s="57"/>
      <c r="BI51" s="57"/>
      <c r="BJ51" s="57"/>
      <c r="BK51" s="51"/>
      <c r="BL51" s="50"/>
      <c r="BM51" s="45"/>
      <c r="BN51" s="59"/>
      <c r="BO51" s="53"/>
      <c r="BP51" s="54"/>
      <c r="BQ51" s="56" t="s">
        <v>1112</v>
      </c>
      <c r="BR51" s="45" t="s">
        <v>107</v>
      </c>
      <c r="BS51" s="62"/>
      <c r="BT51" s="62"/>
    </row>
    <row r="52" spans="1:72" ht="17.25" hidden="1" customHeight="1">
      <c r="A52" s="2" t="s">
        <v>1113</v>
      </c>
      <c r="B52" s="2"/>
      <c r="C52" s="1" t="s">
        <v>1114</v>
      </c>
      <c r="D52" s="3">
        <v>2021</v>
      </c>
      <c r="E52" s="1" t="s">
        <v>1115</v>
      </c>
      <c r="F52" s="259" t="s">
        <v>1116</v>
      </c>
      <c r="G52" s="202" t="s">
        <v>1117</v>
      </c>
      <c r="H52" s="202"/>
      <c r="I52" s="7"/>
      <c r="J52" s="6" t="s">
        <v>1118</v>
      </c>
      <c r="K52" s="8"/>
      <c r="L52" s="1"/>
      <c r="M52" s="1"/>
      <c r="N52" s="7"/>
      <c r="O52" s="7"/>
      <c r="P52" s="7"/>
      <c r="Q52" s="1"/>
      <c r="R52" s="12"/>
      <c r="S52" s="7"/>
      <c r="T52" s="7"/>
      <c r="U52" s="7"/>
      <c r="V52" s="7"/>
      <c r="W52" s="7"/>
      <c r="X52" s="7"/>
      <c r="Y52" s="7"/>
      <c r="Z52" s="7"/>
      <c r="AA52" s="1"/>
      <c r="AB52" s="1"/>
      <c r="AC52" s="1"/>
      <c r="AD52" s="12"/>
      <c r="AE52" s="7"/>
      <c r="AF52" s="7"/>
      <c r="AG52" s="7"/>
      <c r="AH52" s="7"/>
      <c r="AI52" s="1"/>
      <c r="AJ52" s="12"/>
      <c r="AK52" s="1"/>
      <c r="AL52" s="1"/>
      <c r="AM52" s="1"/>
      <c r="AN52" s="1"/>
      <c r="AO52" s="7"/>
      <c r="AP52" s="5"/>
      <c r="AQ52" s="5"/>
      <c r="AR52" s="5"/>
      <c r="AS52" s="7"/>
      <c r="AT52" s="5"/>
      <c r="AU52" s="5"/>
      <c r="AV52" s="12"/>
      <c r="AW52" s="1"/>
      <c r="AX52" s="7"/>
      <c r="AY52" s="7"/>
      <c r="AZ52" s="7"/>
      <c r="BA52" s="7"/>
      <c r="BB52" s="223"/>
      <c r="BC52" s="7"/>
      <c r="BD52" s="16"/>
      <c r="BE52" s="16"/>
      <c r="BF52" s="16"/>
      <c r="BG52" s="16"/>
      <c r="BH52" s="16"/>
      <c r="BI52" s="16"/>
      <c r="BJ52" s="16"/>
      <c r="BK52" s="7"/>
      <c r="BL52" s="12"/>
      <c r="BM52" s="1"/>
      <c r="BN52" s="16"/>
      <c r="BO52" s="7"/>
      <c r="BP52" s="1"/>
      <c r="BQ52" s="12" t="s">
        <v>1119</v>
      </c>
      <c r="BR52" s="1" t="s">
        <v>107</v>
      </c>
      <c r="BS52" s="5"/>
      <c r="BT52" s="5"/>
    </row>
    <row r="53" spans="1:72" ht="17.25" hidden="1" customHeight="1">
      <c r="A53" s="19" t="s">
        <v>1120</v>
      </c>
      <c r="B53" s="19"/>
      <c r="C53" s="62" t="s">
        <v>1121</v>
      </c>
      <c r="D53" s="61">
        <v>2021</v>
      </c>
      <c r="E53" s="62" t="s">
        <v>1122</v>
      </c>
      <c r="F53" s="117" t="s">
        <v>1123</v>
      </c>
      <c r="G53" s="90" t="s">
        <v>1123</v>
      </c>
      <c r="H53" s="90"/>
      <c r="I53" s="25" t="s">
        <v>112</v>
      </c>
      <c r="J53" s="110" t="s">
        <v>1124</v>
      </c>
      <c r="K53" s="128" t="s">
        <v>1125</v>
      </c>
      <c r="L53" s="62" t="s">
        <v>267</v>
      </c>
      <c r="M53" s="62" t="s">
        <v>354</v>
      </c>
      <c r="N53" s="90" t="s">
        <v>312</v>
      </c>
      <c r="O53" s="28" t="s">
        <v>1126</v>
      </c>
      <c r="P53" s="28" t="s">
        <v>1127</v>
      </c>
      <c r="Q53" s="29" t="s">
        <v>1128</v>
      </c>
      <c r="R53" s="112" t="s">
        <v>90</v>
      </c>
      <c r="S53" s="28" t="s">
        <v>1129</v>
      </c>
      <c r="T53" s="28" t="s">
        <v>1130</v>
      </c>
      <c r="U53" s="28" t="s">
        <v>124</v>
      </c>
      <c r="V53" s="28" t="s">
        <v>124</v>
      </c>
      <c r="W53" s="31" t="s">
        <v>124</v>
      </c>
      <c r="X53" s="31"/>
      <c r="Y53" s="28"/>
      <c r="Z53" s="31" t="s">
        <v>1131</v>
      </c>
      <c r="AA53" s="29" t="s">
        <v>1132</v>
      </c>
      <c r="AB53" s="29"/>
      <c r="AC53" s="29" t="s">
        <v>1133</v>
      </c>
      <c r="AD53" s="32" t="s">
        <v>180</v>
      </c>
      <c r="AE53" s="25" t="s">
        <v>1134</v>
      </c>
      <c r="AF53" s="25"/>
      <c r="AG53" s="25"/>
      <c r="AH53" s="28" t="s">
        <v>134</v>
      </c>
      <c r="AI53" s="29"/>
      <c r="AJ53" s="39" t="s">
        <v>1135</v>
      </c>
      <c r="AK53" s="29"/>
      <c r="AL53" s="29" t="s">
        <v>1136</v>
      </c>
      <c r="AM53" s="23" t="s">
        <v>138</v>
      </c>
      <c r="AN53" s="23" t="s">
        <v>138</v>
      </c>
      <c r="AO53" s="28"/>
      <c r="AP53" s="33" t="s">
        <v>139</v>
      </c>
      <c r="AQ53" s="33" t="s">
        <v>140</v>
      </c>
      <c r="AR53" s="33" t="s">
        <v>141</v>
      </c>
      <c r="AS53" s="25" t="s">
        <v>1137</v>
      </c>
      <c r="AT53" s="91" t="s">
        <v>1138</v>
      </c>
      <c r="AU53" s="33" t="s">
        <v>1139</v>
      </c>
      <c r="AV53" s="34" t="s">
        <v>143</v>
      </c>
      <c r="AW53" s="29" t="s">
        <v>1140</v>
      </c>
      <c r="AX53" s="28" t="s">
        <v>145</v>
      </c>
      <c r="AY53" s="25" t="s">
        <v>189</v>
      </c>
      <c r="AZ53" s="25" t="s">
        <v>1141</v>
      </c>
      <c r="BA53" s="25" t="s">
        <v>1141</v>
      </c>
      <c r="BB53" s="37" t="s">
        <v>1142</v>
      </c>
      <c r="BC53" s="25"/>
      <c r="BD53" s="38"/>
      <c r="BE53" s="35" t="s">
        <v>1143</v>
      </c>
      <c r="BF53" s="35" t="s">
        <v>1144</v>
      </c>
      <c r="BG53" s="35" t="s">
        <v>1145</v>
      </c>
      <c r="BH53" s="35" t="s">
        <v>1146</v>
      </c>
      <c r="BI53" s="36" t="s">
        <v>1147</v>
      </c>
      <c r="BJ53" s="35"/>
      <c r="BK53" s="25" t="s">
        <v>1148</v>
      </c>
      <c r="BL53" s="32" t="s">
        <v>1149</v>
      </c>
      <c r="BM53" s="23"/>
      <c r="BN53" s="38"/>
      <c r="BO53" s="28" t="s">
        <v>1150</v>
      </c>
      <c r="BP53" s="29" t="s">
        <v>1151</v>
      </c>
      <c r="BQ53" s="108" t="s">
        <v>1152</v>
      </c>
      <c r="BR53" s="23" t="s">
        <v>497</v>
      </c>
      <c r="BS53" s="62"/>
      <c r="BT53" s="62"/>
    </row>
    <row r="54" spans="1:72" s="383" customFormat="1" ht="17.25" customHeight="1">
      <c r="A54" s="329" t="s">
        <v>1153</v>
      </c>
      <c r="B54" s="329"/>
      <c r="C54" s="329" t="s">
        <v>1154</v>
      </c>
      <c r="D54" s="340">
        <v>2022</v>
      </c>
      <c r="E54" s="329" t="s">
        <v>1155</v>
      </c>
      <c r="F54" s="354" t="str">
        <f>HYPERLINK("http://dx.doi.org/10.1109/TVCG.2021.3050118","http://dx.doi.org/10.1109/TVCG.2021.3050118")</f>
        <v>http://dx.doi.org/10.1109/TVCG.2021.3050118</v>
      </c>
      <c r="G54" s="329" t="s">
        <v>4221</v>
      </c>
      <c r="H54" s="329"/>
      <c r="I54" s="329" t="s">
        <v>112</v>
      </c>
      <c r="J54" s="329" t="s">
        <v>1156</v>
      </c>
      <c r="K54" s="329" t="s">
        <v>1157</v>
      </c>
      <c r="L54" s="329" t="s">
        <v>844</v>
      </c>
      <c r="M54" s="329" t="s">
        <v>530</v>
      </c>
      <c r="N54" s="329" t="s">
        <v>214</v>
      </c>
      <c r="O54" s="329" t="s">
        <v>1158</v>
      </c>
      <c r="P54" s="329" t="s">
        <v>1159</v>
      </c>
      <c r="Q54" s="333" t="s">
        <v>1160</v>
      </c>
      <c r="R54" s="332" t="s">
        <v>90</v>
      </c>
      <c r="S54" s="329" t="s">
        <v>1161</v>
      </c>
      <c r="T54" s="329" t="s">
        <v>1082</v>
      </c>
      <c r="U54" s="329" t="s">
        <v>1162</v>
      </c>
      <c r="V54" s="329" t="s">
        <v>1163</v>
      </c>
      <c r="W54" s="332" t="s">
        <v>1164</v>
      </c>
      <c r="X54" s="332" t="s">
        <v>1165</v>
      </c>
      <c r="Y54" s="329" t="s">
        <v>1166</v>
      </c>
      <c r="Z54" s="332" t="s">
        <v>1167</v>
      </c>
      <c r="AA54" s="328" t="s">
        <v>177</v>
      </c>
      <c r="AB54" s="328" t="s">
        <v>1168</v>
      </c>
      <c r="AC54" s="329" t="s">
        <v>1169</v>
      </c>
      <c r="AD54" s="329" t="s">
        <v>1170</v>
      </c>
      <c r="AE54" s="329" t="s">
        <v>1171</v>
      </c>
      <c r="AF54" s="329" t="s">
        <v>1000</v>
      </c>
      <c r="AG54" s="329" t="s">
        <v>1172</v>
      </c>
      <c r="AH54" s="329" t="s">
        <v>1173</v>
      </c>
      <c r="AI54" s="374"/>
      <c r="AJ54" s="403" t="s">
        <v>1174</v>
      </c>
      <c r="AK54" s="374"/>
      <c r="AL54" s="329" t="s">
        <v>1175</v>
      </c>
      <c r="AM54" s="329" t="s">
        <v>138</v>
      </c>
      <c r="AN54" s="329" t="s">
        <v>138</v>
      </c>
      <c r="AO54" s="329"/>
      <c r="AP54" s="329" t="s">
        <v>333</v>
      </c>
      <c r="AQ54" s="329" t="s">
        <v>140</v>
      </c>
      <c r="AR54" s="329" t="s">
        <v>371</v>
      </c>
      <c r="AS54" s="329" t="s">
        <v>98</v>
      </c>
      <c r="AT54" s="329" t="s">
        <v>1176</v>
      </c>
      <c r="AU54" s="329" t="s">
        <v>1177</v>
      </c>
      <c r="AV54" s="329" t="s">
        <v>179</v>
      </c>
      <c r="AW54" s="329" t="s">
        <v>288</v>
      </c>
      <c r="AX54" s="329" t="s">
        <v>179</v>
      </c>
      <c r="AY54" s="329" t="s">
        <v>337</v>
      </c>
      <c r="AZ54" s="329" t="s">
        <v>101</v>
      </c>
      <c r="BA54" s="329" t="s">
        <v>101</v>
      </c>
      <c r="BB54" s="329" t="s">
        <v>1178</v>
      </c>
      <c r="BC54" s="329" t="s">
        <v>1179</v>
      </c>
      <c r="BD54" s="329" t="s">
        <v>1180</v>
      </c>
      <c r="BE54" s="329" t="s">
        <v>1181</v>
      </c>
      <c r="BF54" s="329" t="s">
        <v>1182</v>
      </c>
      <c r="BG54" s="329" t="s">
        <v>1183</v>
      </c>
      <c r="BH54" s="329" t="s">
        <v>1184</v>
      </c>
      <c r="BI54" s="329"/>
      <c r="BJ54" s="329" t="s">
        <v>195</v>
      </c>
      <c r="BK54" s="329" t="s">
        <v>341</v>
      </c>
      <c r="BL54" s="329"/>
      <c r="BM54" s="329" t="s">
        <v>137</v>
      </c>
      <c r="BN54" s="329" t="s">
        <v>1185</v>
      </c>
      <c r="BO54" s="329" t="s">
        <v>1186</v>
      </c>
      <c r="BP54" s="329" t="s">
        <v>1187</v>
      </c>
      <c r="BQ54" s="361" t="s">
        <v>1188</v>
      </c>
      <c r="BR54" s="329" t="s">
        <v>201</v>
      </c>
      <c r="BS54" s="347"/>
      <c r="BT54" s="347"/>
    </row>
    <row r="55" spans="1:72" ht="17.25" hidden="1" customHeight="1">
      <c r="A55" s="46" t="s">
        <v>1189</v>
      </c>
      <c r="B55" s="46"/>
      <c r="C55" s="46" t="s">
        <v>1190</v>
      </c>
      <c r="D55" s="214">
        <v>2022</v>
      </c>
      <c r="E55" s="46" t="s">
        <v>1191</v>
      </c>
      <c r="F55" s="215" t="str">
        <f>HYPERLINK("http://dx.doi.org/10.3390/land11060782","http://dx.doi.org/10.3390/land11060782")</f>
        <v>http://dx.doi.org/10.3390/land11060782</v>
      </c>
      <c r="G55" s="217" t="s">
        <v>1192</v>
      </c>
      <c r="H55" s="217"/>
      <c r="I55" s="51" t="s">
        <v>1193</v>
      </c>
      <c r="J55" s="216" t="s">
        <v>1194</v>
      </c>
      <c r="K55" s="52" t="s">
        <v>1195</v>
      </c>
      <c r="L55" s="45"/>
      <c r="M55" s="45"/>
      <c r="N55" s="51"/>
      <c r="O55" s="53"/>
      <c r="P55" s="53"/>
      <c r="Q55" s="54"/>
      <c r="R55" s="50"/>
      <c r="S55" s="53"/>
      <c r="T55" s="53"/>
      <c r="U55" s="53"/>
      <c r="V55" s="53"/>
      <c r="W55" s="53"/>
      <c r="X55" s="53"/>
      <c r="Y55" s="53"/>
      <c r="Z55" s="53"/>
      <c r="AA55" s="54"/>
      <c r="AB55" s="54"/>
      <c r="AC55" s="54"/>
      <c r="AD55" s="50"/>
      <c r="AE55" s="51"/>
      <c r="AF55" s="51"/>
      <c r="AG55" s="51"/>
      <c r="AH55" s="53"/>
      <c r="AI55" s="54"/>
      <c r="AJ55" s="56"/>
      <c r="AK55" s="54"/>
      <c r="AL55" s="54"/>
      <c r="AM55" s="45"/>
      <c r="AN55" s="45"/>
      <c r="AO55" s="53"/>
      <c r="AP55" s="55"/>
      <c r="AQ55" s="55"/>
      <c r="AR55" s="55"/>
      <c r="AS55" s="51"/>
      <c r="AT55" s="55"/>
      <c r="AU55" s="55"/>
      <c r="AV55" s="50"/>
      <c r="AW55" s="54"/>
      <c r="AX55" s="53"/>
      <c r="AY55" s="51"/>
      <c r="AZ55" s="51"/>
      <c r="BA55" s="51"/>
      <c r="BB55" s="58"/>
      <c r="BC55" s="51"/>
      <c r="BD55" s="59"/>
      <c r="BE55" s="57"/>
      <c r="BF55" s="57"/>
      <c r="BG55" s="57"/>
      <c r="BH55" s="57"/>
      <c r="BI55" s="57"/>
      <c r="BJ55" s="57"/>
      <c r="BK55" s="51"/>
      <c r="BL55" s="50"/>
      <c r="BM55" s="45"/>
      <c r="BN55" s="59"/>
      <c r="BO55" s="218"/>
      <c r="BP55" s="219"/>
      <c r="BQ55" s="56" t="s">
        <v>1196</v>
      </c>
      <c r="BR55" s="45" t="s">
        <v>107</v>
      </c>
      <c r="BS55" s="49"/>
      <c r="BT55" s="49"/>
    </row>
    <row r="56" spans="1:72" s="383" customFormat="1" ht="17.25" customHeight="1">
      <c r="A56" s="378" t="s">
        <v>1197</v>
      </c>
      <c r="B56" s="378"/>
      <c r="C56" s="378" t="s">
        <v>1198</v>
      </c>
      <c r="D56" s="379">
        <v>2022</v>
      </c>
      <c r="E56" s="378" t="s">
        <v>1199</v>
      </c>
      <c r="F56" s="380" t="s">
        <v>1200</v>
      </c>
      <c r="G56" s="378" t="s">
        <v>1201</v>
      </c>
      <c r="H56" s="378"/>
      <c r="I56" s="378" t="s">
        <v>112</v>
      </c>
      <c r="J56" s="378" t="s">
        <v>1202</v>
      </c>
      <c r="K56" s="378" t="s">
        <v>1203</v>
      </c>
      <c r="L56" s="378" t="s">
        <v>529</v>
      </c>
      <c r="M56" s="378" t="s">
        <v>1204</v>
      </c>
      <c r="N56" s="378" t="s">
        <v>214</v>
      </c>
      <c r="O56" s="378" t="s">
        <v>1205</v>
      </c>
      <c r="P56" s="378" t="s">
        <v>1206</v>
      </c>
      <c r="Q56" s="386" t="s">
        <v>1207</v>
      </c>
      <c r="R56" s="381" t="s">
        <v>90</v>
      </c>
      <c r="S56" s="378" t="s">
        <v>1208</v>
      </c>
      <c r="T56" s="378" t="s">
        <v>1209</v>
      </c>
      <c r="U56" s="378" t="s">
        <v>1210</v>
      </c>
      <c r="V56" s="378" t="s">
        <v>1211</v>
      </c>
      <c r="W56" s="378" t="s">
        <v>1212</v>
      </c>
      <c r="X56" s="378" t="s">
        <v>1213</v>
      </c>
      <c r="Y56" s="378" t="s">
        <v>1214</v>
      </c>
      <c r="Z56" s="378" t="s">
        <v>1215</v>
      </c>
      <c r="AA56" s="378" t="s">
        <v>612</v>
      </c>
      <c r="AB56" s="378" t="s">
        <v>1216</v>
      </c>
      <c r="AC56" s="378" t="s">
        <v>1216</v>
      </c>
      <c r="AD56" s="378" t="s">
        <v>180</v>
      </c>
      <c r="AE56" s="378" t="s">
        <v>1217</v>
      </c>
      <c r="AF56" s="378" t="s">
        <v>328</v>
      </c>
      <c r="AG56" s="378" t="s">
        <v>966</v>
      </c>
      <c r="AH56" s="378" t="s">
        <v>967</v>
      </c>
      <c r="AI56" s="387" t="s">
        <v>1218</v>
      </c>
      <c r="AJ56" s="404" t="s">
        <v>1219</v>
      </c>
      <c r="AK56" s="382" t="s">
        <v>1220</v>
      </c>
      <c r="AL56" s="378" t="s">
        <v>1221</v>
      </c>
      <c r="AM56" s="378" t="s">
        <v>137</v>
      </c>
      <c r="AN56" s="378" t="s">
        <v>138</v>
      </c>
      <c r="AO56" s="378" t="s">
        <v>1222</v>
      </c>
      <c r="AP56" s="378" t="s">
        <v>139</v>
      </c>
      <c r="AQ56" s="378" t="s">
        <v>140</v>
      </c>
      <c r="AR56" s="378" t="s">
        <v>185</v>
      </c>
      <c r="AS56" s="378" t="s">
        <v>98</v>
      </c>
      <c r="AT56" s="378"/>
      <c r="AU56" s="378"/>
      <c r="AV56" s="378" t="s">
        <v>287</v>
      </c>
      <c r="AW56" s="378" t="s">
        <v>288</v>
      </c>
      <c r="AX56" s="378" t="s">
        <v>336</v>
      </c>
      <c r="AY56" s="378" t="s">
        <v>337</v>
      </c>
      <c r="AZ56" s="378" t="s">
        <v>101</v>
      </c>
      <c r="BA56" s="378" t="s">
        <v>101</v>
      </c>
      <c r="BB56" s="378">
        <v>191</v>
      </c>
      <c r="BC56" s="378" t="s">
        <v>1223</v>
      </c>
      <c r="BD56" s="378" t="s">
        <v>1005</v>
      </c>
      <c r="BE56" s="378" t="s">
        <v>1224</v>
      </c>
      <c r="BF56" s="378" t="s">
        <v>1225</v>
      </c>
      <c r="BG56" s="378" t="s">
        <v>1226</v>
      </c>
      <c r="BH56" s="378" t="s">
        <v>1227</v>
      </c>
      <c r="BI56" s="388">
        <v>45935</v>
      </c>
      <c r="BJ56" s="378" t="s">
        <v>1228</v>
      </c>
      <c r="BK56" s="378" t="s">
        <v>341</v>
      </c>
      <c r="BL56" s="378"/>
      <c r="BM56" s="378" t="s">
        <v>137</v>
      </c>
      <c r="BN56" s="378" t="s">
        <v>1229</v>
      </c>
      <c r="BO56" s="378" t="s">
        <v>1230</v>
      </c>
      <c r="BP56" s="378" t="s">
        <v>1231</v>
      </c>
      <c r="BQ56" s="378" t="s">
        <v>1232</v>
      </c>
      <c r="BR56" s="378" t="s">
        <v>201</v>
      </c>
      <c r="BS56" s="378" t="s">
        <v>1233</v>
      </c>
      <c r="BT56" s="378"/>
    </row>
    <row r="57" spans="1:72" ht="17.25" hidden="1" customHeight="1">
      <c r="A57" s="46" t="s">
        <v>1234</v>
      </c>
      <c r="B57" s="46"/>
      <c r="C57" s="45" t="s">
        <v>1235</v>
      </c>
      <c r="D57" s="47">
        <v>2022</v>
      </c>
      <c r="E57" s="45" t="s">
        <v>1236</v>
      </c>
      <c r="F57" s="48" t="str">
        <f>HYPERLINK("http://dx.doi.org/10.1109/TVCG.2021.3088343","http://dx.doi.org/10.1109/TVCG.2021.3088343")</f>
        <v>http://dx.doi.org/10.1109/TVCG.2021.3088343</v>
      </c>
      <c r="G57" s="51" t="s">
        <v>1237</v>
      </c>
      <c r="H57" s="51"/>
      <c r="I57" s="51" t="s">
        <v>264</v>
      </c>
      <c r="J57" s="50" t="s">
        <v>1238</v>
      </c>
      <c r="K57" s="52" t="s">
        <v>1239</v>
      </c>
      <c r="L57" s="45" t="s">
        <v>529</v>
      </c>
      <c r="M57" s="45" t="s">
        <v>1240</v>
      </c>
      <c r="N57" s="51" t="s">
        <v>214</v>
      </c>
      <c r="O57" s="53" t="s">
        <v>1241</v>
      </c>
      <c r="P57" s="53" t="s">
        <v>1242</v>
      </c>
      <c r="Q57" s="54" t="s">
        <v>1243</v>
      </c>
      <c r="R57" s="50" t="s">
        <v>358</v>
      </c>
      <c r="S57" s="53" t="s">
        <v>1244</v>
      </c>
      <c r="T57" s="53" t="s">
        <v>1245</v>
      </c>
      <c r="U57" s="53" t="s">
        <v>1246</v>
      </c>
      <c r="V57" s="53" t="s">
        <v>275</v>
      </c>
      <c r="W57" s="249" t="s">
        <v>276</v>
      </c>
      <c r="X57" s="53" t="s">
        <v>1247</v>
      </c>
      <c r="Y57" s="53" t="s">
        <v>1248</v>
      </c>
      <c r="Z57" s="53" t="s">
        <v>1249</v>
      </c>
      <c r="AA57" s="54" t="s">
        <v>1250</v>
      </c>
      <c r="AB57" s="54"/>
      <c r="AC57" s="54" t="s">
        <v>1251</v>
      </c>
      <c r="AD57" s="50" t="s">
        <v>731</v>
      </c>
      <c r="AE57" s="51" t="s">
        <v>1252</v>
      </c>
      <c r="AF57" s="51"/>
      <c r="AG57" s="51"/>
      <c r="AH57" s="53" t="s">
        <v>1253</v>
      </c>
      <c r="AI57" s="54"/>
      <c r="AJ57" s="56" t="s">
        <v>1254</v>
      </c>
      <c r="AK57" s="54"/>
      <c r="AL57" s="54"/>
      <c r="AM57" s="54" t="s">
        <v>138</v>
      </c>
      <c r="AN57" s="54" t="s">
        <v>138</v>
      </c>
      <c r="AO57" s="53"/>
      <c r="AP57" s="55" t="s">
        <v>333</v>
      </c>
      <c r="AQ57" s="55" t="s">
        <v>140</v>
      </c>
      <c r="AR57" s="55" t="s">
        <v>185</v>
      </c>
      <c r="AS57" s="53" t="s">
        <v>98</v>
      </c>
      <c r="AT57" s="55" t="s">
        <v>1255</v>
      </c>
      <c r="AU57" s="55"/>
      <c r="AV57" s="250" t="s">
        <v>287</v>
      </c>
      <c r="AW57" s="54" t="s">
        <v>288</v>
      </c>
      <c r="AX57" s="53" t="s">
        <v>1256</v>
      </c>
      <c r="AY57" s="51" t="s">
        <v>337</v>
      </c>
      <c r="AZ57" s="53" t="s">
        <v>101</v>
      </c>
      <c r="BA57" s="53" t="s">
        <v>101</v>
      </c>
      <c r="BB57" s="58" t="s">
        <v>1257</v>
      </c>
      <c r="BC57" s="51" t="s">
        <v>1258</v>
      </c>
      <c r="BD57" s="59" t="s">
        <v>1259</v>
      </c>
      <c r="BE57" s="57" t="s">
        <v>1260</v>
      </c>
      <c r="BF57" s="54" t="s">
        <v>380</v>
      </c>
      <c r="BG57" s="54" t="s">
        <v>1261</v>
      </c>
      <c r="BH57" s="57" t="s">
        <v>1262</v>
      </c>
      <c r="BI57" s="200"/>
      <c r="BJ57" s="57" t="s">
        <v>195</v>
      </c>
      <c r="BK57" s="53" t="s">
        <v>341</v>
      </c>
      <c r="BL57" s="50" t="s">
        <v>287</v>
      </c>
      <c r="BM57" s="54"/>
      <c r="BN57" s="57" t="s">
        <v>1263</v>
      </c>
      <c r="BO57" s="53" t="s">
        <v>1264</v>
      </c>
      <c r="BP57" s="54" t="s">
        <v>1265</v>
      </c>
      <c r="BQ57" s="56" t="s">
        <v>1266</v>
      </c>
      <c r="BR57" s="54" t="s">
        <v>107</v>
      </c>
      <c r="BS57" s="49" t="s">
        <v>1267</v>
      </c>
      <c r="BT57" s="49"/>
    </row>
    <row r="58" spans="1:72" s="338" customFormat="1" ht="17.25" customHeight="1">
      <c r="A58" s="329" t="s">
        <v>1268</v>
      </c>
      <c r="B58" s="329"/>
      <c r="C58" s="329" t="s">
        <v>1269</v>
      </c>
      <c r="D58" s="340">
        <v>2022</v>
      </c>
      <c r="E58" s="329" t="s">
        <v>1270</v>
      </c>
      <c r="F58" s="354" t="str">
        <f>HYPERLINK("http://dx.doi.org/10.1109/TVCG.2021.3114775","http://dx.doi.org/10.1109/TVCG.2021.3114775")</f>
        <v>http://dx.doi.org/10.1109/TVCG.2021.3114775</v>
      </c>
      <c r="G58" s="329" t="s">
        <v>3204</v>
      </c>
      <c r="H58" s="329"/>
      <c r="I58" s="329" t="s">
        <v>1063</v>
      </c>
      <c r="J58" s="329" t="s">
        <v>1271</v>
      </c>
      <c r="K58" s="329" t="s">
        <v>1272</v>
      </c>
      <c r="L58" s="329" t="s">
        <v>1273</v>
      </c>
      <c r="M58" s="329" t="s">
        <v>530</v>
      </c>
      <c r="N58" s="329" t="s">
        <v>214</v>
      </c>
      <c r="O58" s="329" t="s">
        <v>1274</v>
      </c>
      <c r="P58" s="329" t="s">
        <v>1275</v>
      </c>
      <c r="Q58" s="329" t="s">
        <v>1276</v>
      </c>
      <c r="R58" s="329" t="s">
        <v>90</v>
      </c>
      <c r="S58" s="329" t="s">
        <v>1277</v>
      </c>
      <c r="T58" s="329" t="s">
        <v>273</v>
      </c>
      <c r="U58" s="329" t="s">
        <v>274</v>
      </c>
      <c r="V58" s="329" t="s">
        <v>1278</v>
      </c>
      <c r="W58" s="329" t="s">
        <v>1279</v>
      </c>
      <c r="X58" s="329"/>
      <c r="Y58" s="329"/>
      <c r="Z58" s="329" t="s">
        <v>1280</v>
      </c>
      <c r="AA58" s="329" t="s">
        <v>130</v>
      </c>
      <c r="AB58" s="329" t="s">
        <v>1281</v>
      </c>
      <c r="AC58" s="329" t="s">
        <v>1281</v>
      </c>
      <c r="AD58" s="329" t="s">
        <v>180</v>
      </c>
      <c r="AE58" s="329" t="s">
        <v>1282</v>
      </c>
      <c r="AF58" s="329" t="s">
        <v>616</v>
      </c>
      <c r="AG58" s="329" t="s">
        <v>1283</v>
      </c>
      <c r="AH58" s="329" t="s">
        <v>1284</v>
      </c>
      <c r="AI58" s="374"/>
      <c r="AJ58" s="403" t="s">
        <v>1285</v>
      </c>
      <c r="AK58" s="374"/>
      <c r="AL58" s="329"/>
      <c r="AM58" s="329" t="s">
        <v>138</v>
      </c>
      <c r="AN58" s="329" t="s">
        <v>137</v>
      </c>
      <c r="AO58" s="329"/>
      <c r="AP58" s="329" t="s">
        <v>690</v>
      </c>
      <c r="AQ58" s="329" t="s">
        <v>140</v>
      </c>
      <c r="AR58" s="329" t="s">
        <v>145</v>
      </c>
      <c r="AS58" s="329" t="s">
        <v>98</v>
      </c>
      <c r="AT58" s="329" t="s">
        <v>1286</v>
      </c>
      <c r="AU58" s="329"/>
      <c r="AV58" s="329" t="s">
        <v>179</v>
      </c>
      <c r="AW58" s="329" t="s">
        <v>288</v>
      </c>
      <c r="AX58" s="329" t="s">
        <v>336</v>
      </c>
      <c r="AY58" s="329" t="s">
        <v>936</v>
      </c>
      <c r="AZ58" s="329" t="s">
        <v>1287</v>
      </c>
      <c r="BA58" s="329" t="s">
        <v>101</v>
      </c>
      <c r="BB58" s="329" t="s">
        <v>1288</v>
      </c>
      <c r="BC58" s="329" t="s">
        <v>1289</v>
      </c>
      <c r="BD58" s="329" t="s">
        <v>1290</v>
      </c>
      <c r="BE58" s="329" t="s">
        <v>1291</v>
      </c>
      <c r="BF58" s="329" t="s">
        <v>1292</v>
      </c>
      <c r="BG58" s="329" t="s">
        <v>1293</v>
      </c>
      <c r="BH58" s="329" t="s">
        <v>1294</v>
      </c>
      <c r="BI58" s="329"/>
      <c r="BJ58" s="329"/>
      <c r="BK58" s="329" t="s">
        <v>1295</v>
      </c>
      <c r="BL58" s="329" t="s">
        <v>1296</v>
      </c>
      <c r="BM58" s="329" t="s">
        <v>137</v>
      </c>
      <c r="BN58" s="329" t="s">
        <v>1297</v>
      </c>
      <c r="BO58" s="329" t="s">
        <v>1298</v>
      </c>
      <c r="BP58" s="329" t="s">
        <v>1299</v>
      </c>
      <c r="BQ58" s="329" t="s">
        <v>1300</v>
      </c>
      <c r="BR58" s="329" t="s">
        <v>201</v>
      </c>
      <c r="BS58" s="329"/>
      <c r="BT58" s="329"/>
    </row>
    <row r="59" spans="1:72" s="338" customFormat="1" ht="17.25" customHeight="1">
      <c r="A59" s="329" t="s">
        <v>1301</v>
      </c>
      <c r="B59" s="329"/>
      <c r="C59" s="329" t="s">
        <v>1302</v>
      </c>
      <c r="D59" s="340">
        <v>2022</v>
      </c>
      <c r="E59" s="329" t="s">
        <v>1303</v>
      </c>
      <c r="F59" s="354" t="str">
        <f>HYPERLINK("http://dx.doi.org/10.1111/cgf.14553","http://dx.doi.org/10.1111/cgf.14553")</f>
        <v>http://dx.doi.org/10.1111/cgf.14553</v>
      </c>
      <c r="G59" s="329" t="s">
        <v>3559</v>
      </c>
      <c r="H59" s="329"/>
      <c r="I59" s="329" t="s">
        <v>1304</v>
      </c>
      <c r="J59" s="329" t="s">
        <v>1305</v>
      </c>
      <c r="K59" s="329" t="s">
        <v>1306</v>
      </c>
      <c r="L59" s="329" t="s">
        <v>844</v>
      </c>
      <c r="M59" s="329" t="s">
        <v>1307</v>
      </c>
      <c r="N59" s="329" t="s">
        <v>214</v>
      </c>
      <c r="O59" s="333" t="s">
        <v>1308</v>
      </c>
      <c r="P59" s="329" t="s">
        <v>1309</v>
      </c>
      <c r="Q59" s="329" t="s">
        <v>1310</v>
      </c>
      <c r="R59" s="329" t="s">
        <v>849</v>
      </c>
      <c r="S59" s="329" t="s">
        <v>1311</v>
      </c>
      <c r="T59" s="329" t="s">
        <v>1312</v>
      </c>
      <c r="U59" s="329" t="s">
        <v>124</v>
      </c>
      <c r="V59" s="329" t="s">
        <v>1313</v>
      </c>
      <c r="W59" s="332" t="s">
        <v>1314</v>
      </c>
      <c r="X59" s="351" t="s">
        <v>1315</v>
      </c>
      <c r="Y59" s="329" t="s">
        <v>1316</v>
      </c>
      <c r="Z59" s="329" t="s">
        <v>1317</v>
      </c>
      <c r="AA59" s="329" t="s">
        <v>130</v>
      </c>
      <c r="AB59" s="329" t="s">
        <v>852</v>
      </c>
      <c r="AC59" s="329" t="s">
        <v>852</v>
      </c>
      <c r="AD59" s="329" t="s">
        <v>180</v>
      </c>
      <c r="AE59" s="329" t="s">
        <v>1318</v>
      </c>
      <c r="AF59" s="329" t="s">
        <v>328</v>
      </c>
      <c r="AG59" s="329" t="s">
        <v>134</v>
      </c>
      <c r="AH59" s="329" t="s">
        <v>134</v>
      </c>
      <c r="AI59" s="374"/>
      <c r="AJ59" s="403" t="s">
        <v>1319</v>
      </c>
      <c r="AK59" s="374"/>
      <c r="AL59" s="329" t="s">
        <v>1136</v>
      </c>
      <c r="AM59" s="329" t="s">
        <v>138</v>
      </c>
      <c r="AN59" s="329" t="s">
        <v>137</v>
      </c>
      <c r="AO59" s="329"/>
      <c r="AP59" s="329" t="s">
        <v>139</v>
      </c>
      <c r="AQ59" s="329" t="s">
        <v>140</v>
      </c>
      <c r="AR59" s="329" t="s">
        <v>141</v>
      </c>
      <c r="AS59" s="329" t="s">
        <v>1320</v>
      </c>
      <c r="AT59" s="329" t="s">
        <v>1321</v>
      </c>
      <c r="AU59" s="329"/>
      <c r="AV59" s="329" t="s">
        <v>287</v>
      </c>
      <c r="AW59" s="329" t="s">
        <v>1322</v>
      </c>
      <c r="AX59" s="329" t="s">
        <v>336</v>
      </c>
      <c r="AY59" s="329" t="s">
        <v>189</v>
      </c>
      <c r="AZ59" s="329" t="s">
        <v>1323</v>
      </c>
      <c r="BA59" s="329" t="s">
        <v>101</v>
      </c>
      <c r="BB59" s="329">
        <v>128</v>
      </c>
      <c r="BC59" s="329"/>
      <c r="BD59" s="329"/>
      <c r="BE59" s="329"/>
      <c r="BF59" s="329" t="s">
        <v>1324</v>
      </c>
      <c r="BG59" s="329" t="s">
        <v>1325</v>
      </c>
      <c r="BH59" s="329" t="s">
        <v>1326</v>
      </c>
      <c r="BI59" s="329"/>
      <c r="BJ59" s="329"/>
      <c r="BK59" s="329" t="s">
        <v>1327</v>
      </c>
      <c r="BL59" s="329" t="s">
        <v>342</v>
      </c>
      <c r="BM59" s="329" t="s">
        <v>137</v>
      </c>
      <c r="BN59" s="329" t="s">
        <v>1328</v>
      </c>
      <c r="BO59" s="329" t="s">
        <v>1329</v>
      </c>
      <c r="BP59" s="329" t="s">
        <v>1330</v>
      </c>
      <c r="BQ59" s="329"/>
      <c r="BR59" s="329" t="s">
        <v>201</v>
      </c>
      <c r="BS59" s="329"/>
      <c r="BT59" s="329"/>
    </row>
    <row r="60" spans="1:72" s="338" customFormat="1" ht="17.25" customHeight="1">
      <c r="A60" s="329" t="s">
        <v>1331</v>
      </c>
      <c r="B60" s="329"/>
      <c r="C60" s="329" t="s">
        <v>1332</v>
      </c>
      <c r="D60" s="340">
        <v>2022</v>
      </c>
      <c r="E60" s="329" t="s">
        <v>1333</v>
      </c>
      <c r="F60" s="354" t="str">
        <f>HYPERLINK("http://dx.doi.org/10.1016/j.ecmx.2022.100279","http://dx.doi.org/10.1016/j.ecmx.2022.100279")</f>
        <v>http://dx.doi.org/10.1016/j.ecmx.2022.100279</v>
      </c>
      <c r="G60" s="329" t="s">
        <v>3220</v>
      </c>
      <c r="H60" s="329"/>
      <c r="I60" s="329" t="s">
        <v>1334</v>
      </c>
      <c r="J60" s="329" t="s">
        <v>1335</v>
      </c>
      <c r="K60" s="329" t="s">
        <v>1336</v>
      </c>
      <c r="L60" s="329" t="s">
        <v>267</v>
      </c>
      <c r="M60" s="329" t="s">
        <v>1337</v>
      </c>
      <c r="N60" s="329" t="s">
        <v>355</v>
      </c>
      <c r="O60" s="329" t="s">
        <v>1338</v>
      </c>
      <c r="P60" s="329" t="s">
        <v>1339</v>
      </c>
      <c r="Q60" s="329" t="s">
        <v>1340</v>
      </c>
      <c r="R60" s="332" t="s">
        <v>90</v>
      </c>
      <c r="S60" s="329" t="s">
        <v>1341</v>
      </c>
      <c r="T60" s="329" t="s">
        <v>850</v>
      </c>
      <c r="U60" s="329" t="s">
        <v>124</v>
      </c>
      <c r="V60" s="329" t="s">
        <v>1342</v>
      </c>
      <c r="W60" s="332" t="s">
        <v>1343</v>
      </c>
      <c r="X60" s="332" t="s">
        <v>1344</v>
      </c>
      <c r="Y60" s="329" t="s">
        <v>1345</v>
      </c>
      <c r="Z60" s="329" t="s">
        <v>1346</v>
      </c>
      <c r="AA60" s="329" t="s">
        <v>177</v>
      </c>
      <c r="AB60" s="329" t="s">
        <v>1347</v>
      </c>
      <c r="AC60" s="329" t="s">
        <v>1347</v>
      </c>
      <c r="AD60" s="329" t="s">
        <v>1348</v>
      </c>
      <c r="AE60" s="329" t="s">
        <v>1349</v>
      </c>
      <c r="AF60" s="329" t="s">
        <v>328</v>
      </c>
      <c r="AG60" s="329" t="s">
        <v>1001</v>
      </c>
      <c r="AH60" s="329" t="s">
        <v>1350</v>
      </c>
      <c r="AI60" s="374"/>
      <c r="AJ60" s="403" t="s">
        <v>1351</v>
      </c>
      <c r="AK60" s="374"/>
      <c r="AL60" s="329"/>
      <c r="AM60" s="329" t="s">
        <v>138</v>
      </c>
      <c r="AN60" s="329" t="s">
        <v>138</v>
      </c>
      <c r="AO60" s="329"/>
      <c r="AP60" s="329" t="s">
        <v>139</v>
      </c>
      <c r="AQ60" s="329" t="s">
        <v>140</v>
      </c>
      <c r="AR60" s="329" t="s">
        <v>371</v>
      </c>
      <c r="AS60" s="329" t="s">
        <v>98</v>
      </c>
      <c r="AT60" s="329" t="s">
        <v>1352</v>
      </c>
      <c r="AU60" s="329"/>
      <c r="AV60" s="329" t="s">
        <v>179</v>
      </c>
      <c r="AW60" s="329" t="s">
        <v>288</v>
      </c>
      <c r="AX60" s="329" t="s">
        <v>179</v>
      </c>
      <c r="AY60" s="329" t="s">
        <v>1353</v>
      </c>
      <c r="AZ60" s="329" t="s">
        <v>101</v>
      </c>
      <c r="BA60" s="329" t="s">
        <v>101</v>
      </c>
      <c r="BB60" s="329">
        <v>48</v>
      </c>
      <c r="BC60" s="329" t="s">
        <v>1354</v>
      </c>
      <c r="BD60" s="329" t="s">
        <v>1355</v>
      </c>
      <c r="BE60" s="329" t="s">
        <v>1356</v>
      </c>
      <c r="BF60" s="329" t="s">
        <v>1357</v>
      </c>
      <c r="BG60" s="329" t="s">
        <v>1358</v>
      </c>
      <c r="BH60" s="329" t="s">
        <v>1359</v>
      </c>
      <c r="BI60" s="329"/>
      <c r="BJ60" s="329" t="s">
        <v>1228</v>
      </c>
      <c r="BK60" s="329" t="s">
        <v>1360</v>
      </c>
      <c r="BL60" s="329" t="s">
        <v>1361</v>
      </c>
      <c r="BM60" s="329" t="s">
        <v>137</v>
      </c>
      <c r="BN60" s="329" t="s">
        <v>1362</v>
      </c>
      <c r="BO60" s="329" t="s">
        <v>1363</v>
      </c>
      <c r="BP60" s="329" t="s">
        <v>1364</v>
      </c>
      <c r="BQ60" s="329" t="s">
        <v>1365</v>
      </c>
      <c r="BR60" s="329" t="s">
        <v>201</v>
      </c>
      <c r="BS60" s="329"/>
      <c r="BT60" s="329"/>
    </row>
    <row r="61" spans="1:72" s="338" customFormat="1" ht="17.25" customHeight="1">
      <c r="A61" s="378" t="s">
        <v>1366</v>
      </c>
      <c r="B61" s="378"/>
      <c r="C61" s="378" t="s">
        <v>1367</v>
      </c>
      <c r="D61" s="379">
        <v>2022</v>
      </c>
      <c r="E61" s="378" t="s">
        <v>1368</v>
      </c>
      <c r="F61" s="380" t="s">
        <v>1369</v>
      </c>
      <c r="G61" s="380" t="s">
        <v>1369</v>
      </c>
      <c r="H61" s="378"/>
      <c r="I61" s="378" t="s">
        <v>351</v>
      </c>
      <c r="J61" s="378" t="s">
        <v>1370</v>
      </c>
      <c r="K61" s="378" t="s">
        <v>1371</v>
      </c>
      <c r="L61" s="378" t="s">
        <v>844</v>
      </c>
      <c r="M61" s="378" t="s">
        <v>1372</v>
      </c>
      <c r="N61" s="378" t="s">
        <v>214</v>
      </c>
      <c r="O61" s="378" t="s">
        <v>1373</v>
      </c>
      <c r="P61" s="378" t="s">
        <v>1374</v>
      </c>
      <c r="Q61" s="378" t="s">
        <v>1375</v>
      </c>
      <c r="R61" s="381" t="s">
        <v>90</v>
      </c>
      <c r="S61" s="378" t="s">
        <v>1376</v>
      </c>
      <c r="T61" s="378" t="s">
        <v>1377</v>
      </c>
      <c r="U61" s="378" t="s">
        <v>124</v>
      </c>
      <c r="V61" s="378" t="s">
        <v>174</v>
      </c>
      <c r="W61" s="381" t="s">
        <v>175</v>
      </c>
      <c r="X61" s="381"/>
      <c r="Y61" s="378" t="s">
        <v>1378</v>
      </c>
      <c r="Z61" s="381" t="s">
        <v>1379</v>
      </c>
      <c r="AA61" s="378" t="s">
        <v>364</v>
      </c>
      <c r="AB61" s="378" t="s">
        <v>1380</v>
      </c>
      <c r="AC61" s="378" t="s">
        <v>1381</v>
      </c>
      <c r="AD61" s="378" t="s">
        <v>180</v>
      </c>
      <c r="AE61" s="378" t="s">
        <v>1382</v>
      </c>
      <c r="AF61" s="378" t="s">
        <v>1382</v>
      </c>
      <c r="AG61" s="378" t="s">
        <v>966</v>
      </c>
      <c r="AH61" s="378" t="s">
        <v>967</v>
      </c>
      <c r="AI61" s="382"/>
      <c r="AJ61" s="404" t="s">
        <v>1383</v>
      </c>
      <c r="AK61" s="382"/>
      <c r="AL61" s="378" t="s">
        <v>1384</v>
      </c>
      <c r="AM61" s="378" t="s">
        <v>138</v>
      </c>
      <c r="AN61" s="378" t="s">
        <v>137</v>
      </c>
      <c r="AO61" s="378" t="s">
        <v>1385</v>
      </c>
      <c r="AP61" s="378" t="s">
        <v>139</v>
      </c>
      <c r="AQ61" s="378" t="s">
        <v>690</v>
      </c>
      <c r="AR61" s="378" t="s">
        <v>145</v>
      </c>
      <c r="AS61" s="378" t="s">
        <v>98</v>
      </c>
      <c r="AT61" s="378"/>
      <c r="AU61" s="378" t="s">
        <v>1386</v>
      </c>
      <c r="AV61" s="378" t="s">
        <v>287</v>
      </c>
      <c r="AW61" s="378" t="s">
        <v>288</v>
      </c>
      <c r="AX61" s="378" t="s">
        <v>336</v>
      </c>
      <c r="AY61" s="378" t="s">
        <v>337</v>
      </c>
      <c r="AZ61" s="378" t="s">
        <v>1387</v>
      </c>
      <c r="BA61" s="378" t="s">
        <v>101</v>
      </c>
      <c r="BB61" s="378">
        <v>119</v>
      </c>
      <c r="BC61" s="378" t="s">
        <v>1388</v>
      </c>
      <c r="BD61" s="378" t="s">
        <v>1389</v>
      </c>
      <c r="BE61" s="378" t="s">
        <v>1390</v>
      </c>
      <c r="BF61" s="378" t="s">
        <v>489</v>
      </c>
      <c r="BG61" s="378" t="s">
        <v>1391</v>
      </c>
      <c r="BH61" s="378" t="s">
        <v>1392</v>
      </c>
      <c r="BI61" s="378">
        <v>60</v>
      </c>
      <c r="BJ61" s="378" t="s">
        <v>1393</v>
      </c>
      <c r="BK61" s="378" t="s">
        <v>341</v>
      </c>
      <c r="BL61" s="378" t="s">
        <v>342</v>
      </c>
      <c r="BM61" s="378" t="s">
        <v>137</v>
      </c>
      <c r="BN61" s="378" t="s">
        <v>1394</v>
      </c>
      <c r="BO61" s="378" t="s">
        <v>1395</v>
      </c>
      <c r="BP61" s="378" t="s">
        <v>1396</v>
      </c>
      <c r="BQ61" s="378" t="s">
        <v>1397</v>
      </c>
      <c r="BR61" s="378" t="s">
        <v>201</v>
      </c>
      <c r="BS61" s="385"/>
      <c r="BT61" s="385"/>
    </row>
    <row r="62" spans="1:72" ht="17.25" hidden="1" customHeight="1">
      <c r="A62" s="46" t="s">
        <v>1398</v>
      </c>
      <c r="B62" s="46"/>
      <c r="C62" s="49" t="s">
        <v>1399</v>
      </c>
      <c r="D62" s="47">
        <v>2022</v>
      </c>
      <c r="E62" s="49" t="s">
        <v>1400</v>
      </c>
      <c r="F62" s="195" t="s">
        <v>1401</v>
      </c>
      <c r="G62" s="51"/>
      <c r="H62" s="51"/>
      <c r="I62" s="51"/>
      <c r="J62" s="198" t="s">
        <v>1402</v>
      </c>
      <c r="K62" s="197" t="s">
        <v>1403</v>
      </c>
      <c r="L62" s="49" t="s">
        <v>1404</v>
      </c>
      <c r="M62" s="49"/>
      <c r="N62" s="196" t="s">
        <v>214</v>
      </c>
      <c r="O62" s="53"/>
      <c r="P62" s="53"/>
      <c r="Q62" s="54"/>
      <c r="R62" s="198"/>
      <c r="S62" s="53"/>
      <c r="T62" s="53"/>
      <c r="U62" s="53"/>
      <c r="V62" s="53"/>
      <c r="W62" s="53"/>
      <c r="X62" s="53"/>
      <c r="Y62" s="53"/>
      <c r="Z62" s="53"/>
      <c r="AA62" s="54"/>
      <c r="AB62" s="54"/>
      <c r="AC62" s="54"/>
      <c r="AD62" s="50"/>
      <c r="AE62" s="51"/>
      <c r="AF62" s="51"/>
      <c r="AG62" s="51"/>
      <c r="AH62" s="53"/>
      <c r="AI62" s="54"/>
      <c r="AJ62" s="56"/>
      <c r="AK62" s="54"/>
      <c r="AL62" s="54"/>
      <c r="AM62" s="45"/>
      <c r="AN62" s="45"/>
      <c r="AO62" s="53"/>
      <c r="AP62" s="55"/>
      <c r="AQ62" s="55"/>
      <c r="AR62" s="55"/>
      <c r="AS62" s="51"/>
      <c r="AT62" s="55"/>
      <c r="AU62" s="55"/>
      <c r="AV62" s="50"/>
      <c r="AW62" s="54"/>
      <c r="AX62" s="53"/>
      <c r="AY62" s="51"/>
      <c r="AZ62" s="51"/>
      <c r="BA62" s="51"/>
      <c r="BB62" s="58"/>
      <c r="BC62" s="51"/>
      <c r="BD62" s="59"/>
      <c r="BE62" s="57"/>
      <c r="BF62" s="57"/>
      <c r="BG62" s="57"/>
      <c r="BH62" s="57"/>
      <c r="BI62" s="57"/>
      <c r="BJ62" s="57"/>
      <c r="BK62" s="51"/>
      <c r="BL62" s="50"/>
      <c r="BM62" s="45"/>
      <c r="BN62" s="59"/>
      <c r="BO62" s="53" t="s">
        <v>1405</v>
      </c>
      <c r="BP62" s="54" t="s">
        <v>1406</v>
      </c>
      <c r="BQ62" s="56" t="s">
        <v>1407</v>
      </c>
      <c r="BR62" s="54" t="s">
        <v>107</v>
      </c>
      <c r="BS62" s="49"/>
      <c r="BT62" s="49"/>
    </row>
    <row r="63" spans="1:72" ht="17.25" hidden="1" customHeight="1">
      <c r="A63" s="227" t="s">
        <v>1408</v>
      </c>
      <c r="B63" s="227"/>
      <c r="C63" s="193" t="s">
        <v>1409</v>
      </c>
      <c r="D63" s="228">
        <v>2022</v>
      </c>
      <c r="E63" s="193" t="s">
        <v>1410</v>
      </c>
      <c r="F63" s="229" t="s">
        <v>1411</v>
      </c>
      <c r="G63" s="232"/>
      <c r="H63" s="232"/>
      <c r="I63" s="231" t="s">
        <v>1063</v>
      </c>
      <c r="J63" s="230" t="s">
        <v>1412</v>
      </c>
      <c r="K63" s="233" t="s">
        <v>1413</v>
      </c>
      <c r="L63" s="193"/>
      <c r="M63" s="193"/>
      <c r="N63" s="232" t="s">
        <v>214</v>
      </c>
      <c r="O63" s="234"/>
      <c r="P63" s="234"/>
      <c r="Q63" s="235" t="s">
        <v>1414</v>
      </c>
      <c r="R63" s="230" t="s">
        <v>90</v>
      </c>
      <c r="S63" s="234"/>
      <c r="T63" s="234"/>
      <c r="U63" s="234"/>
      <c r="V63" s="234"/>
      <c r="W63" s="234"/>
      <c r="X63" s="234"/>
      <c r="Y63" s="234"/>
      <c r="Z63" s="234"/>
      <c r="AA63" s="235"/>
      <c r="AB63" s="235"/>
      <c r="AC63" s="235"/>
      <c r="AD63" s="236"/>
      <c r="AE63" s="231"/>
      <c r="AF63" s="231"/>
      <c r="AG63" s="231"/>
      <c r="AH63" s="234"/>
      <c r="AI63" s="235"/>
      <c r="AJ63" s="241"/>
      <c r="AK63" s="235"/>
      <c r="AL63" s="235"/>
      <c r="AM63" s="226"/>
      <c r="AN63" s="226"/>
      <c r="AO63" s="234"/>
      <c r="AP63" s="237"/>
      <c r="AQ63" s="237"/>
      <c r="AR63" s="237"/>
      <c r="AS63" s="231"/>
      <c r="AT63" s="237"/>
      <c r="AU63" s="237"/>
      <c r="AV63" s="236"/>
      <c r="AW63" s="235"/>
      <c r="AX63" s="234"/>
      <c r="AY63" s="231"/>
      <c r="AZ63" s="231"/>
      <c r="BA63" s="231"/>
      <c r="BB63" s="239"/>
      <c r="BC63" s="231"/>
      <c r="BD63" s="240"/>
      <c r="BE63" s="238"/>
      <c r="BF63" s="238"/>
      <c r="BG63" s="238"/>
      <c r="BH63" s="238"/>
      <c r="BI63" s="238"/>
      <c r="BJ63" s="238"/>
      <c r="BK63" s="231"/>
      <c r="BL63" s="236"/>
      <c r="BM63" s="226"/>
      <c r="BN63" s="240"/>
      <c r="BO63" s="234"/>
      <c r="BP63" s="235"/>
      <c r="BQ63" s="242" t="s">
        <v>1415</v>
      </c>
      <c r="BR63" s="227" t="s">
        <v>107</v>
      </c>
      <c r="BS63" s="193"/>
      <c r="BT63" s="193"/>
    </row>
    <row r="64" spans="1:72" ht="17.25" hidden="1" customHeight="1">
      <c r="A64" s="130" t="s">
        <v>1416</v>
      </c>
      <c r="B64" s="130"/>
      <c r="C64" s="133" t="s">
        <v>1417</v>
      </c>
      <c r="D64" s="131">
        <v>2022</v>
      </c>
      <c r="E64" s="133" t="s">
        <v>1418</v>
      </c>
      <c r="F64" s="173" t="s">
        <v>1419</v>
      </c>
      <c r="G64" s="175"/>
      <c r="H64" s="175"/>
      <c r="I64" s="135"/>
      <c r="J64" s="174" t="s">
        <v>1420</v>
      </c>
      <c r="K64" s="176" t="s">
        <v>1421</v>
      </c>
      <c r="L64" s="133" t="s">
        <v>1111</v>
      </c>
      <c r="M64" s="133"/>
      <c r="N64" s="175" t="s">
        <v>214</v>
      </c>
      <c r="O64" s="138"/>
      <c r="P64" s="138"/>
      <c r="Q64" s="139" t="s">
        <v>1422</v>
      </c>
      <c r="R64" s="174"/>
      <c r="S64" s="138"/>
      <c r="T64" s="138"/>
      <c r="U64" s="138"/>
      <c r="V64" s="138"/>
      <c r="W64" s="138"/>
      <c r="X64" s="138"/>
      <c r="Y64" s="138"/>
      <c r="Z64" s="138"/>
      <c r="AA64" s="142"/>
      <c r="AB64" s="142"/>
      <c r="AC64" s="142"/>
      <c r="AD64" s="140"/>
      <c r="AE64" s="135"/>
      <c r="AF64" s="135"/>
      <c r="AG64" s="135"/>
      <c r="AH64" s="138"/>
      <c r="AI64" s="142"/>
      <c r="AJ64" s="150"/>
      <c r="AK64" s="142"/>
      <c r="AL64" s="142"/>
      <c r="AM64" s="129"/>
      <c r="AN64" s="129"/>
      <c r="AO64" s="138"/>
      <c r="AP64" s="143"/>
      <c r="AQ64" s="143"/>
      <c r="AR64" s="143"/>
      <c r="AS64" s="135"/>
      <c r="AT64" s="143"/>
      <c r="AU64" s="143"/>
      <c r="AV64" s="140"/>
      <c r="AW64" s="142"/>
      <c r="AX64" s="138"/>
      <c r="AY64" s="135"/>
      <c r="AZ64" s="135"/>
      <c r="BA64" s="135"/>
      <c r="BB64" s="147"/>
      <c r="BC64" s="135"/>
      <c r="BD64" s="148"/>
      <c r="BE64" s="146"/>
      <c r="BF64" s="146"/>
      <c r="BG64" s="146"/>
      <c r="BH64" s="146"/>
      <c r="BI64" s="146"/>
      <c r="BJ64" s="146"/>
      <c r="BK64" s="135"/>
      <c r="BL64" s="140"/>
      <c r="BM64" s="129"/>
      <c r="BN64" s="148"/>
      <c r="BO64" s="138"/>
      <c r="BP64" s="139" t="s">
        <v>1423</v>
      </c>
      <c r="BQ64" s="149" t="s">
        <v>1424</v>
      </c>
      <c r="BR64" s="129" t="s">
        <v>107</v>
      </c>
      <c r="BS64" s="143" t="s">
        <v>1267</v>
      </c>
      <c r="BT64" s="143"/>
    </row>
    <row r="65" spans="1:72" s="338" customFormat="1" ht="17.25" customHeight="1">
      <c r="A65" s="329" t="s">
        <v>1425</v>
      </c>
      <c r="B65" s="329"/>
      <c r="C65" s="329" t="s">
        <v>1426</v>
      </c>
      <c r="D65" s="340">
        <v>2022</v>
      </c>
      <c r="E65" s="329" t="s">
        <v>1427</v>
      </c>
      <c r="F65" s="357" t="s">
        <v>1428</v>
      </c>
      <c r="G65" s="329" t="s">
        <v>1429</v>
      </c>
      <c r="H65" s="329"/>
      <c r="I65" s="329" t="s">
        <v>351</v>
      </c>
      <c r="J65" s="329" t="s">
        <v>1430</v>
      </c>
      <c r="K65" s="329" t="s">
        <v>1431</v>
      </c>
      <c r="L65" s="329" t="s">
        <v>85</v>
      </c>
      <c r="M65" s="329" t="s">
        <v>1432</v>
      </c>
      <c r="N65" s="329" t="s">
        <v>214</v>
      </c>
      <c r="O65" s="329" t="s">
        <v>1433</v>
      </c>
      <c r="P65" s="329" t="s">
        <v>1434</v>
      </c>
      <c r="Q65" s="329" t="s">
        <v>1435</v>
      </c>
      <c r="R65" s="332" t="s">
        <v>90</v>
      </c>
      <c r="S65" s="329" t="s">
        <v>1436</v>
      </c>
      <c r="T65" s="329" t="s">
        <v>959</v>
      </c>
      <c r="U65" s="329" t="s">
        <v>1437</v>
      </c>
      <c r="V65" s="329" t="s">
        <v>1438</v>
      </c>
      <c r="W65" s="329" t="s">
        <v>1439</v>
      </c>
      <c r="X65" s="329"/>
      <c r="Y65" s="329"/>
      <c r="Z65" s="329" t="s">
        <v>1440</v>
      </c>
      <c r="AA65" s="329" t="s">
        <v>612</v>
      </c>
      <c r="AB65" s="329" t="s">
        <v>1441</v>
      </c>
      <c r="AC65" s="329" t="s">
        <v>1442</v>
      </c>
      <c r="AD65" s="329" t="s">
        <v>1443</v>
      </c>
      <c r="AE65" s="329" t="s">
        <v>1382</v>
      </c>
      <c r="AF65" s="329" t="s">
        <v>1382</v>
      </c>
      <c r="AG65" s="329" t="s">
        <v>688</v>
      </c>
      <c r="AH65" s="329" t="s">
        <v>538</v>
      </c>
      <c r="AI65" s="374" t="s">
        <v>1444</v>
      </c>
      <c r="AJ65" s="403" t="s">
        <v>1445</v>
      </c>
      <c r="AK65" s="374" t="s">
        <v>1446</v>
      </c>
      <c r="AL65" s="329"/>
      <c r="AM65" s="329" t="s">
        <v>138</v>
      </c>
      <c r="AN65" s="329" t="s">
        <v>137</v>
      </c>
      <c r="AO65" s="329" t="s">
        <v>1447</v>
      </c>
      <c r="AP65" s="329" t="s">
        <v>139</v>
      </c>
      <c r="AQ65" s="329" t="s">
        <v>540</v>
      </c>
      <c r="AR65" s="329" t="s">
        <v>145</v>
      </c>
      <c r="AS65" s="329" t="s">
        <v>98</v>
      </c>
      <c r="AT65" s="329" t="s">
        <v>1448</v>
      </c>
      <c r="AU65" s="329" t="s">
        <v>1449</v>
      </c>
      <c r="AV65" s="329" t="s">
        <v>179</v>
      </c>
      <c r="AW65" s="329" t="s">
        <v>288</v>
      </c>
      <c r="AX65" s="329" t="s">
        <v>336</v>
      </c>
      <c r="AY65" s="329" t="s">
        <v>337</v>
      </c>
      <c r="AZ65" s="329" t="s">
        <v>1450</v>
      </c>
      <c r="BA65" s="329" t="s">
        <v>101</v>
      </c>
      <c r="BB65" s="329" t="s">
        <v>1451</v>
      </c>
      <c r="BC65" s="329" t="s">
        <v>1452</v>
      </c>
      <c r="BD65" s="329" t="s">
        <v>1453</v>
      </c>
      <c r="BE65" s="329" t="s">
        <v>1454</v>
      </c>
      <c r="BF65" s="329" t="s">
        <v>1455</v>
      </c>
      <c r="BG65" s="329" t="s">
        <v>1456</v>
      </c>
      <c r="BH65" s="329" t="s">
        <v>1457</v>
      </c>
      <c r="BI65" s="329" t="s">
        <v>4240</v>
      </c>
      <c r="BJ65" s="329" t="s">
        <v>1393</v>
      </c>
      <c r="BK65" s="329" t="s">
        <v>341</v>
      </c>
      <c r="BL65" s="329" t="s">
        <v>342</v>
      </c>
      <c r="BM65" s="329" t="s">
        <v>137</v>
      </c>
      <c r="BN65" s="329" t="s">
        <v>1458</v>
      </c>
      <c r="BO65" s="329" t="s">
        <v>1459</v>
      </c>
      <c r="BP65" s="329" t="s">
        <v>1460</v>
      </c>
      <c r="BQ65" s="329" t="s">
        <v>1461</v>
      </c>
      <c r="BR65" s="329" t="s">
        <v>201</v>
      </c>
      <c r="BS65" s="347"/>
      <c r="BT65" s="347"/>
    </row>
    <row r="66" spans="1:72" s="338" customFormat="1" ht="17.25" customHeight="1">
      <c r="A66" s="329" t="s">
        <v>1462</v>
      </c>
      <c r="B66" s="329"/>
      <c r="C66" s="329" t="s">
        <v>1463</v>
      </c>
      <c r="D66" s="340">
        <v>2022</v>
      </c>
      <c r="E66" s="329" t="s">
        <v>1464</v>
      </c>
      <c r="F66" s="359" t="s">
        <v>1465</v>
      </c>
      <c r="G66" s="329" t="s">
        <v>1466</v>
      </c>
      <c r="H66" s="329"/>
      <c r="I66" s="329" t="s">
        <v>1467</v>
      </c>
      <c r="J66" s="329" t="s">
        <v>1468</v>
      </c>
      <c r="K66" s="332" t="s">
        <v>1469</v>
      </c>
      <c r="L66" s="329" t="s">
        <v>267</v>
      </c>
      <c r="M66" s="329" t="s">
        <v>1470</v>
      </c>
      <c r="N66" s="329" t="s">
        <v>312</v>
      </c>
      <c r="O66" s="329" t="s">
        <v>1471</v>
      </c>
      <c r="P66" s="329" t="s">
        <v>1472</v>
      </c>
      <c r="Q66" s="329" t="s">
        <v>1473</v>
      </c>
      <c r="R66" s="332" t="s">
        <v>90</v>
      </c>
      <c r="S66" s="329" t="s">
        <v>1474</v>
      </c>
      <c r="T66" s="329" t="s">
        <v>1475</v>
      </c>
      <c r="U66" s="329" t="s">
        <v>124</v>
      </c>
      <c r="V66" s="329" t="s">
        <v>1476</v>
      </c>
      <c r="W66" s="332" t="s">
        <v>1477</v>
      </c>
      <c r="X66" s="332"/>
      <c r="Y66" s="329"/>
      <c r="Z66" s="332" t="s">
        <v>1478</v>
      </c>
      <c r="AA66" s="329" t="s">
        <v>130</v>
      </c>
      <c r="AB66" s="329" t="s">
        <v>1479</v>
      </c>
      <c r="AC66" s="329" t="s">
        <v>1480</v>
      </c>
      <c r="AD66" s="329" t="s">
        <v>1481</v>
      </c>
      <c r="AE66" s="329" t="s">
        <v>1482</v>
      </c>
      <c r="AF66" s="329" t="s">
        <v>1483</v>
      </c>
      <c r="AG66" s="329" t="s">
        <v>1484</v>
      </c>
      <c r="AH66" s="329" t="s">
        <v>1485</v>
      </c>
      <c r="AI66" s="374"/>
      <c r="AJ66" s="405" t="s">
        <v>1486</v>
      </c>
      <c r="AK66" s="374"/>
      <c r="AL66" s="329" t="s">
        <v>1487</v>
      </c>
      <c r="AM66" s="329" t="s">
        <v>137</v>
      </c>
      <c r="AN66" s="329" t="s">
        <v>137</v>
      </c>
      <c r="AO66" s="329" t="s">
        <v>1488</v>
      </c>
      <c r="AP66" s="329" t="s">
        <v>139</v>
      </c>
      <c r="AQ66" s="329" t="s">
        <v>140</v>
      </c>
      <c r="AR66" s="329" t="s">
        <v>141</v>
      </c>
      <c r="AS66" s="329" t="s">
        <v>372</v>
      </c>
      <c r="AT66" s="329" t="s">
        <v>1489</v>
      </c>
      <c r="AU66" s="329" t="s">
        <v>1490</v>
      </c>
      <c r="AV66" s="329" t="s">
        <v>179</v>
      </c>
      <c r="AW66" s="329" t="s">
        <v>246</v>
      </c>
      <c r="AX66" s="329" t="s">
        <v>336</v>
      </c>
      <c r="AY66" s="329" t="s">
        <v>1491</v>
      </c>
      <c r="AZ66" s="329" t="s">
        <v>1492</v>
      </c>
      <c r="BA66" s="329" t="s">
        <v>1493</v>
      </c>
      <c r="BB66" s="329" t="s">
        <v>1494</v>
      </c>
      <c r="BC66" s="329" t="s">
        <v>1495</v>
      </c>
      <c r="BD66" s="329"/>
      <c r="BE66" s="329" t="s">
        <v>1496</v>
      </c>
      <c r="BF66" s="329" t="s">
        <v>1324</v>
      </c>
      <c r="BG66" s="329" t="s">
        <v>1497</v>
      </c>
      <c r="BH66" s="329" t="s">
        <v>1498</v>
      </c>
      <c r="BI66" s="329">
        <v>5</v>
      </c>
      <c r="BJ66" s="329"/>
      <c r="BK66" s="329" t="s">
        <v>1499</v>
      </c>
      <c r="BL66" s="329" t="s">
        <v>1500</v>
      </c>
      <c r="BM66" s="329" t="s">
        <v>137</v>
      </c>
      <c r="BN66" s="329" t="s">
        <v>1501</v>
      </c>
      <c r="BO66" s="329" t="s">
        <v>1502</v>
      </c>
      <c r="BP66" s="329" t="s">
        <v>1503</v>
      </c>
      <c r="BQ66" s="329"/>
      <c r="BR66" s="329" t="s">
        <v>201</v>
      </c>
      <c r="BS66" s="329"/>
      <c r="BT66" s="329"/>
    </row>
    <row r="67" spans="1:72" ht="17.25" hidden="1" customHeight="1">
      <c r="A67" s="46" t="s">
        <v>1504</v>
      </c>
      <c r="B67" s="46"/>
      <c r="C67" s="45" t="s">
        <v>1505</v>
      </c>
      <c r="D67" s="47">
        <v>2022</v>
      </c>
      <c r="E67" s="45" t="s">
        <v>1506</v>
      </c>
      <c r="F67" s="220" t="s">
        <v>1507</v>
      </c>
      <c r="G67" s="206" t="s">
        <v>1508</v>
      </c>
      <c r="H67" s="206"/>
      <c r="I67" s="51"/>
      <c r="J67" s="205" t="s">
        <v>1509</v>
      </c>
      <c r="K67" s="52"/>
      <c r="L67" s="45"/>
      <c r="M67" s="45"/>
      <c r="N67" s="51"/>
      <c r="O67" s="53"/>
      <c r="P67" s="53"/>
      <c r="Q67" s="54"/>
      <c r="R67" s="50"/>
      <c r="S67" s="53"/>
      <c r="T67" s="53"/>
      <c r="U67" s="53"/>
      <c r="V67" s="53"/>
      <c r="W67" s="53"/>
      <c r="X67" s="54"/>
      <c r="Y67" s="53"/>
      <c r="Z67" s="53"/>
      <c r="AA67" s="54"/>
      <c r="AB67" s="54"/>
      <c r="AC67" s="54"/>
      <c r="AD67" s="50"/>
      <c r="AE67" s="51"/>
      <c r="AF67" s="51"/>
      <c r="AG67" s="51"/>
      <c r="AH67" s="53"/>
      <c r="AI67" s="54"/>
      <c r="AJ67" s="56"/>
      <c r="AK67" s="54"/>
      <c r="AL67" s="54"/>
      <c r="AM67" s="45"/>
      <c r="AN67" s="45"/>
      <c r="AO67" s="53"/>
      <c r="AP67" s="55"/>
      <c r="AQ67" s="55"/>
      <c r="AR67" s="55"/>
      <c r="AS67" s="51"/>
      <c r="AT67" s="55"/>
      <c r="AU67" s="55"/>
      <c r="AV67" s="50"/>
      <c r="AW67" s="54"/>
      <c r="AX67" s="53"/>
      <c r="AY67" s="51"/>
      <c r="AZ67" s="51"/>
      <c r="BA67" s="51"/>
      <c r="BB67" s="58"/>
      <c r="BC67" s="51"/>
      <c r="BD67" s="59"/>
      <c r="BE67" s="57"/>
      <c r="BF67" s="57"/>
      <c r="BG67" s="57"/>
      <c r="BH67" s="57"/>
      <c r="BI67" s="57"/>
      <c r="BJ67" s="57"/>
      <c r="BK67" s="51"/>
      <c r="BL67" s="50"/>
      <c r="BM67" s="45"/>
      <c r="BN67" s="59"/>
      <c r="BO67" s="53"/>
      <c r="BP67" s="54"/>
      <c r="BQ67" s="56" t="s">
        <v>1510</v>
      </c>
      <c r="BR67" s="45" t="s">
        <v>107</v>
      </c>
      <c r="BS67" s="22"/>
      <c r="BT67" s="22"/>
    </row>
    <row r="68" spans="1:72" ht="17.25" hidden="1" customHeight="1">
      <c r="A68" s="130" t="s">
        <v>1511</v>
      </c>
      <c r="B68" s="130"/>
      <c r="C68" s="129" t="s">
        <v>1512</v>
      </c>
      <c r="D68" s="131">
        <v>2022</v>
      </c>
      <c r="E68" s="129" t="s">
        <v>1513</v>
      </c>
      <c r="F68" s="132" t="s">
        <v>1514</v>
      </c>
      <c r="G68" s="136" t="s">
        <v>1515</v>
      </c>
      <c r="H68" s="136"/>
      <c r="I68" s="135" t="s">
        <v>112</v>
      </c>
      <c r="J68" s="134" t="s">
        <v>1516</v>
      </c>
      <c r="K68" s="137" t="s">
        <v>1517</v>
      </c>
      <c r="L68" s="129" t="s">
        <v>844</v>
      </c>
      <c r="M68" s="129" t="s">
        <v>1518</v>
      </c>
      <c r="N68" s="135" t="s">
        <v>312</v>
      </c>
      <c r="O68" s="138" t="s">
        <v>1519</v>
      </c>
      <c r="P68" s="138" t="s">
        <v>1520</v>
      </c>
      <c r="Q68" s="139" t="s">
        <v>1521</v>
      </c>
      <c r="R68" s="140" t="s">
        <v>90</v>
      </c>
      <c r="S68" s="138" t="s">
        <v>1522</v>
      </c>
      <c r="T68" s="138" t="s">
        <v>1523</v>
      </c>
      <c r="U68" s="138" t="s">
        <v>1524</v>
      </c>
      <c r="V68" s="138" t="s">
        <v>1525</v>
      </c>
      <c r="W68" s="138" t="s">
        <v>1526</v>
      </c>
      <c r="X68" s="138"/>
      <c r="Y68" s="138"/>
      <c r="Z68" s="139" t="s">
        <v>1527</v>
      </c>
      <c r="AA68" s="142" t="s">
        <v>475</v>
      </c>
      <c r="AB68" s="142"/>
      <c r="AC68" s="142" t="s">
        <v>1528</v>
      </c>
      <c r="AD68" s="140" t="s">
        <v>1529</v>
      </c>
      <c r="AE68" s="135" t="s">
        <v>1530</v>
      </c>
      <c r="AF68" s="135"/>
      <c r="AG68" s="135"/>
      <c r="AH68" s="138" t="s">
        <v>183</v>
      </c>
      <c r="AI68" s="142"/>
      <c r="AJ68" s="149" t="s">
        <v>1531</v>
      </c>
      <c r="AK68" s="142"/>
      <c r="AL68" s="142"/>
      <c r="AM68" s="129" t="s">
        <v>137</v>
      </c>
      <c r="AN68" s="129" t="s">
        <v>138</v>
      </c>
      <c r="AO68" s="138" t="s">
        <v>1532</v>
      </c>
      <c r="AP68" s="143" t="s">
        <v>139</v>
      </c>
      <c r="AQ68" s="143" t="s">
        <v>140</v>
      </c>
      <c r="AR68" s="143" t="s">
        <v>185</v>
      </c>
      <c r="AS68" s="135" t="s">
        <v>98</v>
      </c>
      <c r="AT68" s="143"/>
      <c r="AU68" s="143"/>
      <c r="AV68" s="144" t="s">
        <v>287</v>
      </c>
      <c r="AW68" s="142" t="s">
        <v>288</v>
      </c>
      <c r="AX68" s="138" t="s">
        <v>336</v>
      </c>
      <c r="AY68" s="25" t="s">
        <v>337</v>
      </c>
      <c r="AZ68" s="135" t="s">
        <v>101</v>
      </c>
      <c r="BA68" s="135" t="s">
        <v>101</v>
      </c>
      <c r="BB68" s="147">
        <v>225</v>
      </c>
      <c r="BC68" s="135" t="s">
        <v>1533</v>
      </c>
      <c r="BD68" s="148" t="s">
        <v>1534</v>
      </c>
      <c r="BE68" s="146" t="s">
        <v>1535</v>
      </c>
      <c r="BF68" s="146" t="s">
        <v>380</v>
      </c>
      <c r="BG68" s="145" t="s">
        <v>1536</v>
      </c>
      <c r="BH68" s="146" t="s">
        <v>1537</v>
      </c>
      <c r="BI68" s="177">
        <v>15</v>
      </c>
      <c r="BJ68" s="146" t="s">
        <v>547</v>
      </c>
      <c r="BK68" s="135" t="s">
        <v>341</v>
      </c>
      <c r="BL68" s="140" t="s">
        <v>1538</v>
      </c>
      <c r="BM68" s="129"/>
      <c r="BN68" s="148" t="s">
        <v>1539</v>
      </c>
      <c r="BO68" s="138" t="s">
        <v>1540</v>
      </c>
      <c r="BP68" s="142" t="s">
        <v>1541</v>
      </c>
      <c r="BQ68" s="150" t="s">
        <v>1542</v>
      </c>
      <c r="BR68" s="129" t="s">
        <v>497</v>
      </c>
      <c r="BS68" s="43"/>
      <c r="BT68" s="43"/>
    </row>
    <row r="69" spans="1:72" s="338" customFormat="1" ht="17.25" customHeight="1">
      <c r="A69" s="329" t="s">
        <v>1543</v>
      </c>
      <c r="B69" s="329"/>
      <c r="C69" s="329" t="s">
        <v>1544</v>
      </c>
      <c r="D69" s="340">
        <v>2023</v>
      </c>
      <c r="E69" s="329" t="s">
        <v>1545</v>
      </c>
      <c r="F69" s="357" t="s">
        <v>1546</v>
      </c>
      <c r="G69" s="357" t="s">
        <v>1546</v>
      </c>
      <c r="H69" s="329"/>
      <c r="I69" s="329" t="s">
        <v>1547</v>
      </c>
      <c r="J69" s="329" t="s">
        <v>1548</v>
      </c>
      <c r="K69" s="329" t="s">
        <v>1549</v>
      </c>
      <c r="L69" s="329" t="s">
        <v>530</v>
      </c>
      <c r="M69" s="329" t="s">
        <v>1550</v>
      </c>
      <c r="N69" s="329" t="s">
        <v>214</v>
      </c>
      <c r="O69" s="329" t="s">
        <v>1551</v>
      </c>
      <c r="P69" s="329" t="s">
        <v>1552</v>
      </c>
      <c r="Q69" s="362" t="s">
        <v>1553</v>
      </c>
      <c r="R69" s="329" t="s">
        <v>90</v>
      </c>
      <c r="S69" s="351" t="s">
        <v>1554</v>
      </c>
      <c r="T69" s="336" t="s">
        <v>1555</v>
      </c>
      <c r="U69" s="329" t="s">
        <v>1556</v>
      </c>
      <c r="V69" s="329" t="s">
        <v>124</v>
      </c>
      <c r="W69" s="332" t="s">
        <v>124</v>
      </c>
      <c r="X69" s="329"/>
      <c r="Y69" s="329"/>
      <c r="Z69" s="329" t="s">
        <v>1557</v>
      </c>
      <c r="AA69" s="329" t="s">
        <v>1558</v>
      </c>
      <c r="AB69" s="329" t="s">
        <v>1559</v>
      </c>
      <c r="AC69" s="329" t="s">
        <v>1560</v>
      </c>
      <c r="AD69" s="329" t="s">
        <v>180</v>
      </c>
      <c r="AE69" s="329" t="s">
        <v>1561</v>
      </c>
      <c r="AF69" s="329" t="s">
        <v>328</v>
      </c>
      <c r="AG69" s="328" t="s">
        <v>282</v>
      </c>
      <c r="AH69" s="329" t="s">
        <v>1562</v>
      </c>
      <c r="AI69" s="374"/>
      <c r="AJ69" s="403" t="s">
        <v>1563</v>
      </c>
      <c r="AK69" s="374"/>
      <c r="AL69" s="329" t="s">
        <v>1564</v>
      </c>
      <c r="AM69" s="329" t="s">
        <v>138</v>
      </c>
      <c r="AN69" s="329" t="s">
        <v>138</v>
      </c>
      <c r="AO69" s="329"/>
      <c r="AP69" s="329" t="s">
        <v>139</v>
      </c>
      <c r="AQ69" s="329" t="s">
        <v>690</v>
      </c>
      <c r="AR69" s="329" t="s">
        <v>584</v>
      </c>
      <c r="AS69" s="329" t="s">
        <v>98</v>
      </c>
      <c r="AT69" s="329" t="s">
        <v>1565</v>
      </c>
      <c r="AU69" s="329"/>
      <c r="AV69" s="329" t="s">
        <v>179</v>
      </c>
      <c r="AW69" s="329" t="s">
        <v>542</v>
      </c>
      <c r="AX69" s="329" t="s">
        <v>1566</v>
      </c>
      <c r="AY69" s="329" t="s">
        <v>337</v>
      </c>
      <c r="AZ69" s="329" t="s">
        <v>1567</v>
      </c>
      <c r="BA69" s="329" t="s">
        <v>101</v>
      </c>
      <c r="BB69" s="329" t="s">
        <v>1568</v>
      </c>
      <c r="BC69" s="329" t="s">
        <v>1569</v>
      </c>
      <c r="BD69" s="329" t="s">
        <v>1570</v>
      </c>
      <c r="BE69" s="329" t="s">
        <v>1571</v>
      </c>
      <c r="BF69" s="329" t="s">
        <v>193</v>
      </c>
      <c r="BG69" s="329" t="s">
        <v>1572</v>
      </c>
      <c r="BH69" s="356" t="s">
        <v>1573</v>
      </c>
      <c r="BI69" s="329">
        <v>41</v>
      </c>
      <c r="BJ69" s="329" t="s">
        <v>1574</v>
      </c>
      <c r="BK69" s="329" t="s">
        <v>976</v>
      </c>
      <c r="BL69" s="329" t="s">
        <v>1575</v>
      </c>
      <c r="BM69" s="329" t="s">
        <v>137</v>
      </c>
      <c r="BN69" s="329" t="s">
        <v>1576</v>
      </c>
      <c r="BO69" s="329" t="s">
        <v>1577</v>
      </c>
      <c r="BP69" s="329" t="s">
        <v>1578</v>
      </c>
      <c r="BQ69" s="329"/>
      <c r="BR69" s="329" t="s">
        <v>201</v>
      </c>
      <c r="BS69" s="329"/>
      <c r="BT69" s="329"/>
    </row>
    <row r="70" spans="1:72" s="338" customFormat="1" ht="17.25" customHeight="1">
      <c r="A70" s="329" t="s">
        <v>1579</v>
      </c>
      <c r="B70" s="329"/>
      <c r="C70" s="329" t="s">
        <v>1580</v>
      </c>
      <c r="D70" s="340">
        <v>2023</v>
      </c>
      <c r="E70" s="329" t="s">
        <v>1581</v>
      </c>
      <c r="F70" s="354" t="str">
        <f>HYPERLINK("http://dx.doi.org/10.1016/j.trip.2023.100829","http://dx.doi.org/10.1016/j.trip.2023.100829")</f>
        <v>http://dx.doi.org/10.1016/j.trip.2023.100829</v>
      </c>
      <c r="G70" s="329" t="s">
        <v>3147</v>
      </c>
      <c r="H70" s="329"/>
      <c r="I70" s="329" t="s">
        <v>790</v>
      </c>
      <c r="J70" s="329" t="s">
        <v>1582</v>
      </c>
      <c r="K70" s="329" t="s">
        <v>1583</v>
      </c>
      <c r="L70" s="329" t="s">
        <v>529</v>
      </c>
      <c r="M70" s="329" t="s">
        <v>724</v>
      </c>
      <c r="N70" s="329" t="s">
        <v>117</v>
      </c>
      <c r="O70" s="329" t="s">
        <v>1584</v>
      </c>
      <c r="P70" s="329" t="s">
        <v>1585</v>
      </c>
      <c r="Q70" s="329" t="s">
        <v>1586</v>
      </c>
      <c r="R70" s="332" t="s">
        <v>90</v>
      </c>
      <c r="S70" s="329" t="s">
        <v>1587</v>
      </c>
      <c r="T70" s="329" t="s">
        <v>1588</v>
      </c>
      <c r="U70" s="329" t="s">
        <v>1589</v>
      </c>
      <c r="V70" s="329" t="s">
        <v>1211</v>
      </c>
      <c r="W70" s="329" t="s">
        <v>1212</v>
      </c>
      <c r="X70" s="332" t="s">
        <v>1590</v>
      </c>
      <c r="Y70" s="329"/>
      <c r="Z70" s="332" t="s">
        <v>1591</v>
      </c>
      <c r="AA70" s="328" t="s">
        <v>177</v>
      </c>
      <c r="AB70" s="329" t="s">
        <v>1592</v>
      </c>
      <c r="AC70" s="329" t="s">
        <v>1592</v>
      </c>
      <c r="AD70" s="329" t="s">
        <v>132</v>
      </c>
      <c r="AE70" s="329" t="s">
        <v>1593</v>
      </c>
      <c r="AF70" s="329" t="s">
        <v>1000</v>
      </c>
      <c r="AG70" s="329" t="s">
        <v>282</v>
      </c>
      <c r="AH70" s="329" t="s">
        <v>1594</v>
      </c>
      <c r="AI70" s="375" t="s">
        <v>1595</v>
      </c>
      <c r="AJ70" s="403" t="s">
        <v>1596</v>
      </c>
      <c r="AK70" s="374" t="s">
        <v>1597</v>
      </c>
      <c r="AL70" s="329"/>
      <c r="AM70" s="329" t="s">
        <v>138</v>
      </c>
      <c r="AN70" s="329" t="s">
        <v>138</v>
      </c>
      <c r="AO70" s="329" t="s">
        <v>1598</v>
      </c>
      <c r="AP70" s="329" t="s">
        <v>139</v>
      </c>
      <c r="AQ70" s="329" t="s">
        <v>140</v>
      </c>
      <c r="AR70" s="329" t="s">
        <v>141</v>
      </c>
      <c r="AS70" s="329" t="s">
        <v>98</v>
      </c>
      <c r="AT70" s="329" t="s">
        <v>1599</v>
      </c>
      <c r="AU70" s="329"/>
      <c r="AV70" s="329" t="s">
        <v>287</v>
      </c>
      <c r="AW70" s="329" t="s">
        <v>288</v>
      </c>
      <c r="AX70" s="329" t="s">
        <v>179</v>
      </c>
      <c r="AY70" s="329" t="s">
        <v>936</v>
      </c>
      <c r="AZ70" s="329" t="s">
        <v>1600</v>
      </c>
      <c r="BA70" s="329" t="s">
        <v>101</v>
      </c>
      <c r="BB70" s="329" t="s">
        <v>1601</v>
      </c>
      <c r="BC70" s="329" t="s">
        <v>1602</v>
      </c>
      <c r="BD70" s="329" t="s">
        <v>1603</v>
      </c>
      <c r="BE70" s="329" t="s">
        <v>1604</v>
      </c>
      <c r="BF70" s="329" t="s">
        <v>1605</v>
      </c>
      <c r="BG70" s="329" t="s">
        <v>1606</v>
      </c>
      <c r="BH70" s="329" t="s">
        <v>1607</v>
      </c>
      <c r="BI70" s="329"/>
      <c r="BJ70" s="329"/>
      <c r="BK70" s="329" t="s">
        <v>1608</v>
      </c>
      <c r="BL70" s="329" t="s">
        <v>342</v>
      </c>
      <c r="BM70" s="329" t="s">
        <v>137</v>
      </c>
      <c r="BN70" s="329" t="s">
        <v>1609</v>
      </c>
      <c r="BO70" s="329" t="s">
        <v>1610</v>
      </c>
      <c r="BP70" s="329" t="s">
        <v>1611</v>
      </c>
      <c r="BQ70" s="329" t="s">
        <v>1612</v>
      </c>
      <c r="BR70" s="329" t="s">
        <v>201</v>
      </c>
      <c r="BS70" s="329"/>
      <c r="BT70" s="329"/>
    </row>
    <row r="71" spans="1:72" s="338" customFormat="1" ht="17.25" customHeight="1">
      <c r="A71" s="329" t="s">
        <v>1613</v>
      </c>
      <c r="B71" s="329"/>
      <c r="C71" s="329" t="s">
        <v>1614</v>
      </c>
      <c r="D71" s="340">
        <v>2023</v>
      </c>
      <c r="E71" s="329" t="s">
        <v>1615</v>
      </c>
      <c r="F71" s="354" t="str">
        <f>HYPERLINK("http://dx.doi.org/10.1057/s41599-023-02459-3","http://dx.doi.org/10.1057/s41599-023-02459-3")</f>
        <v>http://dx.doi.org/10.1057/s41599-023-02459-3</v>
      </c>
      <c r="G71" s="329" t="s">
        <v>4222</v>
      </c>
      <c r="H71" s="329"/>
      <c r="I71" s="329" t="s">
        <v>112</v>
      </c>
      <c r="J71" s="329" t="s">
        <v>1616</v>
      </c>
      <c r="K71" s="329" t="s">
        <v>1617</v>
      </c>
      <c r="L71" s="329" t="s">
        <v>267</v>
      </c>
      <c r="M71" s="329" t="s">
        <v>1618</v>
      </c>
      <c r="N71" s="329" t="s">
        <v>355</v>
      </c>
      <c r="O71" s="329" t="s">
        <v>1619</v>
      </c>
      <c r="P71" s="329" t="s">
        <v>1620</v>
      </c>
      <c r="Q71" s="362" t="s">
        <v>1621</v>
      </c>
      <c r="R71" s="332" t="s">
        <v>90</v>
      </c>
      <c r="S71" s="329" t="s">
        <v>1622</v>
      </c>
      <c r="T71" s="329" t="s">
        <v>1623</v>
      </c>
      <c r="U71" s="329" t="s">
        <v>124</v>
      </c>
      <c r="V71" s="329" t="s">
        <v>1624</v>
      </c>
      <c r="W71" s="332" t="s">
        <v>1625</v>
      </c>
      <c r="X71" s="332" t="s">
        <v>1626</v>
      </c>
      <c r="Y71" s="329"/>
      <c r="Z71" s="332" t="s">
        <v>1627</v>
      </c>
      <c r="AA71" s="329" t="s">
        <v>177</v>
      </c>
      <c r="AB71" s="329" t="s">
        <v>1628</v>
      </c>
      <c r="AC71" s="329" t="s">
        <v>1629</v>
      </c>
      <c r="AD71" s="329" t="s">
        <v>180</v>
      </c>
      <c r="AE71" s="329" t="s">
        <v>1630</v>
      </c>
      <c r="AF71" s="329" t="s">
        <v>328</v>
      </c>
      <c r="AG71" s="329" t="s">
        <v>134</v>
      </c>
      <c r="AH71" s="329" t="s">
        <v>134</v>
      </c>
      <c r="AI71" s="374"/>
      <c r="AJ71" s="405" t="s">
        <v>1631</v>
      </c>
      <c r="AK71" s="374"/>
      <c r="AL71" s="329" t="s">
        <v>1632</v>
      </c>
      <c r="AM71" s="329" t="s">
        <v>137</v>
      </c>
      <c r="AN71" s="329" t="s">
        <v>138</v>
      </c>
      <c r="AO71" s="329" t="s">
        <v>1633</v>
      </c>
      <c r="AP71" s="329" t="s">
        <v>139</v>
      </c>
      <c r="AQ71" s="329" t="s">
        <v>140</v>
      </c>
      <c r="AR71" s="329" t="s">
        <v>141</v>
      </c>
      <c r="AS71" s="329" t="s">
        <v>1634</v>
      </c>
      <c r="AT71" s="329" t="s">
        <v>1635</v>
      </c>
      <c r="AU71" s="329"/>
      <c r="AV71" s="329" t="s">
        <v>179</v>
      </c>
      <c r="AW71" s="329" t="s">
        <v>1636</v>
      </c>
      <c r="AX71" s="329" t="s">
        <v>336</v>
      </c>
      <c r="AY71" s="329" t="s">
        <v>189</v>
      </c>
      <c r="AZ71" s="329" t="s">
        <v>101</v>
      </c>
      <c r="BA71" s="329" t="s">
        <v>1637</v>
      </c>
      <c r="BB71" s="329" t="s">
        <v>1638</v>
      </c>
      <c r="BC71" s="329"/>
      <c r="BD71" s="329" t="s">
        <v>1639</v>
      </c>
      <c r="BE71" s="329" t="s">
        <v>1640</v>
      </c>
      <c r="BF71" s="329" t="s">
        <v>193</v>
      </c>
      <c r="BG71" s="329" t="s">
        <v>1641</v>
      </c>
      <c r="BH71" s="329" t="s">
        <v>1642</v>
      </c>
      <c r="BI71" s="329"/>
      <c r="BJ71" s="329" t="s">
        <v>195</v>
      </c>
      <c r="BK71" s="329" t="s">
        <v>141</v>
      </c>
      <c r="BL71" s="329" t="s">
        <v>1643</v>
      </c>
      <c r="BM71" s="329" t="s">
        <v>137</v>
      </c>
      <c r="BN71" s="329" t="s">
        <v>1644</v>
      </c>
      <c r="BO71" s="329" t="s">
        <v>1645</v>
      </c>
      <c r="BP71" s="329" t="s">
        <v>1646</v>
      </c>
      <c r="BQ71" s="329" t="s">
        <v>1647</v>
      </c>
      <c r="BR71" s="329" t="s">
        <v>201</v>
      </c>
      <c r="BS71" s="347"/>
      <c r="BT71" s="347"/>
    </row>
    <row r="72" spans="1:72" s="338" customFormat="1" ht="17.25" customHeight="1">
      <c r="A72" s="329" t="s">
        <v>1648</v>
      </c>
      <c r="B72" s="329"/>
      <c r="C72" s="329" t="s">
        <v>1649</v>
      </c>
      <c r="D72" s="340">
        <v>2023</v>
      </c>
      <c r="E72" s="329" t="s">
        <v>1650</v>
      </c>
      <c r="F72" s="354" t="str">
        <f>HYPERLINK("http://dx.doi.org/10.1038/s43247-023-00856-9","http://dx.doi.org/10.1038/s43247-023-00856-9")</f>
        <v>http://dx.doi.org/10.1038/s43247-023-00856-9</v>
      </c>
      <c r="G72" s="329" t="s">
        <v>4223</v>
      </c>
      <c r="H72" s="329"/>
      <c r="I72" s="329" t="s">
        <v>112</v>
      </c>
      <c r="J72" s="329" t="s">
        <v>1651</v>
      </c>
      <c r="K72" s="329" t="s">
        <v>1652</v>
      </c>
      <c r="L72" s="329" t="s">
        <v>267</v>
      </c>
      <c r="M72" s="329" t="s">
        <v>267</v>
      </c>
      <c r="N72" s="329" t="s">
        <v>1653</v>
      </c>
      <c r="O72" s="329" t="s">
        <v>1654</v>
      </c>
      <c r="P72" s="329" t="s">
        <v>1655</v>
      </c>
      <c r="Q72" s="329" t="s">
        <v>1656</v>
      </c>
      <c r="R72" s="332" t="s">
        <v>90</v>
      </c>
      <c r="S72" s="329" t="s">
        <v>1657</v>
      </c>
      <c r="T72" s="329" t="s">
        <v>1658</v>
      </c>
      <c r="U72" s="329" t="s">
        <v>124</v>
      </c>
      <c r="V72" s="329" t="s">
        <v>1659</v>
      </c>
      <c r="W72" s="329" t="s">
        <v>1212</v>
      </c>
      <c r="X72" s="332"/>
      <c r="Y72" s="329"/>
      <c r="Z72" s="332" t="s">
        <v>1660</v>
      </c>
      <c r="AA72" s="328" t="s">
        <v>177</v>
      </c>
      <c r="AB72" s="329" t="s">
        <v>1661</v>
      </c>
      <c r="AC72" s="329" t="s">
        <v>1662</v>
      </c>
      <c r="AD72" s="329" t="s">
        <v>731</v>
      </c>
      <c r="AE72" s="329" t="s">
        <v>1252</v>
      </c>
      <c r="AF72" s="329" t="s">
        <v>328</v>
      </c>
      <c r="AG72" s="328" t="s">
        <v>282</v>
      </c>
      <c r="AH72" s="329" t="s">
        <v>1562</v>
      </c>
      <c r="AI72" s="374"/>
      <c r="AJ72" s="403" t="s">
        <v>1663</v>
      </c>
      <c r="AK72" s="374"/>
      <c r="AL72" s="329" t="s">
        <v>1664</v>
      </c>
      <c r="AM72" s="329" t="s">
        <v>138</v>
      </c>
      <c r="AN72" s="329" t="s">
        <v>138</v>
      </c>
      <c r="AO72" s="329"/>
      <c r="AP72" s="329" t="s">
        <v>139</v>
      </c>
      <c r="AQ72" s="329" t="s">
        <v>690</v>
      </c>
      <c r="AR72" s="329" t="s">
        <v>584</v>
      </c>
      <c r="AS72" s="329" t="s">
        <v>98</v>
      </c>
      <c r="AT72" s="329"/>
      <c r="AU72" s="329"/>
      <c r="AV72" s="329" t="s">
        <v>287</v>
      </c>
      <c r="AW72" s="329" t="s">
        <v>288</v>
      </c>
      <c r="AX72" s="329" t="s">
        <v>336</v>
      </c>
      <c r="AY72" s="329" t="s">
        <v>337</v>
      </c>
      <c r="AZ72" s="329" t="s">
        <v>101</v>
      </c>
      <c r="BA72" s="329" t="s">
        <v>101</v>
      </c>
      <c r="BB72" s="329">
        <v>671</v>
      </c>
      <c r="BC72" s="329" t="s">
        <v>1665</v>
      </c>
      <c r="BD72" s="329" t="s">
        <v>1666</v>
      </c>
      <c r="BE72" s="329" t="s">
        <v>1667</v>
      </c>
      <c r="BF72" s="329" t="s">
        <v>489</v>
      </c>
      <c r="BG72" s="329" t="s">
        <v>1183</v>
      </c>
      <c r="BH72" s="329" t="s">
        <v>1668</v>
      </c>
      <c r="BI72" s="329"/>
      <c r="BJ72" s="329" t="s">
        <v>547</v>
      </c>
      <c r="BK72" s="329" t="s">
        <v>1669</v>
      </c>
      <c r="BL72" s="329" t="s">
        <v>342</v>
      </c>
      <c r="BM72" s="329" t="s">
        <v>137</v>
      </c>
      <c r="BN72" s="329" t="s">
        <v>1670</v>
      </c>
      <c r="BO72" s="329" t="s">
        <v>1671</v>
      </c>
      <c r="BP72" s="329" t="s">
        <v>1672</v>
      </c>
      <c r="BQ72" s="329" t="s">
        <v>1673</v>
      </c>
      <c r="BR72" s="329" t="s">
        <v>201</v>
      </c>
      <c r="BS72" s="347"/>
      <c r="BT72" s="347"/>
    </row>
    <row r="73" spans="1:72" s="338" customFormat="1" ht="17.25" customHeight="1">
      <c r="A73" s="329" t="s">
        <v>1674</v>
      </c>
      <c r="B73" s="329"/>
      <c r="C73" s="329" t="s">
        <v>1675</v>
      </c>
      <c r="D73" s="340">
        <v>2023</v>
      </c>
      <c r="E73" s="329" t="s">
        <v>1676</v>
      </c>
      <c r="F73" s="354" t="str">
        <f>HYPERLINK("http://dx.doi.org/10.1111/cgf.14817","http://dx.doi.org/10.1111/cgf.14817")</f>
        <v>http://dx.doi.org/10.1111/cgf.14817</v>
      </c>
      <c r="G73" s="329" t="s">
        <v>3168</v>
      </c>
      <c r="H73" s="329"/>
      <c r="I73" s="329" t="s">
        <v>790</v>
      </c>
      <c r="J73" s="329" t="s">
        <v>1677</v>
      </c>
      <c r="K73" s="329" t="s">
        <v>1678</v>
      </c>
      <c r="L73" s="329" t="s">
        <v>85</v>
      </c>
      <c r="M73" s="329" t="s">
        <v>1679</v>
      </c>
      <c r="N73" s="329" t="s">
        <v>214</v>
      </c>
      <c r="O73" s="329" t="s">
        <v>1680</v>
      </c>
      <c r="P73" s="329" t="s">
        <v>1681</v>
      </c>
      <c r="Q73" s="329"/>
      <c r="R73" s="332" t="s">
        <v>90</v>
      </c>
      <c r="S73" s="329" t="s">
        <v>1682</v>
      </c>
      <c r="T73" s="329" t="s">
        <v>1683</v>
      </c>
      <c r="U73" s="329" t="s">
        <v>274</v>
      </c>
      <c r="V73" s="329" t="s">
        <v>1684</v>
      </c>
      <c r="W73" s="332" t="s">
        <v>1685</v>
      </c>
      <c r="X73" s="332" t="s">
        <v>1686</v>
      </c>
      <c r="Y73" s="329" t="s">
        <v>1687</v>
      </c>
      <c r="Z73" s="332" t="s">
        <v>1688</v>
      </c>
      <c r="AA73" s="329" t="s">
        <v>177</v>
      </c>
      <c r="AB73" s="328" t="s">
        <v>178</v>
      </c>
      <c r="AC73" s="329" t="s">
        <v>1689</v>
      </c>
      <c r="AD73" s="329" t="s">
        <v>1443</v>
      </c>
      <c r="AE73" s="329" t="s">
        <v>1690</v>
      </c>
      <c r="AF73" s="329" t="s">
        <v>1382</v>
      </c>
      <c r="AG73" s="329" t="s">
        <v>966</v>
      </c>
      <c r="AH73" s="329" t="s">
        <v>967</v>
      </c>
      <c r="AI73" s="374"/>
      <c r="AJ73" s="403" t="s">
        <v>1691</v>
      </c>
      <c r="AK73" s="374"/>
      <c r="AL73" s="329" t="s">
        <v>1692</v>
      </c>
      <c r="AM73" s="329" t="s">
        <v>137</v>
      </c>
      <c r="AN73" s="329" t="s">
        <v>138</v>
      </c>
      <c r="AO73" s="329" t="s">
        <v>1693</v>
      </c>
      <c r="AP73" s="329" t="s">
        <v>139</v>
      </c>
      <c r="AQ73" s="329" t="s">
        <v>140</v>
      </c>
      <c r="AR73" s="329" t="s">
        <v>145</v>
      </c>
      <c r="AS73" s="329" t="s">
        <v>98</v>
      </c>
      <c r="AT73" s="359" t="s">
        <v>1694</v>
      </c>
      <c r="AU73" s="329"/>
      <c r="AV73" s="329" t="s">
        <v>287</v>
      </c>
      <c r="AW73" s="329" t="s">
        <v>288</v>
      </c>
      <c r="AX73" s="329" t="s">
        <v>336</v>
      </c>
      <c r="AY73" s="329" t="s">
        <v>936</v>
      </c>
      <c r="AZ73" s="329" t="s">
        <v>101</v>
      </c>
      <c r="BA73" s="329" t="s">
        <v>101</v>
      </c>
      <c r="BB73" s="329">
        <v>30</v>
      </c>
      <c r="BC73" s="329" t="s">
        <v>1695</v>
      </c>
      <c r="BD73" s="329" t="s">
        <v>1696</v>
      </c>
      <c r="BE73" s="329" t="s">
        <v>1697</v>
      </c>
      <c r="BF73" s="329" t="s">
        <v>380</v>
      </c>
      <c r="BG73" s="329" t="s">
        <v>1698</v>
      </c>
      <c r="BH73" s="329" t="s">
        <v>1599</v>
      </c>
      <c r="BI73" s="329"/>
      <c r="BJ73" s="329" t="s">
        <v>1228</v>
      </c>
      <c r="BK73" s="329" t="s">
        <v>1699</v>
      </c>
      <c r="BL73" s="329" t="s">
        <v>342</v>
      </c>
      <c r="BM73" s="329" t="s">
        <v>138</v>
      </c>
      <c r="BN73" s="329" t="s">
        <v>124</v>
      </c>
      <c r="BO73" s="329" t="s">
        <v>1700</v>
      </c>
      <c r="BP73" s="329" t="s">
        <v>1701</v>
      </c>
      <c r="BQ73" s="329"/>
      <c r="BR73" s="329" t="s">
        <v>201</v>
      </c>
      <c r="BS73" s="347"/>
      <c r="BT73" s="347"/>
    </row>
    <row r="74" spans="1:72" s="338" customFormat="1" ht="17.25" customHeight="1">
      <c r="A74" s="329" t="s">
        <v>1702</v>
      </c>
      <c r="B74" s="329"/>
      <c r="C74" s="329" t="s">
        <v>1703</v>
      </c>
      <c r="D74" s="340">
        <v>2023</v>
      </c>
      <c r="E74" s="329" t="s">
        <v>1704</v>
      </c>
      <c r="F74" s="354" t="str">
        <f>HYPERLINK("http://dx.doi.org/10.1177/10506519231161611","http://dx.doi.org/10.1177/10506519231161611")</f>
        <v>http://dx.doi.org/10.1177/10506519231161611</v>
      </c>
      <c r="G74" s="329" t="s">
        <v>4224</v>
      </c>
      <c r="H74" s="329"/>
      <c r="I74" s="329" t="s">
        <v>112</v>
      </c>
      <c r="J74" s="329" t="s">
        <v>1705</v>
      </c>
      <c r="K74" s="329" t="s">
        <v>1706</v>
      </c>
      <c r="L74" s="329" t="s">
        <v>844</v>
      </c>
      <c r="M74" s="329" t="s">
        <v>1372</v>
      </c>
      <c r="N74" s="329" t="s">
        <v>214</v>
      </c>
      <c r="O74" s="329" t="s">
        <v>1707</v>
      </c>
      <c r="P74" s="329" t="s">
        <v>1708</v>
      </c>
      <c r="Q74" s="362" t="s">
        <v>1709</v>
      </c>
      <c r="R74" s="332" t="s">
        <v>358</v>
      </c>
      <c r="S74" s="329" t="s">
        <v>1710</v>
      </c>
      <c r="T74" s="393" t="s">
        <v>1068</v>
      </c>
      <c r="U74" s="329" t="s">
        <v>1069</v>
      </c>
      <c r="V74" s="329" t="s">
        <v>1711</v>
      </c>
      <c r="W74" s="329" t="s">
        <v>1712</v>
      </c>
      <c r="X74" s="332" t="s">
        <v>1713</v>
      </c>
      <c r="Y74" s="329"/>
      <c r="Z74" s="332" t="s">
        <v>1714</v>
      </c>
      <c r="AA74" s="329" t="s">
        <v>364</v>
      </c>
      <c r="AB74" s="329" t="s">
        <v>1715</v>
      </c>
      <c r="AC74" s="329" t="s">
        <v>1716</v>
      </c>
      <c r="AD74" s="329" t="s">
        <v>1717</v>
      </c>
      <c r="AE74" s="329" t="s">
        <v>1718</v>
      </c>
      <c r="AF74" s="329" t="s">
        <v>530</v>
      </c>
      <c r="AG74" s="329" t="s">
        <v>688</v>
      </c>
      <c r="AH74" s="329" t="s">
        <v>538</v>
      </c>
      <c r="AI74" s="374" t="s">
        <v>1719</v>
      </c>
      <c r="AJ74" s="405" t="s">
        <v>1720</v>
      </c>
      <c r="AK74" s="374" t="s">
        <v>1721</v>
      </c>
      <c r="AL74" s="329" t="s">
        <v>1722</v>
      </c>
      <c r="AM74" s="329" t="s">
        <v>137</v>
      </c>
      <c r="AN74" s="329" t="s">
        <v>138</v>
      </c>
      <c r="AO74" s="329" t="s">
        <v>1723</v>
      </c>
      <c r="AP74" s="329" t="s">
        <v>139</v>
      </c>
      <c r="AQ74" s="329" t="s">
        <v>540</v>
      </c>
      <c r="AR74" s="329" t="s">
        <v>141</v>
      </c>
      <c r="AS74" s="329" t="s">
        <v>98</v>
      </c>
      <c r="AT74" s="329" t="s">
        <v>1724</v>
      </c>
      <c r="AU74" s="329"/>
      <c r="AV74" s="329" t="s">
        <v>143</v>
      </c>
      <c r="AW74" s="329" t="s">
        <v>144</v>
      </c>
      <c r="AX74" s="329" t="s">
        <v>145</v>
      </c>
      <c r="AY74" s="329" t="s">
        <v>936</v>
      </c>
      <c r="AZ74" s="329" t="s">
        <v>1725</v>
      </c>
      <c r="BA74" s="329" t="s">
        <v>1725</v>
      </c>
      <c r="BB74" s="329" t="s">
        <v>1726</v>
      </c>
      <c r="BC74" s="329"/>
      <c r="BD74" s="329" t="s">
        <v>1727</v>
      </c>
      <c r="BE74" s="329" t="s">
        <v>1728</v>
      </c>
      <c r="BF74" s="329" t="s">
        <v>1729</v>
      </c>
      <c r="BG74" s="329" t="s">
        <v>1730</v>
      </c>
      <c r="BH74" s="329" t="s">
        <v>1731</v>
      </c>
      <c r="BI74" s="329">
        <v>30</v>
      </c>
      <c r="BJ74" s="329" t="s">
        <v>195</v>
      </c>
      <c r="BK74" s="329" t="s">
        <v>1732</v>
      </c>
      <c r="BL74" s="329" t="s">
        <v>1575</v>
      </c>
      <c r="BM74" s="329" t="s">
        <v>138</v>
      </c>
      <c r="BN74" s="329"/>
      <c r="BO74" s="329" t="s">
        <v>1733</v>
      </c>
      <c r="BP74" s="329" t="s">
        <v>1734</v>
      </c>
      <c r="BQ74" s="329"/>
      <c r="BR74" s="329" t="s">
        <v>201</v>
      </c>
      <c r="BS74" s="329"/>
      <c r="BT74" s="329"/>
    </row>
    <row r="75" spans="1:72" s="338" customFormat="1" ht="17.25" customHeight="1">
      <c r="A75" s="329" t="s">
        <v>1735</v>
      </c>
      <c r="B75" s="329"/>
      <c r="C75" s="329" t="s">
        <v>1736</v>
      </c>
      <c r="D75" s="340">
        <v>2023</v>
      </c>
      <c r="E75" s="329" t="s">
        <v>1737</v>
      </c>
      <c r="F75" s="357" t="s">
        <v>1738</v>
      </c>
      <c r="G75" s="329" t="s">
        <v>1739</v>
      </c>
      <c r="H75" s="329"/>
      <c r="I75" s="329" t="s">
        <v>112</v>
      </c>
      <c r="J75" s="329" t="s">
        <v>1740</v>
      </c>
      <c r="K75" s="329" t="s">
        <v>1741</v>
      </c>
      <c r="L75" s="329" t="s">
        <v>530</v>
      </c>
      <c r="M75" s="329" t="s">
        <v>1742</v>
      </c>
      <c r="N75" s="329" t="s">
        <v>214</v>
      </c>
      <c r="O75" s="329" t="s">
        <v>1743</v>
      </c>
      <c r="P75" s="329" t="s">
        <v>1744</v>
      </c>
      <c r="Q75" s="329" t="s">
        <v>1745</v>
      </c>
      <c r="R75" s="332" t="s">
        <v>1746</v>
      </c>
      <c r="S75" s="329" t="s">
        <v>1747</v>
      </c>
      <c r="T75" s="329" t="s">
        <v>1748</v>
      </c>
      <c r="U75" s="329" t="s">
        <v>124</v>
      </c>
      <c r="V75" s="329" t="s">
        <v>1749</v>
      </c>
      <c r="W75" s="332" t="s">
        <v>1750</v>
      </c>
      <c r="X75" s="332" t="s">
        <v>1751</v>
      </c>
      <c r="Y75" s="329"/>
      <c r="Z75" s="332" t="s">
        <v>1752</v>
      </c>
      <c r="AA75" s="329" t="s">
        <v>177</v>
      </c>
      <c r="AB75" s="329" t="s">
        <v>1753</v>
      </c>
      <c r="AC75" s="329" t="s">
        <v>1753</v>
      </c>
      <c r="AD75" s="329" t="s">
        <v>1717</v>
      </c>
      <c r="AE75" s="329" t="s">
        <v>530</v>
      </c>
      <c r="AF75" s="329" t="s">
        <v>530</v>
      </c>
      <c r="AG75" s="329" t="s">
        <v>688</v>
      </c>
      <c r="AH75" s="329" t="s">
        <v>538</v>
      </c>
      <c r="AI75" s="374"/>
      <c r="AJ75" s="403" t="s">
        <v>1754</v>
      </c>
      <c r="AK75" s="374"/>
      <c r="AL75" s="329"/>
      <c r="AM75" s="329" t="s">
        <v>138</v>
      </c>
      <c r="AN75" s="329" t="s">
        <v>138</v>
      </c>
      <c r="AO75" s="329"/>
      <c r="AP75" s="329" t="s">
        <v>139</v>
      </c>
      <c r="AQ75" s="329" t="s">
        <v>540</v>
      </c>
      <c r="AR75" s="329" t="s">
        <v>935</v>
      </c>
      <c r="AS75" s="329" t="s">
        <v>98</v>
      </c>
      <c r="AT75" s="329"/>
      <c r="AU75" s="329"/>
      <c r="AV75" s="329" t="s">
        <v>143</v>
      </c>
      <c r="AW75" s="329" t="s">
        <v>542</v>
      </c>
      <c r="AX75" s="329" t="s">
        <v>145</v>
      </c>
      <c r="AY75" s="329" t="s">
        <v>189</v>
      </c>
      <c r="AZ75" s="329" t="s">
        <v>1755</v>
      </c>
      <c r="BA75" s="329" t="s">
        <v>101</v>
      </c>
      <c r="BB75" s="329">
        <v>15</v>
      </c>
      <c r="BC75" s="329" t="s">
        <v>1756</v>
      </c>
      <c r="BD75" s="329" t="s">
        <v>1045</v>
      </c>
      <c r="BE75" s="329" t="s">
        <v>1757</v>
      </c>
      <c r="BF75" s="329" t="s">
        <v>193</v>
      </c>
      <c r="BG75" s="329" t="s">
        <v>1758</v>
      </c>
      <c r="BH75" s="329" t="s">
        <v>1759</v>
      </c>
      <c r="BI75" s="329">
        <v>60</v>
      </c>
      <c r="BJ75" s="329" t="s">
        <v>195</v>
      </c>
      <c r="BK75" s="329" t="s">
        <v>1760</v>
      </c>
      <c r="BL75" s="329" t="s">
        <v>1761</v>
      </c>
      <c r="BM75" s="329" t="s">
        <v>138</v>
      </c>
      <c r="BN75" s="329"/>
      <c r="BO75" s="329" t="s">
        <v>1762</v>
      </c>
      <c r="BP75" s="329" t="s">
        <v>1763</v>
      </c>
      <c r="BQ75" s="329" t="s">
        <v>1764</v>
      </c>
      <c r="BR75" s="329" t="s">
        <v>201</v>
      </c>
      <c r="BS75" s="329"/>
      <c r="BT75" s="329"/>
    </row>
    <row r="76" spans="1:72" ht="17.25" hidden="1" customHeight="1">
      <c r="A76" s="46" t="s">
        <v>1765</v>
      </c>
      <c r="B76" s="46"/>
      <c r="C76" s="49" t="s">
        <v>1766</v>
      </c>
      <c r="D76" s="47">
        <v>2023</v>
      </c>
      <c r="E76" s="49" t="s">
        <v>1767</v>
      </c>
      <c r="F76" s="195" t="s">
        <v>1768</v>
      </c>
      <c r="G76" s="196" t="s">
        <v>1769</v>
      </c>
      <c r="H76" s="196"/>
      <c r="I76" s="51" t="s">
        <v>112</v>
      </c>
      <c r="J76" s="198" t="s">
        <v>1770</v>
      </c>
      <c r="K76" s="197" t="s">
        <v>1771</v>
      </c>
      <c r="L76" s="49" t="s">
        <v>844</v>
      </c>
      <c r="M76" s="49"/>
      <c r="N76" s="196" t="s">
        <v>719</v>
      </c>
      <c r="O76" s="53"/>
      <c r="P76" s="53"/>
      <c r="Q76" s="54"/>
      <c r="R76" s="198"/>
      <c r="S76" s="53"/>
      <c r="T76" s="53"/>
      <c r="U76" s="53"/>
      <c r="V76" s="53"/>
      <c r="W76" s="53"/>
      <c r="X76" s="53"/>
      <c r="Y76" s="53"/>
      <c r="Z76" s="53"/>
      <c r="AA76" s="54"/>
      <c r="AB76" s="54"/>
      <c r="AC76" s="54"/>
      <c r="AD76" s="50"/>
      <c r="AE76" s="51"/>
      <c r="AF76" s="51"/>
      <c r="AG76" s="51"/>
      <c r="AH76" s="53"/>
      <c r="AI76" s="54"/>
      <c r="AJ76" s="56"/>
      <c r="AK76" s="54"/>
      <c r="AL76" s="54"/>
      <c r="AM76" s="45"/>
      <c r="AN76" s="45"/>
      <c r="AO76" s="53"/>
      <c r="AP76" s="55"/>
      <c r="AQ76" s="55"/>
      <c r="AR76" s="55"/>
      <c r="AS76" s="51"/>
      <c r="AT76" s="55"/>
      <c r="AU76" s="55"/>
      <c r="AV76" s="50"/>
      <c r="AW76" s="54"/>
      <c r="AX76" s="53"/>
      <c r="AY76" s="51"/>
      <c r="AZ76" s="51"/>
      <c r="BA76" s="51"/>
      <c r="BB76" s="58"/>
      <c r="BC76" s="51"/>
      <c r="BD76" s="59"/>
      <c r="BE76" s="57"/>
      <c r="BF76" s="57"/>
      <c r="BG76" s="57"/>
      <c r="BH76" s="57"/>
      <c r="BI76" s="57"/>
      <c r="BJ76" s="57"/>
      <c r="BK76" s="51"/>
      <c r="BL76" s="50"/>
      <c r="BM76" s="45"/>
      <c r="BN76" s="59"/>
      <c r="BO76" s="53"/>
      <c r="BP76" s="54"/>
      <c r="BQ76" s="56" t="s">
        <v>1772</v>
      </c>
      <c r="BR76" s="45" t="s">
        <v>107</v>
      </c>
      <c r="BS76" s="62"/>
      <c r="BT76" s="62"/>
    </row>
    <row r="77" spans="1:72" ht="17.25" hidden="1" customHeight="1">
      <c r="A77" s="46" t="s">
        <v>1773</v>
      </c>
      <c r="B77" s="46"/>
      <c r="C77" s="49" t="s">
        <v>1774</v>
      </c>
      <c r="D77" s="47">
        <v>2023</v>
      </c>
      <c r="E77" s="49" t="s">
        <v>1775</v>
      </c>
      <c r="F77" s="195" t="s">
        <v>1776</v>
      </c>
      <c r="G77" s="51"/>
      <c r="H77" s="51"/>
      <c r="I77" s="51"/>
      <c r="J77" s="198" t="s">
        <v>1777</v>
      </c>
      <c r="K77" s="197" t="s">
        <v>1778</v>
      </c>
      <c r="L77" s="49" t="s">
        <v>1111</v>
      </c>
      <c r="M77" s="49"/>
      <c r="N77" s="196" t="s">
        <v>214</v>
      </c>
      <c r="O77" s="53"/>
      <c r="P77" s="53"/>
      <c r="Q77" s="54"/>
      <c r="R77" s="198"/>
      <c r="S77" s="53"/>
      <c r="T77" s="53"/>
      <c r="U77" s="53"/>
      <c r="V77" s="54"/>
      <c r="W77" s="54"/>
      <c r="X77" s="54"/>
      <c r="Y77" s="53"/>
      <c r="Z77" s="53"/>
      <c r="AA77" s="54"/>
      <c r="AB77" s="54"/>
      <c r="AC77" s="54"/>
      <c r="AD77" s="50"/>
      <c r="AE77" s="51"/>
      <c r="AF77" s="51"/>
      <c r="AG77" s="51"/>
      <c r="AH77" s="53"/>
      <c r="AI77" s="54"/>
      <c r="AJ77" s="56"/>
      <c r="AK77" s="54"/>
      <c r="AL77" s="54"/>
      <c r="AM77" s="45"/>
      <c r="AN77" s="45"/>
      <c r="AO77" s="53"/>
      <c r="AP77" s="55"/>
      <c r="AQ77" s="55"/>
      <c r="AR77" s="55"/>
      <c r="AS77" s="51"/>
      <c r="AT77" s="55"/>
      <c r="AU77" s="55"/>
      <c r="AV77" s="50"/>
      <c r="AW77" s="54"/>
      <c r="AX77" s="53"/>
      <c r="AY77" s="51"/>
      <c r="AZ77" s="51"/>
      <c r="BA77" s="51"/>
      <c r="BB77" s="58"/>
      <c r="BC77" s="51"/>
      <c r="BD77" s="59"/>
      <c r="BE77" s="57"/>
      <c r="BF77" s="57"/>
      <c r="BG77" s="57"/>
      <c r="BH77" s="57"/>
      <c r="BI77" s="57"/>
      <c r="BJ77" s="57"/>
      <c r="BK77" s="51"/>
      <c r="BL77" s="50"/>
      <c r="BM77" s="45"/>
      <c r="BN77" s="59"/>
      <c r="BO77" s="53"/>
      <c r="BP77" s="54"/>
      <c r="BQ77" s="56" t="s">
        <v>1779</v>
      </c>
      <c r="BR77" s="45" t="s">
        <v>107</v>
      </c>
      <c r="BS77" s="62"/>
      <c r="BT77" s="62"/>
    </row>
    <row r="78" spans="1:72" ht="17.25" hidden="1" customHeight="1">
      <c r="A78" s="46" t="s">
        <v>1780</v>
      </c>
      <c r="B78" s="46"/>
      <c r="C78" s="49" t="s">
        <v>1781</v>
      </c>
      <c r="D78" s="47">
        <v>2023</v>
      </c>
      <c r="E78" s="49" t="s">
        <v>1782</v>
      </c>
      <c r="F78" s="195" t="s">
        <v>1783</v>
      </c>
      <c r="G78" s="196" t="s">
        <v>1784</v>
      </c>
      <c r="H78" s="196"/>
      <c r="I78" s="51"/>
      <c r="J78" s="198" t="s">
        <v>1785</v>
      </c>
      <c r="K78" s="197" t="s">
        <v>1786</v>
      </c>
      <c r="L78" s="49"/>
      <c r="M78" s="49"/>
      <c r="N78" s="196" t="s">
        <v>214</v>
      </c>
      <c r="O78" s="53"/>
      <c r="P78" s="53"/>
      <c r="Q78" s="54"/>
      <c r="R78" s="198"/>
      <c r="S78" s="53"/>
      <c r="T78" s="53"/>
      <c r="U78" s="53"/>
      <c r="V78" s="53"/>
      <c r="W78" s="53"/>
      <c r="X78" s="53"/>
      <c r="Y78" s="53"/>
      <c r="Z78" s="54"/>
      <c r="AA78" s="54"/>
      <c r="AB78" s="54"/>
      <c r="AC78" s="54"/>
      <c r="AD78" s="50"/>
      <c r="AE78" s="51"/>
      <c r="AF78" s="51"/>
      <c r="AG78" s="51"/>
      <c r="AH78" s="53"/>
      <c r="AI78" s="54"/>
      <c r="AJ78" s="56"/>
      <c r="AK78" s="54"/>
      <c r="AL78" s="54"/>
      <c r="AM78" s="45"/>
      <c r="AN78" s="45"/>
      <c r="AO78" s="53"/>
      <c r="AP78" s="55"/>
      <c r="AQ78" s="55"/>
      <c r="AR78" s="55"/>
      <c r="AS78" s="51"/>
      <c r="AT78" s="55"/>
      <c r="AU78" s="55"/>
      <c r="AV78" s="50"/>
      <c r="AW78" s="54"/>
      <c r="AX78" s="53"/>
      <c r="AY78" s="51"/>
      <c r="AZ78" s="51"/>
      <c r="BA78" s="51"/>
      <c r="BB78" s="58"/>
      <c r="BC78" s="51"/>
      <c r="BD78" s="59"/>
      <c r="BE78" s="57"/>
      <c r="BF78" s="57"/>
      <c r="BG78" s="57"/>
      <c r="BH78" s="57"/>
      <c r="BI78" s="57"/>
      <c r="BJ78" s="57"/>
      <c r="BK78" s="51"/>
      <c r="BL78" s="50"/>
      <c r="BM78" s="45"/>
      <c r="BN78" s="59"/>
      <c r="BO78" s="53"/>
      <c r="BP78" s="54"/>
      <c r="BQ78" s="56" t="s">
        <v>1787</v>
      </c>
      <c r="BR78" s="45" t="s">
        <v>107</v>
      </c>
      <c r="BS78" s="49"/>
      <c r="BT78" s="49"/>
    </row>
    <row r="79" spans="1:72" ht="17.25" hidden="1" customHeight="1">
      <c r="A79" s="46" t="s">
        <v>1788</v>
      </c>
      <c r="B79" s="46"/>
      <c r="C79" s="49" t="s">
        <v>1789</v>
      </c>
      <c r="D79" s="47">
        <v>2023</v>
      </c>
      <c r="E79" s="49" t="s">
        <v>1790</v>
      </c>
      <c r="F79" s="195" t="s">
        <v>1791</v>
      </c>
      <c r="G79" s="196"/>
      <c r="H79" s="196"/>
      <c r="I79" s="51" t="s">
        <v>112</v>
      </c>
      <c r="J79" s="198" t="s">
        <v>1792</v>
      </c>
      <c r="K79" s="197" t="s">
        <v>1793</v>
      </c>
      <c r="L79" s="49" t="s">
        <v>1742</v>
      </c>
      <c r="M79" s="49"/>
      <c r="N79" s="196" t="s">
        <v>214</v>
      </c>
      <c r="O79" s="53"/>
      <c r="P79" s="53"/>
      <c r="Q79" s="54"/>
      <c r="R79" s="198"/>
      <c r="S79" s="53"/>
      <c r="T79" s="53"/>
      <c r="U79" s="53"/>
      <c r="V79" s="53"/>
      <c r="W79" s="53"/>
      <c r="X79" s="53"/>
      <c r="Y79" s="53"/>
      <c r="Z79" s="53"/>
      <c r="AA79" s="54"/>
      <c r="AB79" s="54"/>
      <c r="AC79" s="54"/>
      <c r="AD79" s="50"/>
      <c r="AE79" s="51"/>
      <c r="AF79" s="51"/>
      <c r="AG79" s="51"/>
      <c r="AH79" s="53"/>
      <c r="AI79" s="54"/>
      <c r="AJ79" s="56"/>
      <c r="AK79" s="54"/>
      <c r="AL79" s="54"/>
      <c r="AM79" s="45"/>
      <c r="AN79" s="45"/>
      <c r="AO79" s="53"/>
      <c r="AP79" s="55"/>
      <c r="AQ79" s="55"/>
      <c r="AR79" s="55"/>
      <c r="AS79" s="51"/>
      <c r="AT79" s="55"/>
      <c r="AU79" s="55"/>
      <c r="AV79" s="50"/>
      <c r="AW79" s="54"/>
      <c r="AX79" s="53"/>
      <c r="AY79" s="51"/>
      <c r="AZ79" s="51"/>
      <c r="BA79" s="51"/>
      <c r="BB79" s="58"/>
      <c r="BC79" s="51"/>
      <c r="BD79" s="59"/>
      <c r="BE79" s="57"/>
      <c r="BF79" s="57"/>
      <c r="BG79" s="57"/>
      <c r="BH79" s="57"/>
      <c r="BI79" s="57"/>
      <c r="BJ79" s="57"/>
      <c r="BK79" s="51"/>
      <c r="BL79" s="50"/>
      <c r="BM79" s="45"/>
      <c r="BN79" s="59"/>
      <c r="BO79" s="53"/>
      <c r="BP79" s="54"/>
      <c r="BQ79" s="56" t="s">
        <v>1794</v>
      </c>
      <c r="BR79" s="45" t="s">
        <v>107</v>
      </c>
    </row>
    <row r="80" spans="1:72" s="338" customFormat="1" ht="17.25" customHeight="1">
      <c r="A80" s="329" t="s">
        <v>1795</v>
      </c>
      <c r="B80" s="329"/>
      <c r="C80" s="329" t="s">
        <v>1796</v>
      </c>
      <c r="D80" s="340">
        <v>2023</v>
      </c>
      <c r="E80" s="329" t="s">
        <v>1797</v>
      </c>
      <c r="F80" s="354" t="str">
        <f>HYPERLINK("http://dx.doi.org/10.3390/app131910857","http://dx.doi.org/10.3390/app131910857")</f>
        <v>http://dx.doi.org/10.3390/app131910857</v>
      </c>
      <c r="G80" s="329" t="s">
        <v>4225</v>
      </c>
      <c r="H80" s="329"/>
      <c r="I80" s="329" t="s">
        <v>1798</v>
      </c>
      <c r="J80" s="329" t="s">
        <v>1799</v>
      </c>
      <c r="K80" s="329" t="s">
        <v>1800</v>
      </c>
      <c r="L80" s="329" t="s">
        <v>1801</v>
      </c>
      <c r="M80" s="329" t="s">
        <v>1372</v>
      </c>
      <c r="N80" s="329" t="s">
        <v>1273</v>
      </c>
      <c r="O80" s="329" t="s">
        <v>1802</v>
      </c>
      <c r="P80" s="329" t="s">
        <v>1803</v>
      </c>
      <c r="Q80" s="329"/>
      <c r="R80" s="332" t="s">
        <v>90</v>
      </c>
      <c r="S80" s="351" t="s">
        <v>1804</v>
      </c>
      <c r="T80" s="329" t="s">
        <v>1805</v>
      </c>
      <c r="U80" s="329" t="s">
        <v>1806</v>
      </c>
      <c r="V80" s="329" t="s">
        <v>1807</v>
      </c>
      <c r="W80" s="332" t="s">
        <v>1808</v>
      </c>
      <c r="X80" s="332" t="s">
        <v>1809</v>
      </c>
      <c r="Y80" s="329" t="s">
        <v>1810</v>
      </c>
      <c r="Z80" s="332" t="s">
        <v>1811</v>
      </c>
      <c r="AA80" s="329" t="s">
        <v>130</v>
      </c>
      <c r="AB80" s="329" t="s">
        <v>1032</v>
      </c>
      <c r="AC80" s="329" t="s">
        <v>1032</v>
      </c>
      <c r="AD80" s="329" t="s">
        <v>1170</v>
      </c>
      <c r="AE80" s="329" t="s">
        <v>1812</v>
      </c>
      <c r="AF80" s="329" t="s">
        <v>1000</v>
      </c>
      <c r="AG80" s="329" t="s">
        <v>183</v>
      </c>
      <c r="AH80" s="329" t="s">
        <v>183</v>
      </c>
      <c r="AI80" s="374" t="s">
        <v>1813</v>
      </c>
      <c r="AJ80" s="403" t="s">
        <v>1814</v>
      </c>
      <c r="AK80" s="374" t="s">
        <v>1815</v>
      </c>
      <c r="AL80" s="329" t="s">
        <v>736</v>
      </c>
      <c r="AM80" s="329" t="s">
        <v>137</v>
      </c>
      <c r="AN80" s="329" t="s">
        <v>138</v>
      </c>
      <c r="AO80" s="329"/>
      <c r="AP80" s="329" t="s">
        <v>139</v>
      </c>
      <c r="AQ80" s="329" t="s">
        <v>140</v>
      </c>
      <c r="AR80" s="329" t="s">
        <v>185</v>
      </c>
      <c r="AS80" s="329" t="s">
        <v>98</v>
      </c>
      <c r="AT80" s="359" t="s">
        <v>1816</v>
      </c>
      <c r="AU80" s="359" t="s">
        <v>1817</v>
      </c>
      <c r="AV80" s="329" t="s">
        <v>179</v>
      </c>
      <c r="AW80" s="329" t="s">
        <v>1818</v>
      </c>
      <c r="AX80" s="329" t="s">
        <v>336</v>
      </c>
      <c r="AY80" s="329" t="s">
        <v>146</v>
      </c>
      <c r="AZ80" s="329" t="s">
        <v>1819</v>
      </c>
      <c r="BA80" s="329" t="s">
        <v>101</v>
      </c>
      <c r="BB80" s="329">
        <v>75</v>
      </c>
      <c r="BC80" s="329" t="s">
        <v>1695</v>
      </c>
      <c r="BD80" s="329" t="s">
        <v>1820</v>
      </c>
      <c r="BE80" s="329" t="s">
        <v>1821</v>
      </c>
      <c r="BF80" s="329" t="s">
        <v>1729</v>
      </c>
      <c r="BG80" s="329" t="s">
        <v>1183</v>
      </c>
      <c r="BH80" s="356" t="s">
        <v>1822</v>
      </c>
      <c r="BI80" s="329"/>
      <c r="BJ80" s="329"/>
      <c r="BK80" s="329" t="s">
        <v>1823</v>
      </c>
      <c r="BL80" s="329" t="s">
        <v>667</v>
      </c>
      <c r="BM80" s="329" t="s">
        <v>137</v>
      </c>
      <c r="BN80" s="329" t="s">
        <v>1824</v>
      </c>
      <c r="BO80" s="329" t="s">
        <v>1825</v>
      </c>
      <c r="BP80" s="329" t="s">
        <v>1826</v>
      </c>
      <c r="BQ80" s="329" t="s">
        <v>1827</v>
      </c>
      <c r="BR80" s="329" t="s">
        <v>201</v>
      </c>
      <c r="BS80" s="347"/>
      <c r="BT80" s="347"/>
    </row>
    <row r="81" spans="1:72" ht="17.25" hidden="1" customHeight="1">
      <c r="A81" s="46" t="s">
        <v>1828</v>
      </c>
      <c r="B81" s="46"/>
      <c r="C81" s="45" t="s">
        <v>1829</v>
      </c>
      <c r="D81" s="47">
        <v>2023</v>
      </c>
      <c r="E81" s="45" t="s">
        <v>1830</v>
      </c>
      <c r="F81" s="220" t="s">
        <v>1831</v>
      </c>
      <c r="G81" s="206" t="s">
        <v>1832</v>
      </c>
      <c r="H81" s="206"/>
      <c r="I81" s="51"/>
      <c r="J81" s="205" t="s">
        <v>1833</v>
      </c>
      <c r="K81" s="52"/>
      <c r="L81" s="45"/>
      <c r="M81" s="45"/>
      <c r="N81" s="51"/>
      <c r="O81" s="53"/>
      <c r="P81" s="53"/>
      <c r="Q81" s="54"/>
      <c r="R81" s="50"/>
      <c r="S81" s="53"/>
      <c r="T81" s="53"/>
      <c r="U81" s="53"/>
      <c r="V81" s="53"/>
      <c r="W81" s="53"/>
      <c r="X81" s="53"/>
      <c r="Y81" s="53"/>
      <c r="Z81" s="53"/>
      <c r="AA81" s="54"/>
      <c r="AB81" s="54"/>
      <c r="AC81" s="54"/>
      <c r="AD81" s="50"/>
      <c r="AE81" s="51"/>
      <c r="AF81" s="51"/>
      <c r="AG81" s="51"/>
      <c r="AH81" s="53"/>
      <c r="AI81" s="54"/>
      <c r="AJ81" s="56"/>
      <c r="AK81" s="54"/>
      <c r="AL81" s="54"/>
      <c r="AM81" s="45"/>
      <c r="AN81" s="45"/>
      <c r="AO81" s="53"/>
      <c r="AP81" s="55"/>
      <c r="AQ81" s="55"/>
      <c r="AR81" s="55"/>
      <c r="AS81" s="51"/>
      <c r="AT81" s="55"/>
      <c r="AU81" s="55"/>
      <c r="AV81" s="50"/>
      <c r="AW81" s="54"/>
      <c r="AX81" s="53"/>
      <c r="AY81" s="51"/>
      <c r="AZ81" s="51"/>
      <c r="BA81" s="51"/>
      <c r="BB81" s="58"/>
      <c r="BC81" s="51"/>
      <c r="BD81" s="59"/>
      <c r="BE81" s="57"/>
      <c r="BF81" s="57"/>
      <c r="BG81" s="57"/>
      <c r="BH81" s="57"/>
      <c r="BI81" s="57"/>
      <c r="BJ81" s="57"/>
      <c r="BK81" s="51"/>
      <c r="BL81" s="50"/>
      <c r="BM81" s="45"/>
      <c r="BN81" s="59"/>
      <c r="BO81" s="53"/>
      <c r="BP81" s="54"/>
      <c r="BQ81" s="56" t="s">
        <v>1834</v>
      </c>
      <c r="BR81" s="45" t="s">
        <v>107</v>
      </c>
    </row>
    <row r="82" spans="1:72" ht="17.25" hidden="1" customHeight="1">
      <c r="A82" s="130" t="s">
        <v>1835</v>
      </c>
      <c r="B82" s="130"/>
      <c r="C82" s="130" t="s">
        <v>1836</v>
      </c>
      <c r="D82" s="207">
        <v>2024</v>
      </c>
      <c r="E82" s="130" t="s">
        <v>1837</v>
      </c>
      <c r="F82" s="208" t="str">
        <f>HYPERLINK("http://dx.doi.org/10.1016/j.futures.2024.103462","http://dx.doi.org/10.1016/j.futures.2024.103462")</f>
        <v>http://dx.doi.org/10.1016/j.futures.2024.103462</v>
      </c>
      <c r="G82" s="210" t="s">
        <v>1838</v>
      </c>
      <c r="H82" s="210"/>
      <c r="I82" s="135" t="s">
        <v>1839</v>
      </c>
      <c r="J82" s="209" t="s">
        <v>1840</v>
      </c>
      <c r="K82" s="137" t="s">
        <v>1841</v>
      </c>
      <c r="L82" s="129" t="s">
        <v>267</v>
      </c>
      <c r="M82" s="129" t="s">
        <v>1842</v>
      </c>
      <c r="N82" s="135"/>
      <c r="O82" s="138"/>
      <c r="P82" s="138"/>
      <c r="Q82" s="142"/>
      <c r="R82" s="140"/>
      <c r="S82" s="138"/>
      <c r="T82" s="138"/>
      <c r="U82" s="138"/>
      <c r="V82" s="138"/>
      <c r="W82" s="138"/>
      <c r="X82" s="138"/>
      <c r="Y82" s="138"/>
      <c r="Z82" s="138"/>
      <c r="AA82" s="142"/>
      <c r="AB82" s="142"/>
      <c r="AC82" s="142"/>
      <c r="AD82" s="140"/>
      <c r="AE82" s="135"/>
      <c r="AF82" s="135"/>
      <c r="AG82" s="135"/>
      <c r="AH82" s="138"/>
      <c r="AI82" s="142"/>
      <c r="AJ82" s="150"/>
      <c r="AK82" s="142"/>
      <c r="AL82" s="142"/>
      <c r="AM82" s="129"/>
      <c r="AN82" s="129"/>
      <c r="AO82" s="138"/>
      <c r="AP82" s="143"/>
      <c r="AQ82" s="143"/>
      <c r="AR82" s="143"/>
      <c r="AS82" s="135"/>
      <c r="AT82" s="143"/>
      <c r="AU82" s="143"/>
      <c r="AV82" s="144"/>
      <c r="AW82" s="142"/>
      <c r="AX82" s="138"/>
      <c r="AY82" s="135"/>
      <c r="AZ82" s="135"/>
      <c r="BA82" s="135"/>
      <c r="BB82" s="147"/>
      <c r="BC82" s="135"/>
      <c r="BD82" s="148"/>
      <c r="BE82" s="146"/>
      <c r="BF82" s="146"/>
      <c r="BG82" s="146"/>
      <c r="BH82" s="146"/>
      <c r="BI82" s="177"/>
      <c r="BJ82" s="146"/>
      <c r="BK82" s="135"/>
      <c r="BL82" s="140"/>
      <c r="BM82" s="129"/>
      <c r="BN82" s="148"/>
      <c r="BO82" s="211"/>
      <c r="BP82" s="212"/>
      <c r="BQ82" s="213" t="s">
        <v>1843</v>
      </c>
      <c r="BR82" s="130" t="s">
        <v>1844</v>
      </c>
      <c r="BS82" s="133"/>
      <c r="BT82" s="133"/>
    </row>
    <row r="83" spans="1:72" s="338" customFormat="1" ht="17.25" customHeight="1">
      <c r="A83" s="329" t="s">
        <v>1845</v>
      </c>
      <c r="B83" s="329"/>
      <c r="C83" s="329" t="s">
        <v>1846</v>
      </c>
      <c r="D83" s="340">
        <v>2024</v>
      </c>
      <c r="E83" s="329" t="s">
        <v>1847</v>
      </c>
      <c r="F83" s="354" t="str">
        <f>HYPERLINK("http://dx.doi.org/10.1109/TVCG.2023.3326919","http://dx.doi.org/10.1109/TVCG.2023.3326919")</f>
        <v>http://dx.doi.org/10.1109/TVCG.2023.3326919</v>
      </c>
      <c r="G83" s="329" t="s">
        <v>3074</v>
      </c>
      <c r="H83" s="329"/>
      <c r="I83" s="329" t="s">
        <v>112</v>
      </c>
      <c r="J83" s="329" t="s">
        <v>1848</v>
      </c>
      <c r="K83" s="329" t="s">
        <v>1849</v>
      </c>
      <c r="L83" s="329" t="s">
        <v>530</v>
      </c>
      <c r="M83" s="329" t="s">
        <v>530</v>
      </c>
      <c r="N83" s="329" t="s">
        <v>214</v>
      </c>
      <c r="O83" s="329" t="s">
        <v>1850</v>
      </c>
      <c r="P83" s="329" t="s">
        <v>1851</v>
      </c>
      <c r="Q83" s="329" t="s">
        <v>1852</v>
      </c>
      <c r="R83" s="332" t="s">
        <v>90</v>
      </c>
      <c r="S83" s="329" t="s">
        <v>1853</v>
      </c>
      <c r="T83" s="329" t="s">
        <v>1854</v>
      </c>
      <c r="U83" s="329" t="s">
        <v>1855</v>
      </c>
      <c r="V83" s="329" t="s">
        <v>1856</v>
      </c>
      <c r="W83" s="332" t="s">
        <v>1857</v>
      </c>
      <c r="X83" s="332" t="s">
        <v>1858</v>
      </c>
      <c r="Y83" s="329" t="s">
        <v>1859</v>
      </c>
      <c r="Z83" s="332" t="s">
        <v>1860</v>
      </c>
      <c r="AA83" s="329" t="s">
        <v>130</v>
      </c>
      <c r="AB83" s="329" t="s">
        <v>1861</v>
      </c>
      <c r="AC83" s="329" t="s">
        <v>1861</v>
      </c>
      <c r="AD83" s="329" t="s">
        <v>1717</v>
      </c>
      <c r="AE83" s="329" t="s">
        <v>530</v>
      </c>
      <c r="AF83" s="329" t="s">
        <v>530</v>
      </c>
      <c r="AG83" s="329" t="s">
        <v>688</v>
      </c>
      <c r="AH83" s="329" t="s">
        <v>538</v>
      </c>
      <c r="AI83" s="374"/>
      <c r="AJ83" s="403" t="s">
        <v>1862</v>
      </c>
      <c r="AK83" s="374"/>
      <c r="AL83" s="329"/>
      <c r="AM83" s="329" t="s">
        <v>138</v>
      </c>
      <c r="AN83" s="329" t="s">
        <v>138</v>
      </c>
      <c r="AO83" s="329" t="s">
        <v>145</v>
      </c>
      <c r="AP83" s="329" t="s">
        <v>139</v>
      </c>
      <c r="AQ83" s="329" t="s">
        <v>540</v>
      </c>
      <c r="AR83" s="329" t="s">
        <v>145</v>
      </c>
      <c r="AS83" s="329" t="s">
        <v>98</v>
      </c>
      <c r="AT83" s="329" t="s">
        <v>1863</v>
      </c>
      <c r="AU83" s="329" t="s">
        <v>1864</v>
      </c>
      <c r="AV83" s="329" t="s">
        <v>287</v>
      </c>
      <c r="AW83" s="329" t="s">
        <v>288</v>
      </c>
      <c r="AX83" s="329" t="s">
        <v>188</v>
      </c>
      <c r="AY83" s="329" t="s">
        <v>337</v>
      </c>
      <c r="AZ83" s="329" t="s">
        <v>1865</v>
      </c>
      <c r="BA83" s="329" t="s">
        <v>101</v>
      </c>
      <c r="BB83" s="329" t="s">
        <v>1866</v>
      </c>
      <c r="BC83" s="329" t="s">
        <v>1867</v>
      </c>
      <c r="BD83" s="329" t="s">
        <v>1005</v>
      </c>
      <c r="BE83" s="329" t="s">
        <v>1868</v>
      </c>
      <c r="BF83" s="329" t="s">
        <v>489</v>
      </c>
      <c r="BG83" s="329" t="s">
        <v>1869</v>
      </c>
      <c r="BH83" s="329" t="s">
        <v>1870</v>
      </c>
      <c r="BI83" s="329" t="s">
        <v>1871</v>
      </c>
      <c r="BJ83" s="329"/>
      <c r="BK83" s="329" t="s">
        <v>976</v>
      </c>
      <c r="BL83" s="329" t="s">
        <v>342</v>
      </c>
      <c r="BM83" s="329" t="s">
        <v>137</v>
      </c>
      <c r="BN83" s="329" t="s">
        <v>1872</v>
      </c>
      <c r="BO83" s="329" t="s">
        <v>1873</v>
      </c>
      <c r="BP83" s="329" t="s">
        <v>548</v>
      </c>
      <c r="BQ83" s="329" t="s">
        <v>1874</v>
      </c>
      <c r="BR83" s="329" t="s">
        <v>201</v>
      </c>
      <c r="BS83" s="329"/>
      <c r="BT83" s="329"/>
    </row>
    <row r="84" spans="1:72" ht="17.25" hidden="1" customHeight="1">
      <c r="A84" s="130" t="s">
        <v>1875</v>
      </c>
      <c r="B84" s="130"/>
      <c r="C84" s="129" t="s">
        <v>1876</v>
      </c>
      <c r="D84" s="131">
        <v>2024</v>
      </c>
      <c r="E84" s="129" t="s">
        <v>1877</v>
      </c>
      <c r="F84" s="129" t="s">
        <v>1878</v>
      </c>
      <c r="G84" s="135" t="s">
        <v>1879</v>
      </c>
      <c r="H84" s="135"/>
      <c r="I84" s="135" t="s">
        <v>1074</v>
      </c>
      <c r="J84" s="140" t="s">
        <v>1880</v>
      </c>
      <c r="K84" s="137" t="s">
        <v>1881</v>
      </c>
      <c r="L84" s="129" t="s">
        <v>1882</v>
      </c>
      <c r="M84" s="129" t="s">
        <v>227</v>
      </c>
      <c r="N84" s="135" t="s">
        <v>1883</v>
      </c>
      <c r="O84" s="138" t="s">
        <v>1884</v>
      </c>
      <c r="P84" s="138" t="s">
        <v>1885</v>
      </c>
      <c r="Q84" s="142"/>
      <c r="R84" s="140" t="s">
        <v>90</v>
      </c>
      <c r="S84" s="138" t="s">
        <v>1886</v>
      </c>
      <c r="T84" s="138" t="s">
        <v>1887</v>
      </c>
      <c r="U84" s="138" t="s">
        <v>124</v>
      </c>
      <c r="V84" s="138" t="s">
        <v>1888</v>
      </c>
      <c r="W84" s="138" t="s">
        <v>1889</v>
      </c>
      <c r="X84" s="138" t="s">
        <v>1890</v>
      </c>
      <c r="Y84" s="138"/>
      <c r="Z84" s="138" t="s">
        <v>1891</v>
      </c>
      <c r="AA84" s="142" t="s">
        <v>1892</v>
      </c>
      <c r="AB84" s="142"/>
      <c r="AC84" s="142" t="s">
        <v>1893</v>
      </c>
      <c r="AD84" s="140" t="s">
        <v>1894</v>
      </c>
      <c r="AE84" s="135" t="s">
        <v>238</v>
      </c>
      <c r="AF84" s="135"/>
      <c r="AG84" s="135"/>
      <c r="AH84" s="138" t="s">
        <v>183</v>
      </c>
      <c r="AI84" s="142"/>
      <c r="AJ84" s="150" t="s">
        <v>1895</v>
      </c>
      <c r="AK84" s="142"/>
      <c r="AL84" s="142" t="s">
        <v>1896</v>
      </c>
      <c r="AM84" s="142" t="s">
        <v>137</v>
      </c>
      <c r="AN84" s="142" t="s">
        <v>138</v>
      </c>
      <c r="AO84" s="138"/>
      <c r="AP84" s="143" t="s">
        <v>139</v>
      </c>
      <c r="AQ84" s="143" t="s">
        <v>140</v>
      </c>
      <c r="AR84" s="143" t="s">
        <v>145</v>
      </c>
      <c r="AS84" s="138" t="s">
        <v>1897</v>
      </c>
      <c r="AT84" s="143" t="s">
        <v>138</v>
      </c>
      <c r="AU84" s="143"/>
      <c r="AV84" s="252" t="s">
        <v>143</v>
      </c>
      <c r="AW84" s="142" t="s">
        <v>1898</v>
      </c>
      <c r="AX84" s="138" t="s">
        <v>145</v>
      </c>
      <c r="AY84" s="138" t="s">
        <v>189</v>
      </c>
      <c r="AZ84" s="138" t="s">
        <v>1899</v>
      </c>
      <c r="BA84" s="138" t="s">
        <v>1900</v>
      </c>
      <c r="BB84" s="147">
        <v>10</v>
      </c>
      <c r="BC84" s="135" t="s">
        <v>1901</v>
      </c>
      <c r="BD84" s="148" t="s">
        <v>1902</v>
      </c>
      <c r="BE84" s="146" t="s">
        <v>1903</v>
      </c>
      <c r="BF84" s="146" t="s">
        <v>1904</v>
      </c>
      <c r="BG84" s="146" t="s">
        <v>1905</v>
      </c>
      <c r="BH84" s="146" t="s">
        <v>1906</v>
      </c>
      <c r="BI84" s="177"/>
      <c r="BJ84" s="146"/>
      <c r="BK84" s="138" t="s">
        <v>1907</v>
      </c>
      <c r="BL84" s="140" t="s">
        <v>1908</v>
      </c>
      <c r="BM84" s="142"/>
      <c r="BN84" s="146" t="s">
        <v>124</v>
      </c>
      <c r="BO84" s="138" t="s">
        <v>1909</v>
      </c>
      <c r="BP84" s="142"/>
      <c r="BQ84" s="150" t="s">
        <v>1910</v>
      </c>
      <c r="BR84" s="142" t="s">
        <v>158</v>
      </c>
      <c r="BS84" s="133"/>
      <c r="BT84" s="133"/>
    </row>
    <row r="85" spans="1:72" s="338" customFormat="1" ht="17.25" customHeight="1">
      <c r="A85" s="329" t="s">
        <v>1911</v>
      </c>
      <c r="B85" s="329"/>
      <c r="C85" s="329" t="s">
        <v>1912</v>
      </c>
      <c r="D85" s="340">
        <v>2024</v>
      </c>
      <c r="E85" s="329" t="s">
        <v>1913</v>
      </c>
      <c r="F85" s="354" t="str">
        <f>HYPERLINK("http://dx.doi.org/10.1186/s12889-024-19541-3","http://dx.doi.org/10.1186/s12889-024-19541-3")</f>
        <v>http://dx.doi.org/10.1186/s12889-024-19541-3</v>
      </c>
      <c r="G85" s="329" t="s">
        <v>4226</v>
      </c>
      <c r="H85" s="329"/>
      <c r="I85" s="329" t="s">
        <v>112</v>
      </c>
      <c r="J85" s="329" t="s">
        <v>1914</v>
      </c>
      <c r="K85" s="329" t="s">
        <v>1915</v>
      </c>
      <c r="L85" s="329" t="s">
        <v>844</v>
      </c>
      <c r="M85" s="329" t="s">
        <v>845</v>
      </c>
      <c r="N85" s="329" t="s">
        <v>844</v>
      </c>
      <c r="O85" s="329" t="s">
        <v>1916</v>
      </c>
      <c r="P85" s="329" t="s">
        <v>1917</v>
      </c>
      <c r="Q85" s="329" t="s">
        <v>1918</v>
      </c>
      <c r="R85" s="332" t="s">
        <v>358</v>
      </c>
      <c r="S85" s="329" t="s">
        <v>1919</v>
      </c>
      <c r="T85" s="329" t="s">
        <v>1920</v>
      </c>
      <c r="U85" s="329" t="s">
        <v>1921</v>
      </c>
      <c r="V85" s="329" t="s">
        <v>124</v>
      </c>
      <c r="W85" s="332" t="s">
        <v>124</v>
      </c>
      <c r="X85" s="332"/>
      <c r="Y85" s="329"/>
      <c r="Z85" s="332" t="s">
        <v>145</v>
      </c>
      <c r="AA85" s="329" t="s">
        <v>653</v>
      </c>
      <c r="AB85" s="329" t="s">
        <v>1922</v>
      </c>
      <c r="AC85" s="329" t="s">
        <v>1922</v>
      </c>
      <c r="AD85" s="329" t="s">
        <v>1923</v>
      </c>
      <c r="AE85" s="329" t="s">
        <v>1812</v>
      </c>
      <c r="AF85" s="329" t="s">
        <v>1000</v>
      </c>
      <c r="AG85" s="329" t="s">
        <v>1001</v>
      </c>
      <c r="AH85" s="329" t="s">
        <v>1002</v>
      </c>
      <c r="AI85" s="374"/>
      <c r="AJ85" s="403" t="s">
        <v>1924</v>
      </c>
      <c r="AK85" s="374"/>
      <c r="AL85" s="329"/>
      <c r="AM85" s="329" t="s">
        <v>137</v>
      </c>
      <c r="AN85" s="329" t="s">
        <v>138</v>
      </c>
      <c r="AO85" s="329" t="s">
        <v>1925</v>
      </c>
      <c r="AP85" s="329" t="s">
        <v>139</v>
      </c>
      <c r="AQ85" s="332" t="s">
        <v>140</v>
      </c>
      <c r="AR85" s="329" t="s">
        <v>141</v>
      </c>
      <c r="AS85" s="329" t="s">
        <v>98</v>
      </c>
      <c r="AT85" s="329" t="s">
        <v>1926</v>
      </c>
      <c r="AU85" s="329"/>
      <c r="AV85" s="329" t="s">
        <v>143</v>
      </c>
      <c r="AW85" s="329" t="s">
        <v>187</v>
      </c>
      <c r="AX85" s="329" t="s">
        <v>416</v>
      </c>
      <c r="AY85" s="329" t="s">
        <v>189</v>
      </c>
      <c r="AZ85" s="329" t="s">
        <v>1927</v>
      </c>
      <c r="BA85" s="329" t="s">
        <v>1927</v>
      </c>
      <c r="BB85" s="329">
        <v>8</v>
      </c>
      <c r="BC85" s="329"/>
      <c r="BD85" s="329" t="s">
        <v>1005</v>
      </c>
      <c r="BE85" s="329" t="s">
        <v>1928</v>
      </c>
      <c r="BF85" s="329" t="s">
        <v>193</v>
      </c>
      <c r="BG85" s="329" t="s">
        <v>1929</v>
      </c>
      <c r="BH85" s="329" t="s">
        <v>1930</v>
      </c>
      <c r="BI85" s="329">
        <v>120</v>
      </c>
      <c r="BJ85" s="329" t="s">
        <v>195</v>
      </c>
      <c r="BK85" s="329" t="s">
        <v>1931</v>
      </c>
      <c r="BL85" s="329" t="s">
        <v>1932</v>
      </c>
      <c r="BM85" s="329" t="s">
        <v>138</v>
      </c>
      <c r="BN85" s="329"/>
      <c r="BO85" s="329" t="s">
        <v>1933</v>
      </c>
      <c r="BP85" s="329" t="s">
        <v>1934</v>
      </c>
      <c r="BQ85" s="329"/>
      <c r="BR85" s="329" t="s">
        <v>201</v>
      </c>
      <c r="BS85" s="329"/>
      <c r="BT85" s="329"/>
    </row>
    <row r="86" spans="1:72" s="338" customFormat="1" ht="17.25" customHeight="1">
      <c r="A86" s="329" t="s">
        <v>1935</v>
      </c>
      <c r="B86" s="329"/>
      <c r="C86" s="329" t="s">
        <v>1936</v>
      </c>
      <c r="D86" s="340">
        <v>2024</v>
      </c>
      <c r="E86" s="329" t="s">
        <v>1937</v>
      </c>
      <c r="F86" s="354" t="str">
        <f>HYPERLINK("http://dx.doi.org/10.1186/s42408-024-00278-8","http://dx.doi.org/10.1186/s42408-024-00278-8")</f>
        <v>http://dx.doi.org/10.1186/s42408-024-00278-8</v>
      </c>
      <c r="G86" s="329" t="s">
        <v>4227</v>
      </c>
      <c r="H86" s="329"/>
      <c r="I86" s="329" t="s">
        <v>112</v>
      </c>
      <c r="J86" s="329" t="s">
        <v>1938</v>
      </c>
      <c r="K86" s="329" t="s">
        <v>1939</v>
      </c>
      <c r="L86" s="329" t="s">
        <v>267</v>
      </c>
      <c r="M86" s="329" t="s">
        <v>1940</v>
      </c>
      <c r="N86" s="329" t="s">
        <v>1941</v>
      </c>
      <c r="O86" s="329" t="s">
        <v>1942</v>
      </c>
      <c r="P86" s="329" t="s">
        <v>1943</v>
      </c>
      <c r="Q86" s="329"/>
      <c r="R86" s="332" t="s">
        <v>1944</v>
      </c>
      <c r="S86" s="329" t="s">
        <v>1945</v>
      </c>
      <c r="T86" s="332" t="s">
        <v>1946</v>
      </c>
      <c r="U86" s="332" t="s">
        <v>124</v>
      </c>
      <c r="V86" s="329" t="s">
        <v>124</v>
      </c>
      <c r="W86" s="332" t="s">
        <v>124</v>
      </c>
      <c r="X86" s="332"/>
      <c r="Y86" s="332" t="s">
        <v>1947</v>
      </c>
      <c r="Z86" s="332" t="s">
        <v>1948</v>
      </c>
      <c r="AA86" s="329" t="s">
        <v>364</v>
      </c>
      <c r="AB86" s="329" t="s">
        <v>875</v>
      </c>
      <c r="AC86" s="329" t="s">
        <v>875</v>
      </c>
      <c r="AD86" s="329" t="s">
        <v>1949</v>
      </c>
      <c r="AE86" s="329" t="s">
        <v>1950</v>
      </c>
      <c r="AF86" s="329" t="s">
        <v>1000</v>
      </c>
      <c r="AG86" s="329" t="s">
        <v>1951</v>
      </c>
      <c r="AH86" s="329" t="s">
        <v>1952</v>
      </c>
      <c r="AI86" s="374"/>
      <c r="AJ86" s="403" t="s">
        <v>1953</v>
      </c>
      <c r="AK86" s="374"/>
      <c r="AL86" s="329" t="s">
        <v>1954</v>
      </c>
      <c r="AM86" s="329" t="s">
        <v>137</v>
      </c>
      <c r="AN86" s="329" t="s">
        <v>137</v>
      </c>
      <c r="AO86" s="329"/>
      <c r="AP86" s="329" t="s">
        <v>139</v>
      </c>
      <c r="AQ86" s="329" t="s">
        <v>140</v>
      </c>
      <c r="AR86" s="329" t="s">
        <v>141</v>
      </c>
      <c r="AS86" s="329" t="s">
        <v>372</v>
      </c>
      <c r="AT86" s="329" t="s">
        <v>1955</v>
      </c>
      <c r="AU86" s="329"/>
      <c r="AV86" s="329" t="s">
        <v>143</v>
      </c>
      <c r="AW86" s="329" t="s">
        <v>1956</v>
      </c>
      <c r="AX86" s="329" t="s">
        <v>145</v>
      </c>
      <c r="AY86" s="329" t="s">
        <v>189</v>
      </c>
      <c r="AZ86" s="329" t="s">
        <v>1957</v>
      </c>
      <c r="BA86" s="329" t="s">
        <v>1958</v>
      </c>
      <c r="BB86" s="329" t="s">
        <v>1959</v>
      </c>
      <c r="BC86" s="329"/>
      <c r="BD86" s="329"/>
      <c r="BE86" s="329" t="s">
        <v>1960</v>
      </c>
      <c r="BF86" s="329" t="s">
        <v>193</v>
      </c>
      <c r="BG86" s="329" t="s">
        <v>1961</v>
      </c>
      <c r="BH86" s="329" t="s">
        <v>1962</v>
      </c>
      <c r="BI86" s="329"/>
      <c r="BJ86" s="329" t="s">
        <v>456</v>
      </c>
      <c r="BK86" s="329" t="s">
        <v>1963</v>
      </c>
      <c r="BL86" s="329" t="s">
        <v>1964</v>
      </c>
      <c r="BM86" s="329" t="s">
        <v>138</v>
      </c>
      <c r="BN86" s="329"/>
      <c r="BO86" s="329" t="s">
        <v>1965</v>
      </c>
      <c r="BP86" s="362" t="s">
        <v>1966</v>
      </c>
      <c r="BQ86" s="329" t="s">
        <v>1967</v>
      </c>
      <c r="BR86" s="329" t="s">
        <v>201</v>
      </c>
      <c r="BS86" s="329"/>
      <c r="BT86" s="329"/>
    </row>
    <row r="87" spans="1:72" ht="17.25" hidden="1" customHeight="1">
      <c r="A87" s="46" t="s">
        <v>1968</v>
      </c>
      <c r="B87" s="46"/>
      <c r="C87" s="45" t="s">
        <v>1969</v>
      </c>
      <c r="D87" s="47">
        <v>2024</v>
      </c>
      <c r="E87" s="45" t="s">
        <v>1970</v>
      </c>
      <c r="F87" s="48" t="str">
        <f>HYPERLINK("http://dx.doi.org/10.1111/tgis.13206","http://dx.doi.org/10.1111/tgis.13206")</f>
        <v>http://dx.doi.org/10.1111/tgis.13206</v>
      </c>
      <c r="G87" s="51" t="s">
        <v>1971</v>
      </c>
      <c r="H87" s="51"/>
      <c r="I87" s="51"/>
      <c r="J87" s="50" t="s">
        <v>1972</v>
      </c>
      <c r="K87" s="52" t="s">
        <v>1973</v>
      </c>
      <c r="L87" s="45" t="s">
        <v>530</v>
      </c>
      <c r="M87" s="45"/>
      <c r="N87" s="51" t="s">
        <v>117</v>
      </c>
      <c r="O87" s="53" t="s">
        <v>1974</v>
      </c>
      <c r="P87" s="53" t="s">
        <v>1975</v>
      </c>
      <c r="Q87" s="119" t="s">
        <v>1976</v>
      </c>
      <c r="R87" s="50" t="s">
        <v>90</v>
      </c>
      <c r="S87" s="53"/>
      <c r="T87" s="53"/>
      <c r="U87" s="53"/>
      <c r="V87" s="53"/>
      <c r="W87" s="53"/>
      <c r="X87" s="53"/>
      <c r="Y87" s="53"/>
      <c r="Z87" s="53"/>
      <c r="AA87" s="54"/>
      <c r="AB87" s="54"/>
      <c r="AC87" s="54"/>
      <c r="AD87" s="50"/>
      <c r="AE87" s="51" t="s">
        <v>1977</v>
      </c>
      <c r="AF87" s="51"/>
      <c r="AG87" s="51"/>
      <c r="AH87" s="53"/>
      <c r="AI87" s="54"/>
      <c r="AJ87" s="56"/>
      <c r="AK87" s="54"/>
      <c r="AL87" s="54"/>
      <c r="AM87" s="54"/>
      <c r="AN87" s="54"/>
      <c r="AO87" s="53"/>
      <c r="AP87" s="55"/>
      <c r="AQ87" s="55"/>
      <c r="AR87" s="55"/>
      <c r="AS87" s="53" t="s">
        <v>98</v>
      </c>
      <c r="AT87" s="55"/>
      <c r="AU87" s="55"/>
      <c r="AV87" s="56" t="s">
        <v>1978</v>
      </c>
      <c r="AW87" s="54"/>
      <c r="AX87" s="53"/>
      <c r="AY87" s="53"/>
      <c r="AZ87" s="53" t="s">
        <v>101</v>
      </c>
      <c r="BA87" s="53"/>
      <c r="BB87" s="58"/>
      <c r="BC87" s="51"/>
      <c r="BD87" s="59"/>
      <c r="BE87" s="53"/>
      <c r="BF87" s="57"/>
      <c r="BG87" s="57" t="s">
        <v>1979</v>
      </c>
      <c r="BH87" s="57"/>
      <c r="BI87" s="57"/>
      <c r="BJ87" s="57"/>
      <c r="BK87" s="53"/>
      <c r="BL87" s="50"/>
      <c r="BM87" s="54"/>
      <c r="BN87" s="57"/>
      <c r="BO87" s="53"/>
      <c r="BP87" s="54"/>
      <c r="BQ87" s="56" t="s">
        <v>1980</v>
      </c>
      <c r="BR87" s="45" t="s">
        <v>107</v>
      </c>
      <c r="BS87" s="120"/>
      <c r="BT87" s="120"/>
    </row>
    <row r="88" spans="1:72" s="338" customFormat="1" ht="17.25" customHeight="1">
      <c r="A88" s="329" t="s">
        <v>1981</v>
      </c>
      <c r="B88" s="329"/>
      <c r="C88" s="329" t="s">
        <v>1982</v>
      </c>
      <c r="D88" s="340">
        <v>2024</v>
      </c>
      <c r="E88" s="329" t="s">
        <v>1983</v>
      </c>
      <c r="F88" s="354" t="str">
        <f>HYPERLINK("http://dx.doi.org/10.1109/TVCG.2023.3326579","http://dx.doi.org/10.1109/TVCG.2023.3326579")</f>
        <v>http://dx.doi.org/10.1109/TVCG.2023.3326579</v>
      </c>
      <c r="G88" s="329" t="s">
        <v>3085</v>
      </c>
      <c r="H88" s="329"/>
      <c r="I88" s="329" t="s">
        <v>112</v>
      </c>
      <c r="J88" s="329" t="s">
        <v>1984</v>
      </c>
      <c r="K88" s="329" t="s">
        <v>1985</v>
      </c>
      <c r="L88" s="329" t="s">
        <v>1986</v>
      </c>
      <c r="M88" s="329" t="s">
        <v>1987</v>
      </c>
      <c r="N88" s="329" t="s">
        <v>214</v>
      </c>
      <c r="O88" s="329" t="s">
        <v>1988</v>
      </c>
      <c r="P88" s="329" t="s">
        <v>1989</v>
      </c>
      <c r="Q88" s="329" t="s">
        <v>1990</v>
      </c>
      <c r="R88" s="332" t="s">
        <v>90</v>
      </c>
      <c r="S88" s="329" t="s">
        <v>1991</v>
      </c>
      <c r="T88" s="329" t="s">
        <v>1992</v>
      </c>
      <c r="U88" s="329" t="s">
        <v>1993</v>
      </c>
      <c r="V88" s="351" t="s">
        <v>1994</v>
      </c>
      <c r="W88" s="332" t="s">
        <v>1995</v>
      </c>
      <c r="X88" s="332" t="s">
        <v>1996</v>
      </c>
      <c r="Y88" s="329" t="s">
        <v>1997</v>
      </c>
      <c r="Z88" s="332" t="s">
        <v>1998</v>
      </c>
      <c r="AA88" s="329" t="s">
        <v>653</v>
      </c>
      <c r="AB88" s="329" t="s">
        <v>1922</v>
      </c>
      <c r="AC88" s="329" t="s">
        <v>1922</v>
      </c>
      <c r="AD88" s="329" t="s">
        <v>180</v>
      </c>
      <c r="AE88" s="329" t="s">
        <v>1999</v>
      </c>
      <c r="AF88" s="329" t="s">
        <v>328</v>
      </c>
      <c r="AG88" s="329" t="s">
        <v>2000</v>
      </c>
      <c r="AH88" s="329" t="s">
        <v>2001</v>
      </c>
      <c r="AI88" s="375" t="s">
        <v>2002</v>
      </c>
      <c r="AJ88" s="403" t="s">
        <v>2003</v>
      </c>
      <c r="AK88" s="374" t="s">
        <v>2004</v>
      </c>
      <c r="AL88" s="329"/>
      <c r="AM88" s="329" t="s">
        <v>137</v>
      </c>
      <c r="AN88" s="329" t="s">
        <v>138</v>
      </c>
      <c r="AO88" s="329" t="s">
        <v>2005</v>
      </c>
      <c r="AP88" s="329" t="s">
        <v>139</v>
      </c>
      <c r="AQ88" s="329" t="s">
        <v>140</v>
      </c>
      <c r="AR88" s="329" t="s">
        <v>584</v>
      </c>
      <c r="AS88" s="329" t="s">
        <v>98</v>
      </c>
      <c r="AT88" s="329" t="s">
        <v>2006</v>
      </c>
      <c r="AU88" s="329" t="s">
        <v>2007</v>
      </c>
      <c r="AV88" s="329" t="s">
        <v>179</v>
      </c>
      <c r="AW88" s="329" t="s">
        <v>288</v>
      </c>
      <c r="AX88" s="329" t="s">
        <v>336</v>
      </c>
      <c r="AY88" s="329" t="s">
        <v>337</v>
      </c>
      <c r="AZ88" s="329" t="s">
        <v>101</v>
      </c>
      <c r="BA88" s="329" t="s">
        <v>101</v>
      </c>
      <c r="BB88" s="329">
        <v>543</v>
      </c>
      <c r="BC88" s="329"/>
      <c r="BD88" s="329"/>
      <c r="BE88" s="329" t="s">
        <v>2008</v>
      </c>
      <c r="BF88" s="329" t="s">
        <v>2009</v>
      </c>
      <c r="BG88" s="329" t="s">
        <v>2010</v>
      </c>
      <c r="BH88" s="329" t="s">
        <v>2011</v>
      </c>
      <c r="BI88" s="329">
        <v>13</v>
      </c>
      <c r="BJ88" s="329" t="s">
        <v>195</v>
      </c>
      <c r="BK88" s="329" t="s">
        <v>976</v>
      </c>
      <c r="BL88" s="329" t="s">
        <v>1011</v>
      </c>
      <c r="BM88" s="329" t="s">
        <v>137</v>
      </c>
      <c r="BN88" s="329" t="s">
        <v>2012</v>
      </c>
      <c r="BO88" s="329" t="s">
        <v>2013</v>
      </c>
      <c r="BP88" s="329" t="s">
        <v>2014</v>
      </c>
      <c r="BQ88" s="329" t="s">
        <v>2015</v>
      </c>
      <c r="BR88" s="329" t="s">
        <v>201</v>
      </c>
      <c r="BS88" s="347"/>
      <c r="BT88" s="347"/>
    </row>
    <row r="89" spans="1:72" s="338" customFormat="1" ht="17.25" customHeight="1">
      <c r="A89" s="329" t="s">
        <v>2016</v>
      </c>
      <c r="B89" s="329"/>
      <c r="C89" s="329" t="s">
        <v>2017</v>
      </c>
      <c r="D89" s="340">
        <v>2024</v>
      </c>
      <c r="E89" s="329" t="s">
        <v>2018</v>
      </c>
      <c r="F89" s="357" t="s">
        <v>2019</v>
      </c>
      <c r="G89" s="329" t="s">
        <v>2020</v>
      </c>
      <c r="H89" s="329"/>
      <c r="I89" s="329" t="s">
        <v>2021</v>
      </c>
      <c r="J89" s="329" t="s">
        <v>2022</v>
      </c>
      <c r="K89" s="329" t="s">
        <v>2023</v>
      </c>
      <c r="L89" s="329" t="s">
        <v>267</v>
      </c>
      <c r="M89" s="329" t="s">
        <v>2024</v>
      </c>
      <c r="N89" s="329" t="s">
        <v>312</v>
      </c>
      <c r="O89" s="329" t="s">
        <v>2025</v>
      </c>
      <c r="P89" s="329" t="s">
        <v>2026</v>
      </c>
      <c r="Q89" s="329" t="s">
        <v>2027</v>
      </c>
      <c r="R89" s="332" t="s">
        <v>90</v>
      </c>
      <c r="S89" s="329" t="s">
        <v>2028</v>
      </c>
      <c r="T89" s="329" t="s">
        <v>2029</v>
      </c>
      <c r="U89" s="329" t="s">
        <v>2030</v>
      </c>
      <c r="V89" s="329" t="s">
        <v>2031</v>
      </c>
      <c r="W89" s="332" t="s">
        <v>2032</v>
      </c>
      <c r="X89" s="332" t="s">
        <v>2033</v>
      </c>
      <c r="Y89" s="329" t="s">
        <v>2034</v>
      </c>
      <c r="Z89" s="332" t="s">
        <v>2035</v>
      </c>
      <c r="AA89" s="329" t="s">
        <v>130</v>
      </c>
      <c r="AB89" s="329" t="s">
        <v>2036</v>
      </c>
      <c r="AC89" s="329" t="s">
        <v>2037</v>
      </c>
      <c r="AD89" s="329" t="s">
        <v>180</v>
      </c>
      <c r="AE89" s="329" t="s">
        <v>1482</v>
      </c>
      <c r="AF89" s="329" t="s">
        <v>328</v>
      </c>
      <c r="AG89" s="329" t="s">
        <v>966</v>
      </c>
      <c r="AH89" s="329" t="s">
        <v>2038</v>
      </c>
      <c r="AI89" s="374" t="s">
        <v>2039</v>
      </c>
      <c r="AJ89" s="403" t="s">
        <v>2040</v>
      </c>
      <c r="AK89" s="374" t="s">
        <v>2041</v>
      </c>
      <c r="AL89" s="329" t="s">
        <v>2042</v>
      </c>
      <c r="AM89" s="329" t="s">
        <v>137</v>
      </c>
      <c r="AN89" s="329" t="s">
        <v>137</v>
      </c>
      <c r="AO89" s="329" t="s">
        <v>2043</v>
      </c>
      <c r="AP89" s="329" t="s">
        <v>139</v>
      </c>
      <c r="AQ89" s="329" t="s">
        <v>140</v>
      </c>
      <c r="AR89" s="329" t="s">
        <v>2044</v>
      </c>
      <c r="AS89" s="329" t="s">
        <v>98</v>
      </c>
      <c r="AT89" s="329" t="s">
        <v>2045</v>
      </c>
      <c r="AU89" s="329" t="s">
        <v>2046</v>
      </c>
      <c r="AV89" s="329" t="s">
        <v>179</v>
      </c>
      <c r="AW89" s="329" t="s">
        <v>2047</v>
      </c>
      <c r="AX89" s="329" t="s">
        <v>336</v>
      </c>
      <c r="AY89" s="329" t="s">
        <v>1491</v>
      </c>
      <c r="AZ89" s="329" t="s">
        <v>2048</v>
      </c>
      <c r="BA89" s="329" t="s">
        <v>101</v>
      </c>
      <c r="BB89" s="329" t="s">
        <v>2049</v>
      </c>
      <c r="BC89" s="329" t="s">
        <v>862</v>
      </c>
      <c r="BD89" s="329" t="s">
        <v>2050</v>
      </c>
      <c r="BE89" s="329" t="s">
        <v>2051</v>
      </c>
      <c r="BF89" s="329" t="s">
        <v>489</v>
      </c>
      <c r="BG89" s="329" t="s">
        <v>2052</v>
      </c>
      <c r="BH89" s="329" t="s">
        <v>2053</v>
      </c>
      <c r="BI89" s="329" t="s">
        <v>2054</v>
      </c>
      <c r="BJ89" s="329" t="s">
        <v>1228</v>
      </c>
      <c r="BK89" s="329" t="s">
        <v>2055</v>
      </c>
      <c r="BL89" s="329" t="s">
        <v>2056</v>
      </c>
      <c r="BM89" s="329" t="s">
        <v>138</v>
      </c>
      <c r="BN89" s="329"/>
      <c r="BO89" s="329" t="s">
        <v>2057</v>
      </c>
      <c r="BP89" s="329" t="s">
        <v>2058</v>
      </c>
      <c r="BQ89" s="329" t="s">
        <v>2059</v>
      </c>
      <c r="BR89" s="329" t="s">
        <v>201</v>
      </c>
      <c r="BS89" s="329"/>
      <c r="BT89" s="329" t="s">
        <v>2060</v>
      </c>
    </row>
    <row r="90" spans="1:72" ht="17.25" hidden="1" customHeight="1">
      <c r="A90" s="46" t="s">
        <v>2061</v>
      </c>
      <c r="B90" s="46"/>
      <c r="C90" s="45" t="s">
        <v>2062</v>
      </c>
      <c r="D90" s="47">
        <v>2024</v>
      </c>
      <c r="E90" s="45" t="s">
        <v>2063</v>
      </c>
      <c r="F90" s="48" t="str">
        <f>HYPERLINK("http://dx.doi.org/10.1111/cgf.15108","http://dx.doi.org/10.1111/cgf.15108")</f>
        <v>http://dx.doi.org/10.1111/cgf.15108</v>
      </c>
      <c r="G90" s="51" t="s">
        <v>2064</v>
      </c>
      <c r="H90" s="51"/>
      <c r="I90" s="51" t="s">
        <v>112</v>
      </c>
      <c r="J90" s="50" t="s">
        <v>2065</v>
      </c>
      <c r="K90" s="52" t="s">
        <v>2066</v>
      </c>
      <c r="L90" s="45" t="s">
        <v>2067</v>
      </c>
      <c r="M90" s="45"/>
      <c r="N90" s="51"/>
      <c r="O90" s="53"/>
      <c r="P90" s="53"/>
      <c r="Q90" s="54"/>
      <c r="R90" s="50"/>
      <c r="S90" s="53"/>
      <c r="T90" s="53"/>
      <c r="U90" s="53"/>
      <c r="V90" s="53"/>
      <c r="W90" s="53"/>
      <c r="X90" s="53"/>
      <c r="Y90" s="53"/>
      <c r="Z90" s="53"/>
      <c r="AA90" s="54"/>
      <c r="AB90" s="54"/>
      <c r="AC90" s="54"/>
      <c r="AD90" s="50"/>
      <c r="AE90" s="51" t="s">
        <v>1977</v>
      </c>
      <c r="AF90" s="51"/>
      <c r="AG90" s="51"/>
      <c r="AH90" s="53"/>
      <c r="AI90" s="54"/>
      <c r="AJ90" s="56"/>
      <c r="AK90" s="54"/>
      <c r="AL90" s="54"/>
      <c r="AM90" s="54"/>
      <c r="AN90" s="54"/>
      <c r="AO90" s="53"/>
      <c r="AP90" s="55"/>
      <c r="AQ90" s="55"/>
      <c r="AR90" s="55"/>
      <c r="AS90" s="53" t="s">
        <v>2068</v>
      </c>
      <c r="AT90" s="55"/>
      <c r="AU90" s="55"/>
      <c r="AV90" s="56"/>
      <c r="AW90" s="54"/>
      <c r="AX90" s="53"/>
      <c r="AY90" s="53"/>
      <c r="AZ90" s="53"/>
      <c r="BA90" s="53"/>
      <c r="BB90" s="58"/>
      <c r="BC90" s="51"/>
      <c r="BD90" s="59"/>
      <c r="BE90" s="57"/>
      <c r="BF90" s="57"/>
      <c r="BG90" s="57"/>
      <c r="BH90" s="57"/>
      <c r="BI90" s="57"/>
      <c r="BJ90" s="57"/>
      <c r="BK90" s="53"/>
      <c r="BL90" s="50"/>
      <c r="BM90" s="54"/>
      <c r="BN90" s="57"/>
      <c r="BO90" s="53"/>
      <c r="BP90" s="54"/>
      <c r="BQ90" s="56" t="s">
        <v>2069</v>
      </c>
      <c r="BR90" s="54" t="s">
        <v>107</v>
      </c>
      <c r="BS90" s="43"/>
      <c r="BT90" s="43"/>
    </row>
    <row r="91" spans="1:72" s="338" customFormat="1" ht="17.25" customHeight="1">
      <c r="A91" s="329" t="s">
        <v>2070</v>
      </c>
      <c r="B91" s="329"/>
      <c r="C91" s="329" t="s">
        <v>2071</v>
      </c>
      <c r="D91" s="340">
        <v>2024</v>
      </c>
      <c r="E91" s="329" t="s">
        <v>2072</v>
      </c>
      <c r="F91" s="354" t="str">
        <f>HYPERLINK("http://dx.doi.org/10.1109/TVCG.2023.3248319","http://dx.doi.org/10.1109/TVCG.2023.3248319")</f>
        <v>http://dx.doi.org/10.1109/TVCG.2023.3248319</v>
      </c>
      <c r="G91" s="329" t="s">
        <v>4228</v>
      </c>
      <c r="H91" s="329"/>
      <c r="I91" s="329" t="s">
        <v>2073</v>
      </c>
      <c r="J91" s="329" t="s">
        <v>2074</v>
      </c>
      <c r="K91" s="329" t="s">
        <v>2075</v>
      </c>
      <c r="L91" s="329" t="s">
        <v>1273</v>
      </c>
      <c r="M91" s="329" t="s">
        <v>2076</v>
      </c>
      <c r="N91" s="329" t="s">
        <v>214</v>
      </c>
      <c r="O91" s="329" t="s">
        <v>2077</v>
      </c>
      <c r="P91" s="329" t="s">
        <v>2078</v>
      </c>
      <c r="Q91" s="329" t="s">
        <v>2079</v>
      </c>
      <c r="R91" s="332" t="s">
        <v>90</v>
      </c>
      <c r="S91" s="351" t="s">
        <v>2080</v>
      </c>
      <c r="T91" s="329" t="s">
        <v>174</v>
      </c>
      <c r="U91" s="329" t="s">
        <v>2081</v>
      </c>
      <c r="V91" s="329" t="s">
        <v>2082</v>
      </c>
      <c r="W91" s="329" t="s">
        <v>996</v>
      </c>
      <c r="X91" s="332" t="s">
        <v>2083</v>
      </c>
      <c r="Y91" s="329" t="s">
        <v>2084</v>
      </c>
      <c r="Z91" s="329"/>
      <c r="AA91" s="328" t="s">
        <v>177</v>
      </c>
      <c r="AB91" s="328" t="s">
        <v>178</v>
      </c>
      <c r="AC91" s="329" t="s">
        <v>2085</v>
      </c>
      <c r="AD91" s="329" t="s">
        <v>1170</v>
      </c>
      <c r="AE91" s="329" t="s">
        <v>2086</v>
      </c>
      <c r="AF91" s="329" t="s">
        <v>1000</v>
      </c>
      <c r="AG91" s="329" t="s">
        <v>1951</v>
      </c>
      <c r="AH91" s="329" t="s">
        <v>1952</v>
      </c>
      <c r="AI91" s="374"/>
      <c r="AJ91" s="403" t="s">
        <v>2087</v>
      </c>
      <c r="AK91" s="374"/>
      <c r="AL91" s="329" t="s">
        <v>2088</v>
      </c>
      <c r="AM91" s="329" t="s">
        <v>2089</v>
      </c>
      <c r="AN91" s="329" t="s">
        <v>138</v>
      </c>
      <c r="AO91" s="329" t="s">
        <v>2090</v>
      </c>
      <c r="AP91" s="329" t="s">
        <v>139</v>
      </c>
      <c r="AQ91" s="329" t="s">
        <v>140</v>
      </c>
      <c r="AR91" s="329" t="s">
        <v>185</v>
      </c>
      <c r="AS91" s="329" t="s">
        <v>98</v>
      </c>
      <c r="AT91" s="329" t="s">
        <v>2091</v>
      </c>
      <c r="AU91" s="329"/>
      <c r="AV91" s="329" t="s">
        <v>179</v>
      </c>
      <c r="AW91" s="329" t="s">
        <v>288</v>
      </c>
      <c r="AX91" s="329" t="s">
        <v>336</v>
      </c>
      <c r="AY91" s="329" t="s">
        <v>936</v>
      </c>
      <c r="AZ91" s="329" t="s">
        <v>2092</v>
      </c>
      <c r="BA91" s="329" t="s">
        <v>101</v>
      </c>
      <c r="BB91" s="329" t="s">
        <v>2093</v>
      </c>
      <c r="BC91" s="329" t="s">
        <v>2094</v>
      </c>
      <c r="BD91" s="329" t="s">
        <v>2095</v>
      </c>
      <c r="BE91" s="329" t="s">
        <v>2096</v>
      </c>
      <c r="BF91" s="329" t="s">
        <v>2097</v>
      </c>
      <c r="BG91" s="329" t="s">
        <v>2098</v>
      </c>
      <c r="BH91" s="329" t="s">
        <v>2099</v>
      </c>
      <c r="BI91" s="329" t="s">
        <v>2100</v>
      </c>
      <c r="BJ91" s="329" t="s">
        <v>1393</v>
      </c>
      <c r="BK91" s="329" t="s">
        <v>2101</v>
      </c>
      <c r="BL91" s="329" t="s">
        <v>1011</v>
      </c>
      <c r="BM91" s="329" t="s">
        <v>137</v>
      </c>
      <c r="BN91" s="332" t="s">
        <v>2102</v>
      </c>
      <c r="BO91" s="329" t="s">
        <v>2103</v>
      </c>
      <c r="BP91" s="329" t="s">
        <v>2104</v>
      </c>
      <c r="BQ91" s="329"/>
      <c r="BR91" s="329" t="s">
        <v>201</v>
      </c>
      <c r="BS91" s="329"/>
      <c r="BT91" s="329"/>
    </row>
    <row r="92" spans="1:72" s="338" customFormat="1" ht="17.25" customHeight="1">
      <c r="A92" s="329" t="s">
        <v>2105</v>
      </c>
      <c r="B92" s="329"/>
      <c r="C92" s="329" t="s">
        <v>2106</v>
      </c>
      <c r="D92" s="340">
        <v>2024</v>
      </c>
      <c r="E92" s="329" t="s">
        <v>2107</v>
      </c>
      <c r="F92" s="357" t="s">
        <v>2108</v>
      </c>
      <c r="G92" s="357" t="s">
        <v>2108</v>
      </c>
      <c r="H92" s="329"/>
      <c r="I92" s="329" t="s">
        <v>351</v>
      </c>
      <c r="J92" s="329" t="s">
        <v>2109</v>
      </c>
      <c r="K92" s="329" t="s">
        <v>2110</v>
      </c>
      <c r="L92" s="329" t="s">
        <v>267</v>
      </c>
      <c r="M92" s="329" t="s">
        <v>268</v>
      </c>
      <c r="N92" s="329" t="s">
        <v>214</v>
      </c>
      <c r="O92" s="329" t="s">
        <v>2111</v>
      </c>
      <c r="P92" s="329" t="s">
        <v>2112</v>
      </c>
      <c r="Q92" s="329" t="s">
        <v>2113</v>
      </c>
      <c r="R92" s="332" t="s">
        <v>90</v>
      </c>
      <c r="S92" s="329" t="s">
        <v>2114</v>
      </c>
      <c r="T92" s="329" t="s">
        <v>2115</v>
      </c>
      <c r="U92" s="329" t="s">
        <v>2116</v>
      </c>
      <c r="V92" s="329" t="s">
        <v>1342</v>
      </c>
      <c r="W92" s="332" t="s">
        <v>1343</v>
      </c>
      <c r="X92" s="332" t="s">
        <v>2117</v>
      </c>
      <c r="Y92" s="329"/>
      <c r="Z92" s="332" t="s">
        <v>2118</v>
      </c>
      <c r="AA92" s="328" t="s">
        <v>177</v>
      </c>
      <c r="AB92" s="329" t="s">
        <v>2119</v>
      </c>
      <c r="AC92" s="329" t="s">
        <v>2120</v>
      </c>
      <c r="AD92" s="329" t="s">
        <v>1717</v>
      </c>
      <c r="AE92" s="329" t="s">
        <v>530</v>
      </c>
      <c r="AF92" s="329" t="s">
        <v>530</v>
      </c>
      <c r="AG92" s="329" t="s">
        <v>688</v>
      </c>
      <c r="AH92" s="329" t="s">
        <v>538</v>
      </c>
      <c r="AI92" s="375"/>
      <c r="AJ92" s="406" t="s">
        <v>2121</v>
      </c>
      <c r="AK92" s="375"/>
      <c r="AL92" s="329"/>
      <c r="AM92" s="329" t="s">
        <v>138</v>
      </c>
      <c r="AN92" s="329" t="s">
        <v>138</v>
      </c>
      <c r="AO92" s="329"/>
      <c r="AP92" s="329" t="s">
        <v>139</v>
      </c>
      <c r="AQ92" s="329" t="s">
        <v>540</v>
      </c>
      <c r="AR92" s="329" t="s">
        <v>935</v>
      </c>
      <c r="AS92" s="329" t="s">
        <v>859</v>
      </c>
      <c r="AT92" s="329" t="s">
        <v>2122</v>
      </c>
      <c r="AU92" s="329"/>
      <c r="AV92" s="329" t="s">
        <v>143</v>
      </c>
      <c r="AW92" s="329" t="s">
        <v>2123</v>
      </c>
      <c r="AX92" s="329" t="s">
        <v>145</v>
      </c>
      <c r="AY92" s="329" t="s">
        <v>189</v>
      </c>
      <c r="AZ92" s="329" t="s">
        <v>2124</v>
      </c>
      <c r="BA92" s="329" t="s">
        <v>2124</v>
      </c>
      <c r="BB92" s="329">
        <v>19</v>
      </c>
      <c r="BC92" s="329"/>
      <c r="BD92" s="329" t="s">
        <v>2125</v>
      </c>
      <c r="BE92" s="329" t="s">
        <v>2126</v>
      </c>
      <c r="BF92" s="329" t="s">
        <v>193</v>
      </c>
      <c r="BG92" s="329" t="s">
        <v>2127</v>
      </c>
      <c r="BH92" s="329" t="s">
        <v>2128</v>
      </c>
      <c r="BI92" s="329">
        <v>90</v>
      </c>
      <c r="BJ92" s="329" t="s">
        <v>1393</v>
      </c>
      <c r="BK92" s="329" t="s">
        <v>2129</v>
      </c>
      <c r="BL92" s="329" t="s">
        <v>2130</v>
      </c>
      <c r="BM92" s="329" t="s">
        <v>138</v>
      </c>
      <c r="BN92" s="363"/>
      <c r="BO92" s="329" t="s">
        <v>2131</v>
      </c>
      <c r="BP92" s="329" t="s">
        <v>2132</v>
      </c>
      <c r="BQ92" s="329" t="s">
        <v>2133</v>
      </c>
      <c r="BR92" s="329" t="s">
        <v>201</v>
      </c>
      <c r="BS92" s="329"/>
      <c r="BT92" s="329"/>
    </row>
    <row r="93" spans="1:72" s="338" customFormat="1" ht="17.25" customHeight="1">
      <c r="A93" s="329" t="s">
        <v>2134</v>
      </c>
      <c r="B93" s="329"/>
      <c r="C93" s="329" t="s">
        <v>2135</v>
      </c>
      <c r="D93" s="340">
        <v>2024</v>
      </c>
      <c r="E93" s="329" t="s">
        <v>2136</v>
      </c>
      <c r="F93" s="357" t="s">
        <v>2137</v>
      </c>
      <c r="G93" s="329" t="s">
        <v>2138</v>
      </c>
      <c r="H93" s="329"/>
      <c r="I93" s="329" t="s">
        <v>112</v>
      </c>
      <c r="J93" s="329" t="s">
        <v>2139</v>
      </c>
      <c r="K93" s="332" t="s">
        <v>2140</v>
      </c>
      <c r="L93" s="329" t="s">
        <v>844</v>
      </c>
      <c r="M93" s="329" t="s">
        <v>2141</v>
      </c>
      <c r="N93" s="329" t="s">
        <v>214</v>
      </c>
      <c r="O93" s="329" t="s">
        <v>2142</v>
      </c>
      <c r="P93" s="329" t="s">
        <v>2143</v>
      </c>
      <c r="Q93" s="329" t="s">
        <v>2144</v>
      </c>
      <c r="R93" s="332" t="s">
        <v>90</v>
      </c>
      <c r="S93" s="329" t="s">
        <v>2145</v>
      </c>
      <c r="T93" s="329" t="s">
        <v>2146</v>
      </c>
      <c r="U93" s="329" t="s">
        <v>124</v>
      </c>
      <c r="V93" s="329" t="s">
        <v>124</v>
      </c>
      <c r="W93" s="332" t="s">
        <v>124</v>
      </c>
      <c r="X93" s="332" t="s">
        <v>2147</v>
      </c>
      <c r="Y93" s="329" t="s">
        <v>2148</v>
      </c>
      <c r="Z93" s="332" t="s">
        <v>2149</v>
      </c>
      <c r="AA93" s="329" t="s">
        <v>364</v>
      </c>
      <c r="AB93" s="329" t="s">
        <v>2150</v>
      </c>
      <c r="AC93" s="329" t="s">
        <v>2151</v>
      </c>
      <c r="AD93" s="329" t="s">
        <v>1170</v>
      </c>
      <c r="AE93" s="329" t="s">
        <v>2152</v>
      </c>
      <c r="AF93" s="329" t="s">
        <v>328</v>
      </c>
      <c r="AG93" s="329" t="s">
        <v>2153</v>
      </c>
      <c r="AH93" s="329" t="s">
        <v>2154</v>
      </c>
      <c r="AI93" s="374"/>
      <c r="AJ93" s="403" t="s">
        <v>2155</v>
      </c>
      <c r="AK93" s="374"/>
      <c r="AL93" s="329" t="s">
        <v>2156</v>
      </c>
      <c r="AM93" s="329" t="s">
        <v>138</v>
      </c>
      <c r="AN93" s="329" t="s">
        <v>138</v>
      </c>
      <c r="AO93" s="329" t="s">
        <v>2157</v>
      </c>
      <c r="AP93" s="329" t="s">
        <v>139</v>
      </c>
      <c r="AQ93" s="329" t="s">
        <v>140</v>
      </c>
      <c r="AR93" s="329" t="s">
        <v>185</v>
      </c>
      <c r="AS93" s="329" t="s">
        <v>98</v>
      </c>
      <c r="AT93" s="329" t="s">
        <v>2158</v>
      </c>
      <c r="AU93" s="329" t="s">
        <v>2159</v>
      </c>
      <c r="AV93" s="329" t="s">
        <v>179</v>
      </c>
      <c r="AW93" s="329" t="s">
        <v>288</v>
      </c>
      <c r="AX93" s="329" t="s">
        <v>179</v>
      </c>
      <c r="AY93" s="329" t="s">
        <v>337</v>
      </c>
      <c r="AZ93" s="329" t="s">
        <v>2160</v>
      </c>
      <c r="BA93" s="329" t="s">
        <v>2160</v>
      </c>
      <c r="BB93" s="329">
        <v>800</v>
      </c>
      <c r="BC93" s="329" t="s">
        <v>2161</v>
      </c>
      <c r="BD93" s="329" t="s">
        <v>2162</v>
      </c>
      <c r="BE93" s="329" t="s">
        <v>2163</v>
      </c>
      <c r="BF93" s="329" t="s">
        <v>380</v>
      </c>
      <c r="BG93" s="329" t="s">
        <v>2164</v>
      </c>
      <c r="BH93" s="329" t="s">
        <v>2165</v>
      </c>
      <c r="BI93" s="329">
        <v>1.5</v>
      </c>
      <c r="BJ93" s="329" t="s">
        <v>195</v>
      </c>
      <c r="BK93" s="329" t="s">
        <v>976</v>
      </c>
      <c r="BL93" s="329" t="s">
        <v>2166</v>
      </c>
      <c r="BM93" s="329" t="s">
        <v>137</v>
      </c>
      <c r="BN93" s="329" t="s">
        <v>2167</v>
      </c>
      <c r="BO93" s="329" t="s">
        <v>2168</v>
      </c>
      <c r="BP93" s="329" t="s">
        <v>2169</v>
      </c>
      <c r="BQ93" s="329" t="s">
        <v>2170</v>
      </c>
      <c r="BR93" s="329" t="s">
        <v>201</v>
      </c>
      <c r="BS93" s="329"/>
      <c r="BT93" s="329"/>
    </row>
    <row r="94" spans="1:72" ht="17.25" hidden="1" customHeight="1">
      <c r="A94" s="19" t="s">
        <v>2171</v>
      </c>
      <c r="B94" s="19"/>
      <c r="C94" s="62" t="s">
        <v>2172</v>
      </c>
      <c r="D94" s="61">
        <v>2024</v>
      </c>
      <c r="E94" s="62" t="s">
        <v>2173</v>
      </c>
      <c r="F94" s="109" t="s">
        <v>2174</v>
      </c>
      <c r="G94" s="25"/>
      <c r="H94" s="25"/>
      <c r="I94" s="25" t="s">
        <v>112</v>
      </c>
      <c r="J94" s="110" t="s">
        <v>2175</v>
      </c>
      <c r="K94" s="111" t="s">
        <v>2176</v>
      </c>
      <c r="L94" s="62" t="s">
        <v>530</v>
      </c>
      <c r="M94" s="62" t="s">
        <v>2177</v>
      </c>
      <c r="N94" s="90" t="s">
        <v>214</v>
      </c>
      <c r="O94" s="28" t="s">
        <v>2178</v>
      </c>
      <c r="P94" s="28" t="s">
        <v>2179</v>
      </c>
      <c r="Q94" s="29" t="s">
        <v>2180</v>
      </c>
      <c r="R94" s="110" t="s">
        <v>849</v>
      </c>
      <c r="S94" s="28" t="s">
        <v>2181</v>
      </c>
      <c r="T94" s="28" t="s">
        <v>2182</v>
      </c>
      <c r="U94" s="28" t="s">
        <v>124</v>
      </c>
      <c r="V94" s="28" t="s">
        <v>2183</v>
      </c>
      <c r="W94" s="31" t="s">
        <v>124</v>
      </c>
      <c r="X94" s="28" t="s">
        <v>2184</v>
      </c>
      <c r="Y94" s="28" t="s">
        <v>2185</v>
      </c>
      <c r="Z94" s="28" t="s">
        <v>2186</v>
      </c>
      <c r="AA94" s="29"/>
      <c r="AB94" s="29"/>
      <c r="AC94" s="29" t="s">
        <v>1922</v>
      </c>
      <c r="AD94" s="32" t="s">
        <v>2187</v>
      </c>
      <c r="AE94" s="25" t="s">
        <v>2188</v>
      </c>
      <c r="AF94" s="25"/>
      <c r="AG94" s="25"/>
      <c r="AH94" s="28" t="s">
        <v>2189</v>
      </c>
      <c r="AI94" s="29"/>
      <c r="AJ94" s="39" t="s">
        <v>2190</v>
      </c>
      <c r="AK94" s="29"/>
      <c r="AL94" s="29"/>
      <c r="AM94" s="23" t="s">
        <v>138</v>
      </c>
      <c r="AN94" s="23" t="s">
        <v>138</v>
      </c>
      <c r="AO94" s="28"/>
      <c r="AP94" s="33" t="s">
        <v>139</v>
      </c>
      <c r="AQ94" s="33" t="s">
        <v>2191</v>
      </c>
      <c r="AR94" s="33" t="s">
        <v>584</v>
      </c>
      <c r="AS94" s="25" t="s">
        <v>98</v>
      </c>
      <c r="AT94" s="33" t="s">
        <v>2192</v>
      </c>
      <c r="AU94" s="33" t="s">
        <v>2193</v>
      </c>
      <c r="AV94" s="34" t="s">
        <v>179</v>
      </c>
      <c r="AW94" s="29" t="s">
        <v>288</v>
      </c>
      <c r="AX94" s="28" t="s">
        <v>336</v>
      </c>
      <c r="AY94" s="25" t="s">
        <v>337</v>
      </c>
      <c r="AZ94" s="25" t="s">
        <v>101</v>
      </c>
      <c r="BA94" s="25" t="s">
        <v>101</v>
      </c>
      <c r="BB94" s="37" t="s">
        <v>2194</v>
      </c>
      <c r="BC94" s="25"/>
      <c r="BD94" s="38"/>
      <c r="BE94" s="35" t="s">
        <v>2195</v>
      </c>
      <c r="BF94" s="35" t="s">
        <v>380</v>
      </c>
      <c r="BG94" s="35" t="s">
        <v>2196</v>
      </c>
      <c r="BH94" s="35" t="s">
        <v>2197</v>
      </c>
      <c r="BI94" s="36" t="s">
        <v>2198</v>
      </c>
      <c r="BJ94" s="35"/>
      <c r="BK94" s="25" t="s">
        <v>976</v>
      </c>
      <c r="BL94" s="32" t="s">
        <v>2199</v>
      </c>
      <c r="BM94" s="23"/>
      <c r="BN94" s="38" t="s">
        <v>2200</v>
      </c>
      <c r="BO94" s="28"/>
      <c r="BP94" s="29" t="s">
        <v>2201</v>
      </c>
      <c r="BQ94" s="39" t="s">
        <v>2202</v>
      </c>
      <c r="BR94" s="23" t="s">
        <v>158</v>
      </c>
      <c r="BS94" s="62"/>
      <c r="BT94" s="62"/>
    </row>
    <row r="95" spans="1:72" ht="17.25" hidden="1" customHeight="1">
      <c r="A95" s="180" t="s">
        <v>2203</v>
      </c>
      <c r="B95" s="180"/>
      <c r="C95" s="181" t="s">
        <v>2204</v>
      </c>
      <c r="D95" s="182">
        <v>2024</v>
      </c>
      <c r="E95" s="181" t="s">
        <v>2205</v>
      </c>
      <c r="F95" s="183" t="s">
        <v>2206</v>
      </c>
      <c r="G95" s="184" t="s">
        <v>2207</v>
      </c>
      <c r="H95" s="184"/>
      <c r="I95" s="184" t="s">
        <v>2208</v>
      </c>
      <c r="J95" s="30" t="s">
        <v>2209</v>
      </c>
      <c r="K95" s="128" t="s">
        <v>2210</v>
      </c>
      <c r="L95" s="181" t="s">
        <v>267</v>
      </c>
      <c r="M95" s="181" t="s">
        <v>2024</v>
      </c>
      <c r="N95" s="185" t="s">
        <v>312</v>
      </c>
      <c r="O95" s="31" t="s">
        <v>2211</v>
      </c>
      <c r="P95" s="31" t="s">
        <v>2212</v>
      </c>
      <c r="Q95" s="127" t="s">
        <v>2213</v>
      </c>
      <c r="R95" s="112" t="s">
        <v>90</v>
      </c>
      <c r="S95" s="31" t="s">
        <v>2214</v>
      </c>
      <c r="T95" s="31" t="s">
        <v>2215</v>
      </c>
      <c r="U95" s="31" t="s">
        <v>124</v>
      </c>
      <c r="V95" s="31" t="s">
        <v>124</v>
      </c>
      <c r="W95" s="31" t="s">
        <v>124</v>
      </c>
      <c r="X95" s="31"/>
      <c r="Y95" s="31" t="s">
        <v>2216</v>
      </c>
      <c r="Z95" s="31" t="s">
        <v>2217</v>
      </c>
      <c r="AA95" s="127" t="s">
        <v>364</v>
      </c>
      <c r="AB95" s="127"/>
      <c r="AC95" s="127" t="s">
        <v>2218</v>
      </c>
      <c r="AD95" s="30" t="s">
        <v>180</v>
      </c>
      <c r="AE95" s="184" t="s">
        <v>530</v>
      </c>
      <c r="AF95" s="184"/>
      <c r="AG95" s="184"/>
      <c r="AH95" s="31" t="s">
        <v>145</v>
      </c>
      <c r="AI95" s="127"/>
      <c r="AJ95" s="191" t="s">
        <v>2219</v>
      </c>
      <c r="AK95" s="127"/>
      <c r="AL95" s="127"/>
      <c r="AM95" s="179" t="s">
        <v>138</v>
      </c>
      <c r="AN95" s="179" t="s">
        <v>138</v>
      </c>
      <c r="AO95" s="31"/>
      <c r="AP95" s="33" t="s">
        <v>139</v>
      </c>
      <c r="AQ95" s="186" t="s">
        <v>140</v>
      </c>
      <c r="AR95" s="33" t="s">
        <v>2044</v>
      </c>
      <c r="AS95" s="184" t="s">
        <v>691</v>
      </c>
      <c r="AT95" s="186" t="s">
        <v>2220</v>
      </c>
      <c r="AU95" s="186"/>
      <c r="AV95" s="187" t="s">
        <v>143</v>
      </c>
      <c r="AW95" s="127" t="s">
        <v>2221</v>
      </c>
      <c r="AX95" s="31" t="s">
        <v>416</v>
      </c>
      <c r="AY95" s="31" t="s">
        <v>2222</v>
      </c>
      <c r="AZ95" s="31" t="s">
        <v>416</v>
      </c>
      <c r="BA95" s="31" t="s">
        <v>416</v>
      </c>
      <c r="BB95" s="31" t="s">
        <v>416</v>
      </c>
      <c r="BC95" s="31" t="s">
        <v>416</v>
      </c>
      <c r="BD95" s="188" t="s">
        <v>2223</v>
      </c>
      <c r="BE95" s="188" t="s">
        <v>2224</v>
      </c>
      <c r="BF95" s="188" t="s">
        <v>2225</v>
      </c>
      <c r="BG95" s="188" t="s">
        <v>2226</v>
      </c>
      <c r="BH95" s="188" t="s">
        <v>2227</v>
      </c>
      <c r="BI95" s="189" t="s">
        <v>2228</v>
      </c>
      <c r="BJ95" s="188" t="s">
        <v>416</v>
      </c>
      <c r="BK95" s="31" t="s">
        <v>416</v>
      </c>
      <c r="BL95" s="30" t="s">
        <v>2229</v>
      </c>
      <c r="BM95" s="179"/>
      <c r="BN95" s="190" t="s">
        <v>2230</v>
      </c>
      <c r="BO95" s="31" t="s">
        <v>2231</v>
      </c>
      <c r="BP95" s="127" t="s">
        <v>2232</v>
      </c>
      <c r="BQ95" s="192" t="s">
        <v>2233</v>
      </c>
      <c r="BR95" s="179" t="s">
        <v>158</v>
      </c>
      <c r="BS95" s="33"/>
      <c r="BT95" s="33"/>
    </row>
    <row r="96" spans="1:72" ht="17.25" hidden="1" customHeight="1">
      <c r="A96" s="130" t="s">
        <v>2234</v>
      </c>
      <c r="B96" s="130"/>
      <c r="C96" s="133" t="s">
        <v>2235</v>
      </c>
      <c r="D96" s="131">
        <v>2024</v>
      </c>
      <c r="E96" s="133" t="s">
        <v>2236</v>
      </c>
      <c r="F96" s="173" t="s">
        <v>2237</v>
      </c>
      <c r="G96" s="175"/>
      <c r="H96" s="175"/>
      <c r="I96" s="135" t="s">
        <v>2021</v>
      </c>
      <c r="J96" s="174" t="s">
        <v>2238</v>
      </c>
      <c r="K96" s="176" t="s">
        <v>2239</v>
      </c>
      <c r="L96" s="133" t="s">
        <v>267</v>
      </c>
      <c r="M96" s="133" t="s">
        <v>2024</v>
      </c>
      <c r="N96" s="175" t="s">
        <v>312</v>
      </c>
      <c r="O96" s="138" t="s">
        <v>2240</v>
      </c>
      <c r="P96" s="138" t="s">
        <v>2241</v>
      </c>
      <c r="Q96" s="142" t="s">
        <v>2242</v>
      </c>
      <c r="R96" s="174" t="s">
        <v>90</v>
      </c>
      <c r="S96" s="141" t="s">
        <v>2243</v>
      </c>
      <c r="T96" s="138" t="s">
        <v>2244</v>
      </c>
      <c r="U96" s="138" t="s">
        <v>2245</v>
      </c>
      <c r="V96" s="138" t="s">
        <v>2246</v>
      </c>
      <c r="W96" s="138"/>
      <c r="X96" s="138"/>
      <c r="Y96" s="138"/>
      <c r="Z96" s="138" t="s">
        <v>2247</v>
      </c>
      <c r="AA96" s="142" t="s">
        <v>130</v>
      </c>
      <c r="AB96" s="142"/>
      <c r="AC96" s="142" t="s">
        <v>2037</v>
      </c>
      <c r="AD96" s="140" t="s">
        <v>180</v>
      </c>
      <c r="AE96" s="135" t="s">
        <v>2248</v>
      </c>
      <c r="AF96" s="135"/>
      <c r="AG96" s="135"/>
      <c r="AH96" s="138" t="s">
        <v>2249</v>
      </c>
      <c r="AI96" s="142"/>
      <c r="AJ96" s="150" t="s">
        <v>2250</v>
      </c>
      <c r="AK96" s="142"/>
      <c r="AL96" s="142"/>
      <c r="AM96" s="129"/>
      <c r="AN96" s="129"/>
      <c r="AO96" s="138" t="s">
        <v>2043</v>
      </c>
      <c r="AP96" s="143"/>
      <c r="AQ96" s="143"/>
      <c r="AR96" s="143"/>
      <c r="AS96" s="135" t="s">
        <v>98</v>
      </c>
      <c r="AT96" s="143" t="s">
        <v>2251</v>
      </c>
      <c r="AU96" s="143"/>
      <c r="AV96" s="144" t="s">
        <v>179</v>
      </c>
      <c r="AW96" s="142" t="s">
        <v>2252</v>
      </c>
      <c r="AX96" s="138" t="s">
        <v>336</v>
      </c>
      <c r="AY96" s="135"/>
      <c r="AZ96" s="135" t="s">
        <v>2048</v>
      </c>
      <c r="BA96" s="135" t="s">
        <v>101</v>
      </c>
      <c r="BB96" s="147"/>
      <c r="BC96" s="135" t="s">
        <v>862</v>
      </c>
      <c r="BD96" s="148"/>
      <c r="BE96" s="146" t="s">
        <v>2253</v>
      </c>
      <c r="BF96" s="146"/>
      <c r="BG96" s="146" t="s">
        <v>2254</v>
      </c>
      <c r="BH96" s="146" t="s">
        <v>2255</v>
      </c>
      <c r="BI96" s="177" t="s">
        <v>2256</v>
      </c>
      <c r="BJ96" s="146" t="s">
        <v>1228</v>
      </c>
      <c r="BK96" s="135" t="s">
        <v>2257</v>
      </c>
      <c r="BL96" s="140" t="s">
        <v>2258</v>
      </c>
      <c r="BM96" s="129"/>
      <c r="BN96" s="148"/>
      <c r="BO96" s="138" t="s">
        <v>2259</v>
      </c>
      <c r="BP96" s="142" t="s">
        <v>2260</v>
      </c>
      <c r="BQ96" s="150" t="s">
        <v>2261</v>
      </c>
      <c r="BR96" s="129" t="s">
        <v>107</v>
      </c>
      <c r="BS96" s="133"/>
      <c r="BT96" s="133"/>
    </row>
    <row r="97" spans="1:72" s="338" customFormat="1" ht="17.25" customHeight="1">
      <c r="A97" s="329" t="s">
        <v>2262</v>
      </c>
      <c r="B97" s="329"/>
      <c r="C97" s="329" t="s">
        <v>2263</v>
      </c>
      <c r="D97" s="340">
        <v>2024</v>
      </c>
      <c r="E97" s="329" t="s">
        <v>2264</v>
      </c>
      <c r="F97" s="354" t="str">
        <f>HYPERLINK("http://dx.doi.org/10.1080/15230406.2024.2334454","http://dx.doi.org/10.1080/15230406.2024.2334454")</f>
        <v>http://dx.doi.org/10.1080/15230406.2024.2334454</v>
      </c>
      <c r="G97" s="329" t="s">
        <v>4229</v>
      </c>
      <c r="H97" s="329"/>
      <c r="I97" s="329" t="s">
        <v>1334</v>
      </c>
      <c r="J97" s="329" t="s">
        <v>2265</v>
      </c>
      <c r="K97" s="329" t="s">
        <v>2266</v>
      </c>
      <c r="L97" s="329" t="s">
        <v>530</v>
      </c>
      <c r="M97" s="329" t="s">
        <v>530</v>
      </c>
      <c r="N97" s="329" t="s">
        <v>117</v>
      </c>
      <c r="O97" s="329" t="s">
        <v>2267</v>
      </c>
      <c r="P97" s="329" t="s">
        <v>2268</v>
      </c>
      <c r="Q97" s="362" t="s">
        <v>2269</v>
      </c>
      <c r="R97" s="332" t="s">
        <v>849</v>
      </c>
      <c r="S97" s="329" t="s">
        <v>416</v>
      </c>
      <c r="T97" s="329" t="s">
        <v>321</v>
      </c>
      <c r="U97" s="329" t="s">
        <v>124</v>
      </c>
      <c r="V97" s="329" t="s">
        <v>124</v>
      </c>
      <c r="W97" s="332" t="s">
        <v>124</v>
      </c>
      <c r="X97" s="332" t="s">
        <v>2270</v>
      </c>
      <c r="Y97" s="329"/>
      <c r="Z97" s="332" t="s">
        <v>2271</v>
      </c>
      <c r="AA97" s="329" t="s">
        <v>364</v>
      </c>
      <c r="AB97" s="329" t="s">
        <v>2272</v>
      </c>
      <c r="AC97" s="329" t="s">
        <v>2273</v>
      </c>
      <c r="AD97" s="329" t="s">
        <v>132</v>
      </c>
      <c r="AE97" s="329" t="s">
        <v>2274</v>
      </c>
      <c r="AF97" s="329" t="s">
        <v>2275</v>
      </c>
      <c r="AG97" s="329" t="s">
        <v>282</v>
      </c>
      <c r="AH97" s="329" t="s">
        <v>2276</v>
      </c>
      <c r="AI97" s="374"/>
      <c r="AJ97" s="403" t="s">
        <v>2277</v>
      </c>
      <c r="AK97" s="374"/>
      <c r="AL97" s="329" t="s">
        <v>2278</v>
      </c>
      <c r="AM97" s="329" t="s">
        <v>138</v>
      </c>
      <c r="AN97" s="329" t="s">
        <v>138</v>
      </c>
      <c r="AO97" s="329" t="s">
        <v>2279</v>
      </c>
      <c r="AP97" s="329" t="s">
        <v>333</v>
      </c>
      <c r="AQ97" s="329" t="s">
        <v>140</v>
      </c>
      <c r="AR97" s="329" t="s">
        <v>2280</v>
      </c>
      <c r="AS97" s="329" t="s">
        <v>98</v>
      </c>
      <c r="AT97" s="329" t="s">
        <v>1599</v>
      </c>
      <c r="AU97" s="329"/>
      <c r="AV97" s="329" t="s">
        <v>287</v>
      </c>
      <c r="AW97" s="329" t="s">
        <v>144</v>
      </c>
      <c r="AX97" s="329" t="s">
        <v>179</v>
      </c>
      <c r="AY97" s="329" t="s">
        <v>936</v>
      </c>
      <c r="AZ97" s="329" t="s">
        <v>2281</v>
      </c>
      <c r="BA97" s="329" t="s">
        <v>101</v>
      </c>
      <c r="BB97" s="329">
        <v>82</v>
      </c>
      <c r="BC97" s="329" t="s">
        <v>2282</v>
      </c>
      <c r="BD97" s="329" t="s">
        <v>1453</v>
      </c>
      <c r="BE97" s="329" t="s">
        <v>2283</v>
      </c>
      <c r="BF97" s="329" t="s">
        <v>380</v>
      </c>
      <c r="BG97" s="329" t="s">
        <v>2284</v>
      </c>
      <c r="BH97" s="329" t="s">
        <v>2285</v>
      </c>
      <c r="BI97" s="329">
        <v>15</v>
      </c>
      <c r="BJ97" s="329"/>
      <c r="BK97" s="329" t="s">
        <v>2286</v>
      </c>
      <c r="BL97" s="329" t="s">
        <v>342</v>
      </c>
      <c r="BM97" s="329" t="s">
        <v>137</v>
      </c>
      <c r="BN97" s="329" t="s">
        <v>2287</v>
      </c>
      <c r="BO97" s="329" t="s">
        <v>2288</v>
      </c>
      <c r="BP97" s="329" t="s">
        <v>2289</v>
      </c>
      <c r="BQ97" s="329"/>
      <c r="BR97" s="329" t="s">
        <v>201</v>
      </c>
      <c r="BS97" s="329"/>
      <c r="BT97" s="329"/>
    </row>
    <row r="98" spans="1:72" s="338" customFormat="1" ht="17.25" customHeight="1">
      <c r="A98" s="329" t="s">
        <v>2290</v>
      </c>
      <c r="B98" s="329"/>
      <c r="C98" s="329" t="s">
        <v>2291</v>
      </c>
      <c r="D98" s="340">
        <v>2024</v>
      </c>
      <c r="E98" s="329" t="s">
        <v>2292</v>
      </c>
      <c r="F98" s="354" t="str">
        <f>HYPERLINK("http://dx.doi.org/10.1109/TVCG.2023.3327185","http://dx.doi.org/10.1109/TVCG.2023.3327185")</f>
        <v>http://dx.doi.org/10.1109/TVCG.2023.3327185</v>
      </c>
      <c r="G98" s="329" t="s">
        <v>3112</v>
      </c>
      <c r="H98" s="329"/>
      <c r="I98" s="329" t="s">
        <v>790</v>
      </c>
      <c r="J98" s="329" t="s">
        <v>2293</v>
      </c>
      <c r="K98" s="329" t="s">
        <v>2294</v>
      </c>
      <c r="L98" s="329" t="s">
        <v>267</v>
      </c>
      <c r="M98" s="329" t="s">
        <v>2295</v>
      </c>
      <c r="N98" s="329" t="s">
        <v>1273</v>
      </c>
      <c r="O98" s="329" t="s">
        <v>2296</v>
      </c>
      <c r="P98" s="329" t="s">
        <v>2297</v>
      </c>
      <c r="Q98" s="329" t="s">
        <v>2298</v>
      </c>
      <c r="R98" s="332" t="s">
        <v>90</v>
      </c>
      <c r="S98" s="351" t="s">
        <v>2299</v>
      </c>
      <c r="T98" s="329" t="s">
        <v>1805</v>
      </c>
      <c r="U98" s="329" t="s">
        <v>1806</v>
      </c>
      <c r="V98" s="329" t="s">
        <v>1278</v>
      </c>
      <c r="W98" s="332" t="s">
        <v>1279</v>
      </c>
      <c r="X98" s="332" t="s">
        <v>2300</v>
      </c>
      <c r="Y98" s="329" t="s">
        <v>2301</v>
      </c>
      <c r="Z98" s="332" t="s">
        <v>2302</v>
      </c>
      <c r="AA98" s="329" t="s">
        <v>130</v>
      </c>
      <c r="AB98" s="329" t="s">
        <v>882</v>
      </c>
      <c r="AC98" s="329" t="s">
        <v>882</v>
      </c>
      <c r="AD98" s="329" t="s">
        <v>1170</v>
      </c>
      <c r="AE98" s="329" t="s">
        <v>2303</v>
      </c>
      <c r="AF98" s="329" t="s">
        <v>328</v>
      </c>
      <c r="AG98" s="329" t="s">
        <v>2304</v>
      </c>
      <c r="AH98" s="329" t="s">
        <v>2305</v>
      </c>
      <c r="AI98" s="375" t="s">
        <v>2306</v>
      </c>
      <c r="AJ98" s="403" t="s">
        <v>2307</v>
      </c>
      <c r="AK98" s="374" t="s">
        <v>2308</v>
      </c>
      <c r="AL98" s="329" t="s">
        <v>2309</v>
      </c>
      <c r="AM98" s="329" t="s">
        <v>137</v>
      </c>
      <c r="AN98" s="329" t="s">
        <v>138</v>
      </c>
      <c r="AO98" s="329" t="s">
        <v>2310</v>
      </c>
      <c r="AP98" s="329" t="s">
        <v>139</v>
      </c>
      <c r="AQ98" s="329" t="s">
        <v>140</v>
      </c>
      <c r="AR98" s="329" t="s">
        <v>935</v>
      </c>
      <c r="AS98" s="329" t="s">
        <v>2311</v>
      </c>
      <c r="AT98" s="329" t="s">
        <v>2312</v>
      </c>
      <c r="AU98" s="329"/>
      <c r="AV98" s="329" t="s">
        <v>179</v>
      </c>
      <c r="AW98" s="329" t="s">
        <v>2313</v>
      </c>
      <c r="AX98" s="329" t="s">
        <v>336</v>
      </c>
      <c r="AY98" s="329" t="s">
        <v>2314</v>
      </c>
      <c r="AZ98" s="329" t="s">
        <v>2315</v>
      </c>
      <c r="BA98" s="329" t="s">
        <v>2316</v>
      </c>
      <c r="BB98" s="329">
        <v>216</v>
      </c>
      <c r="BC98" s="329" t="s">
        <v>2317</v>
      </c>
      <c r="BD98" s="329" t="s">
        <v>2318</v>
      </c>
      <c r="BE98" s="329" t="s">
        <v>2319</v>
      </c>
      <c r="BF98" s="329" t="s">
        <v>380</v>
      </c>
      <c r="BG98" s="329" t="s">
        <v>475</v>
      </c>
      <c r="BH98" s="329" t="s">
        <v>2320</v>
      </c>
      <c r="BI98" s="329"/>
      <c r="BJ98" s="329"/>
      <c r="BK98" s="329" t="s">
        <v>2321</v>
      </c>
      <c r="BL98" s="329" t="s">
        <v>2322</v>
      </c>
      <c r="BM98" s="329" t="s">
        <v>137</v>
      </c>
      <c r="BN98" s="329" t="s">
        <v>2323</v>
      </c>
      <c r="BO98" s="329" t="s">
        <v>2324</v>
      </c>
      <c r="BP98" s="329" t="s">
        <v>2325</v>
      </c>
      <c r="BQ98" s="329" t="s">
        <v>2326</v>
      </c>
      <c r="BR98" s="329" t="s">
        <v>201</v>
      </c>
      <c r="BS98" s="329"/>
      <c r="BT98" s="329"/>
    </row>
    <row r="99" spans="1:72" s="338" customFormat="1" ht="17.25" customHeight="1">
      <c r="A99" s="329" t="s">
        <v>2327</v>
      </c>
      <c r="B99" s="329"/>
      <c r="C99" s="329" t="s">
        <v>2328</v>
      </c>
      <c r="D99" s="340">
        <v>2024</v>
      </c>
      <c r="E99" s="329" t="s">
        <v>2329</v>
      </c>
      <c r="F99" s="357" t="s">
        <v>2330</v>
      </c>
      <c r="G99" s="357" t="s">
        <v>2330</v>
      </c>
      <c r="H99" s="329"/>
      <c r="I99" s="329" t="s">
        <v>351</v>
      </c>
      <c r="J99" s="329" t="s">
        <v>2331</v>
      </c>
      <c r="K99" s="329" t="s">
        <v>2332</v>
      </c>
      <c r="L99" s="329" t="s">
        <v>1801</v>
      </c>
      <c r="M99" s="329"/>
      <c r="N99" s="329" t="s">
        <v>214</v>
      </c>
      <c r="O99" s="329" t="s">
        <v>2333</v>
      </c>
      <c r="P99" s="329" t="s">
        <v>2334</v>
      </c>
      <c r="Q99" s="329" t="s">
        <v>2335</v>
      </c>
      <c r="R99" s="332" t="s">
        <v>90</v>
      </c>
      <c r="S99" s="351" t="s">
        <v>2336</v>
      </c>
      <c r="T99" s="329" t="s">
        <v>2337</v>
      </c>
      <c r="U99" s="329" t="s">
        <v>2338</v>
      </c>
      <c r="V99" s="329" t="s">
        <v>2339</v>
      </c>
      <c r="W99" s="329" t="s">
        <v>2338</v>
      </c>
      <c r="X99" s="332"/>
      <c r="Y99" s="329" t="s">
        <v>2340</v>
      </c>
      <c r="Z99" s="332" t="s">
        <v>2341</v>
      </c>
      <c r="AA99" s="329" t="s">
        <v>653</v>
      </c>
      <c r="AB99" s="329" t="s">
        <v>2342</v>
      </c>
      <c r="AC99" s="329" t="s">
        <v>2342</v>
      </c>
      <c r="AD99" s="329" t="s">
        <v>2343</v>
      </c>
      <c r="AE99" s="329" t="s">
        <v>1252</v>
      </c>
      <c r="AF99" s="329" t="s">
        <v>328</v>
      </c>
      <c r="AG99" s="329" t="s">
        <v>2344</v>
      </c>
      <c r="AH99" s="329" t="s">
        <v>2345</v>
      </c>
      <c r="AI99" s="374"/>
      <c r="AJ99" s="403" t="s">
        <v>2346</v>
      </c>
      <c r="AK99" s="374"/>
      <c r="AL99" s="329"/>
      <c r="AM99" s="329" t="s">
        <v>137</v>
      </c>
      <c r="AN99" s="329" t="s">
        <v>138</v>
      </c>
      <c r="AO99" s="329" t="s">
        <v>2347</v>
      </c>
      <c r="AP99" s="329" t="s">
        <v>139</v>
      </c>
      <c r="AQ99" s="329" t="s">
        <v>690</v>
      </c>
      <c r="AR99" s="329" t="s">
        <v>185</v>
      </c>
      <c r="AS99" s="329" t="s">
        <v>98</v>
      </c>
      <c r="AT99" s="329" t="s">
        <v>2348</v>
      </c>
      <c r="AU99" s="329" t="s">
        <v>2349</v>
      </c>
      <c r="AV99" s="329" t="s">
        <v>179</v>
      </c>
      <c r="AW99" s="329" t="s">
        <v>288</v>
      </c>
      <c r="AX99" s="329" t="s">
        <v>188</v>
      </c>
      <c r="AY99" s="329" t="s">
        <v>337</v>
      </c>
      <c r="AZ99" s="329" t="s">
        <v>2350</v>
      </c>
      <c r="BA99" s="329" t="s">
        <v>101</v>
      </c>
      <c r="BB99" s="329" t="s">
        <v>2351</v>
      </c>
      <c r="BC99" s="329" t="s">
        <v>2352</v>
      </c>
      <c r="BD99" s="329" t="s">
        <v>2353</v>
      </c>
      <c r="BE99" s="329" t="s">
        <v>2354</v>
      </c>
      <c r="BF99" s="329" t="s">
        <v>489</v>
      </c>
      <c r="BG99" s="329" t="s">
        <v>2355</v>
      </c>
      <c r="BH99" s="356" t="s">
        <v>2356</v>
      </c>
      <c r="BI99" s="329" t="s">
        <v>2357</v>
      </c>
      <c r="BJ99" s="329"/>
      <c r="BK99" s="329" t="s">
        <v>976</v>
      </c>
      <c r="BL99" s="329" t="s">
        <v>342</v>
      </c>
      <c r="BM99" s="329" t="s">
        <v>137</v>
      </c>
      <c r="BN99" s="329" t="s">
        <v>2358</v>
      </c>
      <c r="BO99" s="329" t="s">
        <v>2359</v>
      </c>
      <c r="BP99" s="329" t="s">
        <v>2360</v>
      </c>
      <c r="BQ99" s="329"/>
      <c r="BR99" s="329" t="s">
        <v>201</v>
      </c>
      <c r="BS99" s="329" t="s">
        <v>1267</v>
      </c>
      <c r="BT99" s="329"/>
    </row>
    <row r="100" spans="1:72" ht="17.25" hidden="1" customHeight="1">
      <c r="A100" s="46" t="s">
        <v>2361</v>
      </c>
      <c r="B100" s="46"/>
      <c r="C100" s="49" t="s">
        <v>2362</v>
      </c>
      <c r="D100" s="47">
        <v>2024</v>
      </c>
      <c r="E100" s="49" t="s">
        <v>2363</v>
      </c>
      <c r="F100" s="195" t="s">
        <v>2364</v>
      </c>
      <c r="G100" s="51"/>
      <c r="H100" s="51"/>
      <c r="I100" s="51" t="s">
        <v>112</v>
      </c>
      <c r="J100" s="198" t="s">
        <v>2365</v>
      </c>
      <c r="K100" s="197" t="s">
        <v>2366</v>
      </c>
      <c r="L100" s="49" t="s">
        <v>1111</v>
      </c>
      <c r="M100" s="49"/>
      <c r="N100" s="196" t="s">
        <v>214</v>
      </c>
      <c r="O100" s="196"/>
      <c r="P100" s="53"/>
      <c r="Q100" s="54"/>
      <c r="R100" s="198"/>
      <c r="S100" s="53"/>
      <c r="T100" s="53"/>
      <c r="U100" s="53"/>
      <c r="V100" s="53"/>
      <c r="W100" s="53"/>
      <c r="X100" s="53"/>
      <c r="Y100" s="53"/>
      <c r="Z100" s="53"/>
      <c r="AA100" s="54"/>
      <c r="AB100" s="54"/>
      <c r="AC100" s="54"/>
      <c r="AD100" s="50"/>
      <c r="AE100" s="51"/>
      <c r="AF100" s="51"/>
      <c r="AG100" s="51"/>
      <c r="AH100" s="53"/>
      <c r="AI100" s="54"/>
      <c r="AJ100" s="56" t="s">
        <v>2367</v>
      </c>
      <c r="AK100" s="54"/>
      <c r="AL100" s="54"/>
      <c r="AM100" s="45"/>
      <c r="AN100" s="45"/>
      <c r="AO100" s="53"/>
      <c r="AP100" s="55"/>
      <c r="AQ100" s="55"/>
      <c r="AR100" s="55"/>
      <c r="AS100" s="51"/>
      <c r="AT100" s="55"/>
      <c r="AU100" s="55"/>
      <c r="AV100" s="50"/>
      <c r="AW100" s="54"/>
      <c r="AX100" s="57"/>
      <c r="AY100" s="59"/>
      <c r="AZ100" s="59"/>
      <c r="BA100" s="59"/>
      <c r="BB100" s="225"/>
      <c r="BC100" s="59"/>
      <c r="BD100" s="59"/>
      <c r="BE100" s="57"/>
      <c r="BF100" s="57"/>
      <c r="BG100" s="57"/>
      <c r="BH100" s="57"/>
      <c r="BI100" s="57"/>
      <c r="BJ100" s="57"/>
      <c r="BK100" s="59"/>
      <c r="BL100" s="50"/>
      <c r="BM100" s="45"/>
      <c r="BN100" s="59"/>
      <c r="BO100" s="53" t="s">
        <v>2368</v>
      </c>
      <c r="BP100" s="54" t="s">
        <v>2369</v>
      </c>
      <c r="BQ100" s="56" t="s">
        <v>2370</v>
      </c>
      <c r="BR100" s="45" t="s">
        <v>107</v>
      </c>
      <c r="BS100" s="49"/>
      <c r="BT100" s="49"/>
    </row>
    <row r="101" spans="1:72" ht="17.25" hidden="1" customHeight="1">
      <c r="A101" s="46" t="s">
        <v>2371</v>
      </c>
      <c r="B101" s="46"/>
      <c r="C101" s="49" t="s">
        <v>2372</v>
      </c>
      <c r="D101" s="47">
        <v>2024</v>
      </c>
      <c r="E101" s="49" t="s">
        <v>2373</v>
      </c>
      <c r="F101" s="195" t="s">
        <v>2374</v>
      </c>
      <c r="G101" s="196" t="s">
        <v>2375</v>
      </c>
      <c r="H101" s="196"/>
      <c r="I101" s="51" t="s">
        <v>112</v>
      </c>
      <c r="J101" s="50" t="s">
        <v>2376</v>
      </c>
      <c r="K101" s="197" t="s">
        <v>2377</v>
      </c>
      <c r="L101" s="49" t="s">
        <v>844</v>
      </c>
      <c r="M101" s="49"/>
      <c r="N101" s="196" t="s">
        <v>214</v>
      </c>
      <c r="O101" s="53" t="s">
        <v>2378</v>
      </c>
      <c r="P101" s="53" t="s">
        <v>2379</v>
      </c>
      <c r="Q101" s="54" t="s">
        <v>2380</v>
      </c>
      <c r="R101" s="198" t="s">
        <v>358</v>
      </c>
      <c r="S101" s="53" t="s">
        <v>2381</v>
      </c>
      <c r="T101" s="53" t="s">
        <v>2382</v>
      </c>
      <c r="U101" s="53"/>
      <c r="V101" s="53" t="s">
        <v>416</v>
      </c>
      <c r="W101" s="53"/>
      <c r="X101" s="53"/>
      <c r="Y101" s="53"/>
      <c r="Z101" s="53" t="s">
        <v>416</v>
      </c>
      <c r="AA101" s="54"/>
      <c r="AB101" s="54"/>
      <c r="AC101" s="54" t="s">
        <v>416</v>
      </c>
      <c r="AD101" s="50" t="s">
        <v>2383</v>
      </c>
      <c r="AE101" s="51" t="s">
        <v>530</v>
      </c>
      <c r="AF101" s="51"/>
      <c r="AG101" s="51"/>
      <c r="AH101" s="53" t="s">
        <v>145</v>
      </c>
      <c r="AI101" s="54"/>
      <c r="AJ101" s="56" t="s">
        <v>2384</v>
      </c>
      <c r="AK101" s="54"/>
      <c r="AL101" s="54"/>
      <c r="AM101" s="45"/>
      <c r="AN101" s="45"/>
      <c r="AO101" s="28" t="s">
        <v>145</v>
      </c>
      <c r="AP101" s="55"/>
      <c r="AQ101" s="55"/>
      <c r="AR101" s="55"/>
      <c r="AS101" s="51" t="s">
        <v>98</v>
      </c>
      <c r="AT101" s="55" t="s">
        <v>416</v>
      </c>
      <c r="AU101" s="55"/>
      <c r="AV101" s="199" t="s">
        <v>179</v>
      </c>
      <c r="AW101" s="54"/>
      <c r="AX101" s="57" t="s">
        <v>416</v>
      </c>
      <c r="AY101" s="57"/>
      <c r="AZ101" s="57" t="s">
        <v>416</v>
      </c>
      <c r="BA101" s="57" t="s">
        <v>416</v>
      </c>
      <c r="BB101" s="57" t="s">
        <v>416</v>
      </c>
      <c r="BC101" s="57" t="s">
        <v>416</v>
      </c>
      <c r="BD101" s="57" t="s">
        <v>416</v>
      </c>
      <c r="BE101" s="57" t="s">
        <v>2385</v>
      </c>
      <c r="BF101" s="57"/>
      <c r="BG101" s="57" t="s">
        <v>2386</v>
      </c>
      <c r="BH101" s="57" t="s">
        <v>2387</v>
      </c>
      <c r="BI101" s="200" t="s">
        <v>416</v>
      </c>
      <c r="BJ101" s="57" t="s">
        <v>416</v>
      </c>
      <c r="BK101" s="57" t="s">
        <v>2388</v>
      </c>
      <c r="BL101" s="50" t="s">
        <v>2389</v>
      </c>
      <c r="BM101" s="45"/>
      <c r="BN101" s="59" t="s">
        <v>2390</v>
      </c>
      <c r="BO101" s="53" t="s">
        <v>2391</v>
      </c>
      <c r="BP101" s="54" t="s">
        <v>2392</v>
      </c>
      <c r="BQ101" s="56" t="s">
        <v>2393</v>
      </c>
      <c r="BR101" s="45" t="s">
        <v>825</v>
      </c>
      <c r="BS101" s="55" t="s">
        <v>2394</v>
      </c>
      <c r="BT101" s="55" t="s">
        <v>2394</v>
      </c>
    </row>
    <row r="102" spans="1:72" ht="17.25" hidden="1" customHeight="1">
      <c r="A102" s="46" t="s">
        <v>2395</v>
      </c>
      <c r="B102" s="46"/>
      <c r="C102" s="49" t="s">
        <v>2396</v>
      </c>
      <c r="D102" s="47">
        <v>2024</v>
      </c>
      <c r="E102" s="49" t="s">
        <v>2397</v>
      </c>
      <c r="F102" s="195" t="s">
        <v>2398</v>
      </c>
      <c r="G102" s="196" t="s">
        <v>2399</v>
      </c>
      <c r="H102" s="196"/>
      <c r="I102" s="51"/>
      <c r="J102" s="198" t="s">
        <v>2400</v>
      </c>
      <c r="K102" s="197" t="s">
        <v>2401</v>
      </c>
      <c r="L102" s="49" t="s">
        <v>395</v>
      </c>
      <c r="M102" s="49"/>
      <c r="N102" s="196" t="s">
        <v>2402</v>
      </c>
      <c r="O102" s="53"/>
      <c r="P102" s="53"/>
      <c r="Q102" s="54"/>
      <c r="R102" s="198"/>
      <c r="S102" s="53"/>
      <c r="T102" s="53"/>
      <c r="U102" s="53"/>
      <c r="V102" s="53"/>
      <c r="W102" s="53"/>
      <c r="X102" s="53"/>
      <c r="Y102" s="53"/>
      <c r="Z102" s="53"/>
      <c r="AA102" s="54"/>
      <c r="AB102" s="54"/>
      <c r="AC102" s="54"/>
      <c r="AD102" s="50"/>
      <c r="AE102" s="51"/>
      <c r="AF102" s="51"/>
      <c r="AG102" s="51"/>
      <c r="AH102" s="53"/>
      <c r="AI102" s="54"/>
      <c r="AJ102" s="56"/>
      <c r="AK102" s="54"/>
      <c r="AL102" s="54"/>
      <c r="AM102" s="45"/>
      <c r="AN102" s="45"/>
      <c r="AO102" s="53"/>
      <c r="AP102" s="55"/>
      <c r="AQ102" s="55"/>
      <c r="AR102" s="55"/>
      <c r="AS102" s="51"/>
      <c r="AT102" s="55"/>
      <c r="AU102" s="55"/>
      <c r="AV102" s="50"/>
      <c r="AW102" s="54"/>
      <c r="AX102" s="57"/>
      <c r="AY102" s="51"/>
      <c r="AZ102" s="51"/>
      <c r="BA102" s="51"/>
      <c r="BB102" s="58"/>
      <c r="BC102" s="51"/>
      <c r="BD102" s="59"/>
      <c r="BE102" s="57"/>
      <c r="BF102" s="57"/>
      <c r="BG102" s="57"/>
      <c r="BH102" s="57"/>
      <c r="BI102" s="57"/>
      <c r="BJ102" s="57"/>
      <c r="BK102" s="51"/>
      <c r="BL102" s="50"/>
      <c r="BM102" s="45"/>
      <c r="BN102" s="59"/>
      <c r="BO102" s="53"/>
      <c r="BP102" s="54"/>
      <c r="BQ102" s="56" t="s">
        <v>2403</v>
      </c>
      <c r="BR102" s="45" t="s">
        <v>107</v>
      </c>
      <c r="BS102" s="55" t="s">
        <v>2394</v>
      </c>
      <c r="BT102" s="55"/>
    </row>
    <row r="103" spans="1:72" s="338" customFormat="1" ht="17.25" customHeight="1">
      <c r="A103" s="329" t="s">
        <v>2404</v>
      </c>
      <c r="B103" s="329"/>
      <c r="C103" s="329" t="s">
        <v>2405</v>
      </c>
      <c r="D103" s="340">
        <v>2024</v>
      </c>
      <c r="E103" s="329" t="s">
        <v>2406</v>
      </c>
      <c r="F103" s="354" t="str">
        <f>HYPERLINK("http://dx.doi.org/10.1109/TVCG.2024.3352282","http://dx.doi.org/10.1109/TVCG.2024.3352282")</f>
        <v>http://dx.doi.org/10.1109/TVCG.2024.3352282</v>
      </c>
      <c r="G103" s="329" t="s">
        <v>4230</v>
      </c>
      <c r="H103" s="329"/>
      <c r="I103" s="329" t="s">
        <v>1334</v>
      </c>
      <c r="J103" s="329" t="s">
        <v>2407</v>
      </c>
      <c r="K103" s="329" t="s">
        <v>2408</v>
      </c>
      <c r="L103" s="329" t="s">
        <v>267</v>
      </c>
      <c r="M103" s="329" t="s">
        <v>267</v>
      </c>
      <c r="N103" s="329" t="s">
        <v>214</v>
      </c>
      <c r="O103" s="329" t="s">
        <v>2409</v>
      </c>
      <c r="P103" s="329" t="s">
        <v>2410</v>
      </c>
      <c r="Q103" s="329" t="s">
        <v>2411</v>
      </c>
      <c r="R103" s="332" t="s">
        <v>358</v>
      </c>
      <c r="S103" s="329" t="s">
        <v>2412</v>
      </c>
      <c r="T103" s="329" t="s">
        <v>321</v>
      </c>
      <c r="U103" s="329" t="s">
        <v>124</v>
      </c>
      <c r="V103" s="329" t="s">
        <v>2413</v>
      </c>
      <c r="W103" s="332" t="s">
        <v>124</v>
      </c>
      <c r="X103" s="332"/>
      <c r="Y103" s="329"/>
      <c r="Z103" s="332" t="s">
        <v>145</v>
      </c>
      <c r="AA103" s="329" t="s">
        <v>177</v>
      </c>
      <c r="AB103" s="329" t="s">
        <v>2414</v>
      </c>
      <c r="AC103" s="329" t="s">
        <v>2415</v>
      </c>
      <c r="AD103" s="329" t="s">
        <v>731</v>
      </c>
      <c r="AE103" s="329" t="s">
        <v>1252</v>
      </c>
      <c r="AF103" s="329" t="s">
        <v>328</v>
      </c>
      <c r="AG103" s="329" t="s">
        <v>688</v>
      </c>
      <c r="AH103" s="329" t="s">
        <v>538</v>
      </c>
      <c r="AI103" s="374"/>
      <c r="AJ103" s="403" t="s">
        <v>2416</v>
      </c>
      <c r="AK103" s="374"/>
      <c r="AL103" s="329"/>
      <c r="AM103" s="329" t="s">
        <v>137</v>
      </c>
      <c r="AN103" s="329" t="s">
        <v>138</v>
      </c>
      <c r="AO103" s="329"/>
      <c r="AP103" s="329" t="s">
        <v>139</v>
      </c>
      <c r="AQ103" s="329" t="s">
        <v>540</v>
      </c>
      <c r="AR103" s="329" t="s">
        <v>584</v>
      </c>
      <c r="AS103" s="329" t="s">
        <v>98</v>
      </c>
      <c r="AT103" s="329" t="s">
        <v>2417</v>
      </c>
      <c r="AU103" s="329" t="s">
        <v>2418</v>
      </c>
      <c r="AV103" s="329" t="s">
        <v>143</v>
      </c>
      <c r="AW103" s="329" t="s">
        <v>542</v>
      </c>
      <c r="AX103" s="329" t="s">
        <v>145</v>
      </c>
      <c r="AY103" s="329" t="s">
        <v>1491</v>
      </c>
      <c r="AZ103" s="329" t="s">
        <v>2419</v>
      </c>
      <c r="BA103" s="329" t="s">
        <v>101</v>
      </c>
      <c r="BB103" s="329">
        <v>29</v>
      </c>
      <c r="BC103" s="329"/>
      <c r="BD103" s="329"/>
      <c r="BE103" s="329" t="s">
        <v>2420</v>
      </c>
      <c r="BF103" s="329" t="s">
        <v>193</v>
      </c>
      <c r="BG103" s="329" t="s">
        <v>2421</v>
      </c>
      <c r="BH103" s="329" t="s">
        <v>2422</v>
      </c>
      <c r="BI103" s="329" t="s">
        <v>2423</v>
      </c>
      <c r="BJ103" s="329" t="s">
        <v>1574</v>
      </c>
      <c r="BK103" s="329" t="s">
        <v>2424</v>
      </c>
      <c r="BL103" s="329" t="s">
        <v>2425</v>
      </c>
      <c r="BM103" s="329" t="s">
        <v>138</v>
      </c>
      <c r="BN103" s="329" t="s">
        <v>124</v>
      </c>
      <c r="BO103" s="329" t="s">
        <v>2426</v>
      </c>
      <c r="BP103" s="329" t="s">
        <v>2427</v>
      </c>
      <c r="BQ103" s="329"/>
      <c r="BR103" s="329" t="s">
        <v>201</v>
      </c>
      <c r="BS103" s="329"/>
      <c r="BT103" s="329"/>
    </row>
    <row r="104" spans="1:72" ht="17.25" hidden="1" customHeight="1">
      <c r="A104" s="2" t="s">
        <v>2428</v>
      </c>
      <c r="B104" s="2"/>
      <c r="C104" s="5" t="s">
        <v>2429</v>
      </c>
      <c r="D104" s="3">
        <v>2024</v>
      </c>
      <c r="E104" s="5" t="s">
        <v>2430</v>
      </c>
      <c r="F104" s="261" t="s">
        <v>2431</v>
      </c>
      <c r="G104" s="223" t="s">
        <v>2432</v>
      </c>
      <c r="H104" s="223"/>
      <c r="I104" s="7"/>
      <c r="J104" s="222" t="s">
        <v>2433</v>
      </c>
      <c r="K104" s="224" t="s">
        <v>2434</v>
      </c>
      <c r="L104" s="5"/>
      <c r="M104" s="5"/>
      <c r="N104" s="223" t="s">
        <v>312</v>
      </c>
      <c r="O104" s="7"/>
      <c r="P104" s="7"/>
      <c r="Q104" s="1"/>
      <c r="R104" s="222"/>
      <c r="S104" s="7"/>
      <c r="T104" s="7"/>
      <c r="U104" s="7"/>
      <c r="V104" s="7"/>
      <c r="W104" s="7"/>
      <c r="X104" s="7"/>
      <c r="Y104" s="7"/>
      <c r="Z104" s="7"/>
      <c r="AA104" s="1"/>
      <c r="AB104" s="1"/>
      <c r="AC104" s="1"/>
      <c r="AD104" s="12"/>
      <c r="AE104" s="7"/>
      <c r="AF104" s="7"/>
      <c r="AG104" s="7"/>
      <c r="AH104" s="7"/>
      <c r="AI104" s="1"/>
      <c r="AJ104" s="12"/>
      <c r="AK104" s="1"/>
      <c r="AL104" s="1"/>
      <c r="AM104" s="1"/>
      <c r="AN104" s="1"/>
      <c r="AO104" s="7"/>
      <c r="AP104" s="5"/>
      <c r="AQ104" s="5"/>
      <c r="AR104" s="5"/>
      <c r="AS104" s="7"/>
      <c r="AT104" s="5"/>
      <c r="AU104" s="5"/>
      <c r="AV104" s="12"/>
      <c r="AW104" s="1"/>
      <c r="AX104" s="7"/>
      <c r="AY104" s="7"/>
      <c r="AZ104" s="7"/>
      <c r="BA104" s="7"/>
      <c r="BB104" s="223"/>
      <c r="BC104" s="7"/>
      <c r="BD104" s="16"/>
      <c r="BE104" s="16"/>
      <c r="BF104" s="16"/>
      <c r="BG104" s="16"/>
      <c r="BH104" s="16"/>
      <c r="BI104" s="16"/>
      <c r="BJ104" s="16"/>
      <c r="BK104" s="7"/>
      <c r="BL104" s="12"/>
      <c r="BM104" s="1"/>
      <c r="BN104" s="16"/>
      <c r="BO104" s="7"/>
      <c r="BP104" s="1"/>
      <c r="BQ104" s="12"/>
      <c r="BR104" s="1" t="s">
        <v>107</v>
      </c>
      <c r="BS104" s="5"/>
      <c r="BT104" s="5"/>
    </row>
    <row r="105" spans="1:72" ht="17.25" hidden="1" customHeight="1">
      <c r="A105" s="46" t="s">
        <v>2435</v>
      </c>
      <c r="B105" s="46"/>
      <c r="C105" s="49" t="s">
        <v>2436</v>
      </c>
      <c r="D105" s="47">
        <v>2024</v>
      </c>
      <c r="E105" s="49" t="s">
        <v>2437</v>
      </c>
      <c r="F105" s="195" t="s">
        <v>2438</v>
      </c>
      <c r="G105" s="196"/>
      <c r="H105" s="196"/>
      <c r="I105" s="51" t="s">
        <v>82</v>
      </c>
      <c r="J105" s="198" t="s">
        <v>2439</v>
      </c>
      <c r="K105" s="197" t="s">
        <v>2440</v>
      </c>
      <c r="L105" s="49" t="s">
        <v>267</v>
      </c>
      <c r="M105" s="49"/>
      <c r="N105" s="196" t="s">
        <v>214</v>
      </c>
      <c r="O105" s="53"/>
      <c r="P105" s="53"/>
      <c r="Q105" s="54"/>
      <c r="R105" s="198"/>
      <c r="S105" s="53"/>
      <c r="T105" s="53"/>
      <c r="U105" s="53"/>
      <c r="V105" s="53"/>
      <c r="W105" s="53"/>
      <c r="X105" s="53"/>
      <c r="Y105" s="53"/>
      <c r="Z105" s="53"/>
      <c r="AA105" s="54"/>
      <c r="AB105" s="54"/>
      <c r="AC105" s="54"/>
      <c r="AD105" s="50"/>
      <c r="AE105" s="51"/>
      <c r="AF105" s="51"/>
      <c r="AG105" s="51"/>
      <c r="AH105" s="53"/>
      <c r="AI105" s="54"/>
      <c r="AJ105" s="56" t="s">
        <v>2441</v>
      </c>
      <c r="AK105" s="54"/>
      <c r="AL105" s="54"/>
      <c r="AM105" s="45"/>
      <c r="AN105" s="45"/>
      <c r="AO105" s="53"/>
      <c r="AP105" s="55"/>
      <c r="AQ105" s="55"/>
      <c r="AR105" s="55"/>
      <c r="AS105" s="51" t="s">
        <v>98</v>
      </c>
      <c r="AT105" s="55"/>
      <c r="AU105" s="55"/>
      <c r="AV105" s="50"/>
      <c r="AW105" s="54"/>
      <c r="AX105" s="53"/>
      <c r="AY105" s="51"/>
      <c r="AZ105" s="51" t="s">
        <v>101</v>
      </c>
      <c r="BA105" s="51" t="s">
        <v>101</v>
      </c>
      <c r="BB105" s="58"/>
      <c r="BC105" s="51"/>
      <c r="BD105" s="59"/>
      <c r="BE105" s="57"/>
      <c r="BF105" s="57"/>
      <c r="BG105" s="57"/>
      <c r="BH105" s="57" t="s">
        <v>2442</v>
      </c>
      <c r="BI105" s="57">
        <v>40</v>
      </c>
      <c r="BJ105" s="57" t="s">
        <v>195</v>
      </c>
      <c r="BK105" s="51" t="s">
        <v>976</v>
      </c>
      <c r="BL105" s="50"/>
      <c r="BM105" s="45"/>
      <c r="BN105" s="59"/>
      <c r="BO105" s="53" t="s">
        <v>2443</v>
      </c>
      <c r="BP105" s="54" t="s">
        <v>2444</v>
      </c>
      <c r="BQ105" s="56" t="s">
        <v>2445</v>
      </c>
      <c r="BR105" s="45" t="s">
        <v>107</v>
      </c>
      <c r="BS105" s="43"/>
      <c r="BT105" s="43"/>
    </row>
    <row r="106" spans="1:72" ht="17.25" hidden="1" customHeight="1">
      <c r="A106" s="46" t="s">
        <v>2446</v>
      </c>
      <c r="B106" s="46"/>
      <c r="C106" s="49" t="s">
        <v>2447</v>
      </c>
      <c r="D106" s="47">
        <v>2024</v>
      </c>
      <c r="E106" s="49" t="s">
        <v>2448</v>
      </c>
      <c r="F106" s="195" t="s">
        <v>2449</v>
      </c>
      <c r="G106" s="51"/>
      <c r="H106" s="51"/>
      <c r="I106" s="51" t="s">
        <v>1063</v>
      </c>
      <c r="J106" s="198" t="s">
        <v>2450</v>
      </c>
      <c r="K106" s="197" t="s">
        <v>2451</v>
      </c>
      <c r="L106" s="49" t="s">
        <v>529</v>
      </c>
      <c r="M106" s="49" t="s">
        <v>2452</v>
      </c>
      <c r="N106" s="196" t="s">
        <v>214</v>
      </c>
      <c r="O106" s="53" t="s">
        <v>2453</v>
      </c>
      <c r="P106" s="53" t="s">
        <v>2454</v>
      </c>
      <c r="Q106" s="54" t="s">
        <v>2455</v>
      </c>
      <c r="R106" s="198" t="s">
        <v>90</v>
      </c>
      <c r="S106" s="53" t="s">
        <v>2456</v>
      </c>
      <c r="T106" s="53" t="s">
        <v>2457</v>
      </c>
      <c r="U106" s="53" t="s">
        <v>124</v>
      </c>
      <c r="V106" s="53" t="s">
        <v>275</v>
      </c>
      <c r="W106" s="53" t="s">
        <v>2458</v>
      </c>
      <c r="X106" s="53" t="s">
        <v>2459</v>
      </c>
      <c r="Y106" s="53"/>
      <c r="Z106" s="53" t="s">
        <v>2460</v>
      </c>
      <c r="AA106" s="54" t="s">
        <v>1250</v>
      </c>
      <c r="AB106" s="54"/>
      <c r="AC106" s="54" t="s">
        <v>1251</v>
      </c>
      <c r="AD106" s="50" t="s">
        <v>180</v>
      </c>
      <c r="AE106" s="51" t="s">
        <v>1134</v>
      </c>
      <c r="AF106" s="51"/>
      <c r="AG106" s="51"/>
      <c r="AH106" s="53" t="s">
        <v>2461</v>
      </c>
      <c r="AI106" s="54"/>
      <c r="AJ106" s="251" t="s">
        <v>2462</v>
      </c>
      <c r="AK106" s="54"/>
      <c r="AL106" s="54"/>
      <c r="AM106" s="54" t="s">
        <v>138</v>
      </c>
      <c r="AN106" s="54" t="s">
        <v>138</v>
      </c>
      <c r="AO106" s="53" t="s">
        <v>2463</v>
      </c>
      <c r="AP106" s="55" t="s">
        <v>333</v>
      </c>
      <c r="AQ106" s="55" t="s">
        <v>140</v>
      </c>
      <c r="AR106" s="55" t="s">
        <v>185</v>
      </c>
      <c r="AS106" s="51" t="s">
        <v>98</v>
      </c>
      <c r="AT106" s="55"/>
      <c r="AU106" s="55" t="s">
        <v>2464</v>
      </c>
      <c r="AV106" s="199" t="s">
        <v>287</v>
      </c>
      <c r="AW106" s="54" t="s">
        <v>288</v>
      </c>
      <c r="AX106" s="53" t="s">
        <v>179</v>
      </c>
      <c r="AY106" s="51" t="s">
        <v>337</v>
      </c>
      <c r="AZ106" s="51" t="s">
        <v>2465</v>
      </c>
      <c r="BA106" s="51" t="s">
        <v>101</v>
      </c>
      <c r="BB106" s="58">
        <v>323</v>
      </c>
      <c r="BC106" s="51" t="s">
        <v>2466</v>
      </c>
      <c r="BD106" s="59" t="s">
        <v>2467</v>
      </c>
      <c r="BE106" s="57" t="s">
        <v>2468</v>
      </c>
      <c r="BF106" s="57"/>
      <c r="BG106" s="57" t="s">
        <v>2469</v>
      </c>
      <c r="BH106" s="57" t="s">
        <v>2470</v>
      </c>
      <c r="BI106" s="200"/>
      <c r="BJ106" s="57"/>
      <c r="BK106" s="51" t="s">
        <v>936</v>
      </c>
      <c r="BL106" s="50" t="s">
        <v>287</v>
      </c>
      <c r="BM106" s="45"/>
      <c r="BN106" s="59" t="s">
        <v>2471</v>
      </c>
      <c r="BO106" s="53" t="s">
        <v>2472</v>
      </c>
      <c r="BP106" s="54" t="s">
        <v>2473</v>
      </c>
      <c r="BQ106" s="56" t="s">
        <v>2474</v>
      </c>
      <c r="BR106" s="45" t="s">
        <v>107</v>
      </c>
      <c r="BS106" s="49" t="s">
        <v>1267</v>
      </c>
      <c r="BT106" s="49"/>
    </row>
    <row r="107" spans="1:72" s="338" customFormat="1" ht="17.25" customHeight="1">
      <c r="A107" s="329" t="s">
        <v>2475</v>
      </c>
      <c r="B107" s="329"/>
      <c r="C107" s="329" t="s">
        <v>2476</v>
      </c>
      <c r="D107" s="340">
        <v>2024</v>
      </c>
      <c r="E107" s="329" t="s">
        <v>2477</v>
      </c>
      <c r="F107" s="357" t="s">
        <v>2478</v>
      </c>
      <c r="G107" s="357" t="s">
        <v>2478</v>
      </c>
      <c r="H107" s="329"/>
      <c r="I107" s="329" t="s">
        <v>1063</v>
      </c>
      <c r="J107" s="329" t="s">
        <v>2479</v>
      </c>
      <c r="K107" s="329" t="s">
        <v>2480</v>
      </c>
      <c r="L107" s="329" t="s">
        <v>315</v>
      </c>
      <c r="M107" s="329" t="s">
        <v>530</v>
      </c>
      <c r="N107" s="329" t="s">
        <v>214</v>
      </c>
      <c r="O107" s="329" t="s">
        <v>2481</v>
      </c>
      <c r="P107" s="329" t="s">
        <v>2482</v>
      </c>
      <c r="Q107" s="329" t="s">
        <v>2483</v>
      </c>
      <c r="R107" s="332" t="s">
        <v>90</v>
      </c>
      <c r="S107" s="351" t="s">
        <v>2484</v>
      </c>
      <c r="T107" s="329" t="s">
        <v>2485</v>
      </c>
      <c r="U107" s="329" t="s">
        <v>2486</v>
      </c>
      <c r="V107" s="350" t="s">
        <v>2487</v>
      </c>
      <c r="W107" s="329" t="s">
        <v>2488</v>
      </c>
      <c r="X107" s="332"/>
      <c r="Y107" s="329"/>
      <c r="Z107" s="332" t="s">
        <v>2489</v>
      </c>
      <c r="AA107" s="329" t="s">
        <v>177</v>
      </c>
      <c r="AB107" s="329" t="s">
        <v>2490</v>
      </c>
      <c r="AC107" s="329" t="s">
        <v>2491</v>
      </c>
      <c r="AD107" s="329" t="s">
        <v>2492</v>
      </c>
      <c r="AE107" s="329" t="s">
        <v>2493</v>
      </c>
      <c r="AF107" s="329" t="s">
        <v>2494</v>
      </c>
      <c r="AG107" s="329" t="s">
        <v>1283</v>
      </c>
      <c r="AH107" s="329" t="s">
        <v>1284</v>
      </c>
      <c r="AI107" s="374"/>
      <c r="AJ107" s="403" t="s">
        <v>2495</v>
      </c>
      <c r="AK107" s="374"/>
      <c r="AL107" s="329"/>
      <c r="AM107" s="329" t="s">
        <v>137</v>
      </c>
      <c r="AN107" s="329" t="s">
        <v>137</v>
      </c>
      <c r="AO107" s="329"/>
      <c r="AP107" s="329" t="s">
        <v>333</v>
      </c>
      <c r="AQ107" s="329" t="s">
        <v>140</v>
      </c>
      <c r="AR107" s="329" t="s">
        <v>145</v>
      </c>
      <c r="AS107" s="329" t="s">
        <v>98</v>
      </c>
      <c r="AT107" s="329" t="s">
        <v>2496</v>
      </c>
      <c r="AU107" s="329" t="s">
        <v>2497</v>
      </c>
      <c r="AV107" s="329" t="s">
        <v>179</v>
      </c>
      <c r="AW107" s="329" t="s">
        <v>144</v>
      </c>
      <c r="AX107" s="329" t="s">
        <v>690</v>
      </c>
      <c r="AY107" s="329" t="s">
        <v>337</v>
      </c>
      <c r="AZ107" s="329" t="s">
        <v>101</v>
      </c>
      <c r="BA107" s="329" t="s">
        <v>101</v>
      </c>
      <c r="BB107" s="329" t="s">
        <v>2498</v>
      </c>
      <c r="BC107" s="329"/>
      <c r="BD107" s="329"/>
      <c r="BE107" s="329" t="s">
        <v>2499</v>
      </c>
      <c r="BF107" s="329" t="s">
        <v>380</v>
      </c>
      <c r="BG107" s="329" t="s">
        <v>2500</v>
      </c>
      <c r="BH107" s="356" t="s">
        <v>2501</v>
      </c>
      <c r="BI107" s="329" t="s">
        <v>2502</v>
      </c>
      <c r="BJ107" s="329" t="s">
        <v>124</v>
      </c>
      <c r="BK107" s="329" t="s">
        <v>976</v>
      </c>
      <c r="BL107" s="329" t="s">
        <v>2503</v>
      </c>
      <c r="BM107" s="329" t="s">
        <v>137</v>
      </c>
      <c r="BN107" s="329" t="s">
        <v>2504</v>
      </c>
      <c r="BO107" s="329" t="s">
        <v>2505</v>
      </c>
      <c r="BP107" s="329" t="s">
        <v>2506</v>
      </c>
      <c r="BQ107" s="329" t="s">
        <v>2507</v>
      </c>
      <c r="BR107" s="329" t="s">
        <v>201</v>
      </c>
      <c r="BS107" s="329"/>
      <c r="BT107" s="329"/>
    </row>
    <row r="108" spans="1:72" s="338" customFormat="1" ht="53" customHeight="1">
      <c r="A108" s="329" t="s">
        <v>2508</v>
      </c>
      <c r="B108" s="329"/>
      <c r="C108" s="329" t="s">
        <v>2509</v>
      </c>
      <c r="D108" s="340">
        <v>2024</v>
      </c>
      <c r="E108" s="329" t="s">
        <v>2510</v>
      </c>
      <c r="F108" s="357" t="s">
        <v>2511</v>
      </c>
      <c r="G108" s="357" t="s">
        <v>2511</v>
      </c>
      <c r="H108" s="329"/>
      <c r="I108" s="329" t="s">
        <v>112</v>
      </c>
      <c r="J108" s="329" t="s">
        <v>2512</v>
      </c>
      <c r="K108" s="329" t="s">
        <v>2513</v>
      </c>
      <c r="L108" s="329" t="s">
        <v>529</v>
      </c>
      <c r="M108" s="329" t="s">
        <v>2514</v>
      </c>
      <c r="N108" s="329" t="s">
        <v>214</v>
      </c>
      <c r="O108" s="329" t="s">
        <v>2515</v>
      </c>
      <c r="P108" s="329" t="s">
        <v>2516</v>
      </c>
      <c r="Q108" s="329" t="s">
        <v>2517</v>
      </c>
      <c r="R108" s="332" t="s">
        <v>90</v>
      </c>
      <c r="S108" s="329"/>
      <c r="T108" s="329" t="s">
        <v>124</v>
      </c>
      <c r="U108" s="329" t="s">
        <v>124</v>
      </c>
      <c r="V108" s="329" t="s">
        <v>2518</v>
      </c>
      <c r="W108" s="329" t="s">
        <v>996</v>
      </c>
      <c r="X108" s="332" t="s">
        <v>2519</v>
      </c>
      <c r="Y108" s="332" t="s">
        <v>2520</v>
      </c>
      <c r="Z108" s="329" t="s">
        <v>2518</v>
      </c>
      <c r="AA108" s="328" t="s">
        <v>177</v>
      </c>
      <c r="AB108" s="329" t="s">
        <v>2521</v>
      </c>
      <c r="AC108" s="329" t="s">
        <v>2522</v>
      </c>
      <c r="AD108" s="329" t="s">
        <v>180</v>
      </c>
      <c r="AE108" s="329" t="s">
        <v>2523</v>
      </c>
      <c r="AF108" s="329" t="s">
        <v>328</v>
      </c>
      <c r="AG108" s="329" t="s">
        <v>2524</v>
      </c>
      <c r="AH108" s="329" t="s">
        <v>2525</v>
      </c>
      <c r="AI108" s="374"/>
      <c r="AJ108" s="403" t="s">
        <v>2526</v>
      </c>
      <c r="AK108" s="374"/>
      <c r="AL108" s="329"/>
      <c r="AM108" s="329" t="s">
        <v>137</v>
      </c>
      <c r="AN108" s="329" t="s">
        <v>137</v>
      </c>
      <c r="AO108" s="329"/>
      <c r="AP108" s="329" t="s">
        <v>690</v>
      </c>
      <c r="AQ108" s="329" t="s">
        <v>690</v>
      </c>
      <c r="AR108" s="329" t="s">
        <v>2527</v>
      </c>
      <c r="AS108" s="329" t="s">
        <v>98</v>
      </c>
      <c r="AT108" s="329" t="s">
        <v>2528</v>
      </c>
      <c r="AU108" s="329" t="s">
        <v>2529</v>
      </c>
      <c r="AV108" s="329" t="s">
        <v>179</v>
      </c>
      <c r="AW108" s="329" t="s">
        <v>2530</v>
      </c>
      <c r="AX108" s="329" t="s">
        <v>179</v>
      </c>
      <c r="AY108" s="329" t="s">
        <v>337</v>
      </c>
      <c r="AZ108" s="329" t="s">
        <v>2531</v>
      </c>
      <c r="BA108" s="329" t="s">
        <v>2531</v>
      </c>
      <c r="BB108" s="329">
        <v>1327</v>
      </c>
      <c r="BC108" s="329"/>
      <c r="BD108" s="329"/>
      <c r="BE108" s="329" t="s">
        <v>2532</v>
      </c>
      <c r="BF108" s="329" t="s">
        <v>2533</v>
      </c>
      <c r="BG108" s="329" t="s">
        <v>2534</v>
      </c>
      <c r="BH108" s="329" t="s">
        <v>2535</v>
      </c>
      <c r="BI108" s="329" t="s">
        <v>2536</v>
      </c>
      <c r="BJ108" s="329" t="s">
        <v>195</v>
      </c>
      <c r="BK108" s="329" t="s">
        <v>976</v>
      </c>
      <c r="BL108" s="329" t="s">
        <v>2503</v>
      </c>
      <c r="BM108" s="329" t="s">
        <v>137</v>
      </c>
      <c r="BN108" s="329" t="s">
        <v>2537</v>
      </c>
      <c r="BO108" s="329" t="s">
        <v>2538</v>
      </c>
      <c r="BP108" s="329" t="s">
        <v>2539</v>
      </c>
      <c r="BQ108" s="329" t="s">
        <v>2540</v>
      </c>
      <c r="BR108" s="329" t="s">
        <v>201</v>
      </c>
      <c r="BS108" s="329" t="s">
        <v>1267</v>
      </c>
      <c r="BT108" s="329"/>
    </row>
    <row r="109" spans="1:72" s="338" customFormat="1" ht="17" customHeight="1">
      <c r="A109" s="329" t="s">
        <v>2541</v>
      </c>
      <c r="B109" s="329"/>
      <c r="C109" s="329" t="s">
        <v>2542</v>
      </c>
      <c r="D109" s="340">
        <v>2024</v>
      </c>
      <c r="E109" s="329" t="s">
        <v>2543</v>
      </c>
      <c r="F109" s="357" t="s">
        <v>2544</v>
      </c>
      <c r="G109" s="400" t="s">
        <v>2544</v>
      </c>
      <c r="H109" s="329"/>
      <c r="I109" s="329" t="s">
        <v>1193</v>
      </c>
      <c r="J109" s="329" t="s">
        <v>2545</v>
      </c>
      <c r="K109" s="329" t="s">
        <v>2546</v>
      </c>
      <c r="L109" s="329" t="s">
        <v>844</v>
      </c>
      <c r="M109" s="329" t="s">
        <v>1372</v>
      </c>
      <c r="N109" s="329" t="s">
        <v>312</v>
      </c>
      <c r="O109" s="329" t="s">
        <v>2547</v>
      </c>
      <c r="P109" s="329" t="s">
        <v>2548</v>
      </c>
      <c r="Q109" s="329" t="s">
        <v>2549</v>
      </c>
      <c r="R109" s="332" t="s">
        <v>90</v>
      </c>
      <c r="S109" s="351" t="s">
        <v>2550</v>
      </c>
      <c r="T109" s="329" t="s">
        <v>2551</v>
      </c>
      <c r="U109" s="329" t="s">
        <v>2552</v>
      </c>
      <c r="V109" s="329" t="s">
        <v>2553</v>
      </c>
      <c r="W109" s="332" t="s">
        <v>1279</v>
      </c>
      <c r="X109" s="332" t="s">
        <v>2554</v>
      </c>
      <c r="Y109" s="329"/>
      <c r="Z109" s="332" t="s">
        <v>2555</v>
      </c>
      <c r="AA109" s="329" t="s">
        <v>130</v>
      </c>
      <c r="AB109" s="329" t="s">
        <v>2556</v>
      </c>
      <c r="AC109" s="329" t="s">
        <v>2556</v>
      </c>
      <c r="AD109" s="329" t="s">
        <v>2557</v>
      </c>
      <c r="AE109" s="329" t="s">
        <v>2558</v>
      </c>
      <c r="AF109" s="329" t="s">
        <v>368</v>
      </c>
      <c r="AG109" s="329" t="s">
        <v>134</v>
      </c>
      <c r="AH109" s="329" t="s">
        <v>134</v>
      </c>
      <c r="AI109" s="374" t="s">
        <v>2559</v>
      </c>
      <c r="AJ109" s="403" t="s">
        <v>2560</v>
      </c>
      <c r="AK109" s="374" t="s">
        <v>2561</v>
      </c>
      <c r="AL109" s="329" t="s">
        <v>1040</v>
      </c>
      <c r="AM109" s="329" t="s">
        <v>137</v>
      </c>
      <c r="AN109" s="329" t="s">
        <v>137</v>
      </c>
      <c r="AO109" s="329" t="s">
        <v>2562</v>
      </c>
      <c r="AP109" s="329" t="s">
        <v>139</v>
      </c>
      <c r="AQ109" s="329" t="s">
        <v>690</v>
      </c>
      <c r="AR109" s="329" t="s">
        <v>141</v>
      </c>
      <c r="AS109" s="329" t="s">
        <v>1042</v>
      </c>
      <c r="AT109" s="359" t="s">
        <v>2563</v>
      </c>
      <c r="AU109" s="329" t="s">
        <v>2564</v>
      </c>
      <c r="AV109" s="329" t="s">
        <v>179</v>
      </c>
      <c r="AW109" s="329" t="s">
        <v>288</v>
      </c>
      <c r="AX109" s="329" t="s">
        <v>336</v>
      </c>
      <c r="AY109" s="329" t="s">
        <v>146</v>
      </c>
      <c r="AZ109" s="329" t="s">
        <v>2565</v>
      </c>
      <c r="BA109" s="329" t="s">
        <v>101</v>
      </c>
      <c r="BB109" s="329">
        <v>62</v>
      </c>
      <c r="BC109" s="329" t="s">
        <v>2566</v>
      </c>
      <c r="BD109" s="329" t="s">
        <v>2567</v>
      </c>
      <c r="BE109" s="329" t="s">
        <v>2568</v>
      </c>
      <c r="BF109" s="329" t="s">
        <v>2569</v>
      </c>
      <c r="BG109" s="329" t="s">
        <v>2570</v>
      </c>
      <c r="BH109" s="329" t="s">
        <v>2571</v>
      </c>
      <c r="BI109" s="329" t="s">
        <v>2572</v>
      </c>
      <c r="BJ109" s="329" t="s">
        <v>195</v>
      </c>
      <c r="BK109" s="329" t="s">
        <v>2573</v>
      </c>
      <c r="BL109" s="329" t="s">
        <v>549</v>
      </c>
      <c r="BM109" s="329" t="s">
        <v>137</v>
      </c>
      <c r="BN109" s="329" t="s">
        <v>2574</v>
      </c>
      <c r="BO109" s="329" t="s">
        <v>2575</v>
      </c>
      <c r="BP109" s="329" t="s">
        <v>2576</v>
      </c>
      <c r="BQ109" s="329" t="s">
        <v>2577</v>
      </c>
      <c r="BR109" s="329" t="s">
        <v>201</v>
      </c>
      <c r="BS109" s="329"/>
      <c r="BT109" s="329" t="s">
        <v>1267</v>
      </c>
    </row>
    <row r="110" spans="1:72" ht="17.25" hidden="1" customHeight="1">
      <c r="A110" s="46" t="s">
        <v>2578</v>
      </c>
      <c r="B110" s="46"/>
      <c r="C110" s="45" t="s">
        <v>2579</v>
      </c>
      <c r="D110" s="47">
        <v>2024</v>
      </c>
      <c r="E110" s="45" t="s">
        <v>2580</v>
      </c>
      <c r="F110" s="220" t="s">
        <v>2581</v>
      </c>
      <c r="G110" s="206"/>
      <c r="H110" s="206"/>
      <c r="I110" s="51"/>
      <c r="J110" s="205" t="s">
        <v>2582</v>
      </c>
      <c r="K110" s="52"/>
      <c r="L110" s="45"/>
      <c r="M110" s="45"/>
      <c r="N110" s="51"/>
      <c r="O110" s="53"/>
      <c r="P110" s="53"/>
      <c r="Q110" s="54"/>
      <c r="R110" s="50"/>
      <c r="S110" s="53"/>
      <c r="T110" s="53"/>
      <c r="U110" s="53"/>
      <c r="V110" s="53"/>
      <c r="W110" s="53"/>
      <c r="X110" s="53"/>
      <c r="Y110" s="53"/>
      <c r="Z110" s="53"/>
      <c r="AA110" s="54"/>
      <c r="AB110" s="54"/>
      <c r="AC110" s="54"/>
      <c r="AD110" s="50"/>
      <c r="AE110" s="51"/>
      <c r="AF110" s="51"/>
      <c r="AG110" s="51"/>
      <c r="AH110" s="53"/>
      <c r="AI110" s="54"/>
      <c r="AJ110" s="56"/>
      <c r="AK110" s="54"/>
      <c r="AL110" s="54"/>
      <c r="AM110" s="45"/>
      <c r="AN110" s="45"/>
      <c r="AO110" s="53"/>
      <c r="AP110" s="55"/>
      <c r="AQ110" s="55"/>
      <c r="AR110" s="55"/>
      <c r="AS110" s="51"/>
      <c r="AT110" s="55"/>
      <c r="AU110" s="55"/>
      <c r="AV110" s="50"/>
      <c r="AW110" s="54"/>
      <c r="AX110" s="53"/>
      <c r="AY110" s="51"/>
      <c r="AZ110" s="51"/>
      <c r="BA110" s="51"/>
      <c r="BB110" s="58"/>
      <c r="BC110" s="51"/>
      <c r="BD110" s="59"/>
      <c r="BE110" s="57"/>
      <c r="BF110" s="57"/>
      <c r="BG110" s="57"/>
      <c r="BH110" s="57"/>
      <c r="BI110" s="57"/>
      <c r="BJ110" s="57"/>
      <c r="BK110" s="51"/>
      <c r="BL110" s="50"/>
      <c r="BM110" s="45"/>
      <c r="BN110" s="59"/>
      <c r="BO110" s="53"/>
      <c r="BP110" s="54"/>
      <c r="BQ110" s="56" t="s">
        <v>2583</v>
      </c>
      <c r="BR110" s="45" t="s">
        <v>107</v>
      </c>
      <c r="BS110" s="55" t="s">
        <v>2394</v>
      </c>
      <c r="BT110" s="55"/>
    </row>
    <row r="111" spans="1:72" ht="17.25" hidden="1" customHeight="1">
      <c r="A111" s="130" t="s">
        <v>2584</v>
      </c>
      <c r="B111" s="130"/>
      <c r="C111" s="129" t="s">
        <v>2585</v>
      </c>
      <c r="D111" s="131">
        <v>2024</v>
      </c>
      <c r="E111" s="129" t="s">
        <v>2586</v>
      </c>
      <c r="F111" s="132" t="s">
        <v>2587</v>
      </c>
      <c r="G111" s="136" t="s">
        <v>2588</v>
      </c>
      <c r="H111" s="136"/>
      <c r="I111" s="135"/>
      <c r="J111" s="134" t="s">
        <v>2589</v>
      </c>
      <c r="K111" s="137"/>
      <c r="L111" s="129" t="s">
        <v>267</v>
      </c>
      <c r="M111" s="129" t="s">
        <v>2590</v>
      </c>
      <c r="N111" s="135"/>
      <c r="O111" s="138"/>
      <c r="P111" s="138"/>
      <c r="Q111" s="142"/>
      <c r="R111" s="140"/>
      <c r="S111" s="138"/>
      <c r="T111" s="138"/>
      <c r="U111" s="138"/>
      <c r="V111" s="138"/>
      <c r="W111" s="138"/>
      <c r="X111" s="138"/>
      <c r="Y111" s="138"/>
      <c r="Z111" s="138"/>
      <c r="AA111" s="142"/>
      <c r="AB111" s="142"/>
      <c r="AC111" s="142"/>
      <c r="AD111" s="140"/>
      <c r="AE111" s="135"/>
      <c r="AF111" s="135"/>
      <c r="AG111" s="135"/>
      <c r="AH111" s="138"/>
      <c r="AI111" s="142"/>
      <c r="AJ111" s="150"/>
      <c r="AK111" s="142"/>
      <c r="AL111" s="142"/>
      <c r="AM111" s="129"/>
      <c r="AN111" s="129"/>
      <c r="AO111" s="138"/>
      <c r="AP111" s="143"/>
      <c r="AQ111" s="143"/>
      <c r="AR111" s="143"/>
      <c r="AS111" s="135"/>
      <c r="AT111" s="143"/>
      <c r="AU111" s="143"/>
      <c r="AV111" s="144"/>
      <c r="AW111" s="142"/>
      <c r="AX111" s="138"/>
      <c r="AY111" s="135"/>
      <c r="AZ111" s="135"/>
      <c r="BA111" s="135"/>
      <c r="BB111" s="147"/>
      <c r="BC111" s="135"/>
      <c r="BD111" s="148"/>
      <c r="BE111" s="146"/>
      <c r="BF111" s="146"/>
      <c r="BG111" s="146"/>
      <c r="BH111" s="146"/>
      <c r="BI111" s="177"/>
      <c r="BJ111" s="146"/>
      <c r="BK111" s="135"/>
      <c r="BL111" s="140"/>
      <c r="BM111" s="129"/>
      <c r="BN111" s="148"/>
      <c r="BO111" s="138"/>
      <c r="BP111" s="142"/>
      <c r="BQ111" s="150" t="s">
        <v>2591</v>
      </c>
      <c r="BR111" s="129" t="s">
        <v>825</v>
      </c>
      <c r="BS111" s="22"/>
      <c r="BT111" s="22"/>
    </row>
    <row r="112" spans="1:72" ht="17.25" hidden="1" customHeight="1">
      <c r="A112" s="130" t="s">
        <v>2592</v>
      </c>
      <c r="B112" s="130"/>
      <c r="C112" s="129" t="s">
        <v>2593</v>
      </c>
      <c r="D112" s="131">
        <v>2024</v>
      </c>
      <c r="E112" s="129" t="s">
        <v>2594</v>
      </c>
      <c r="F112" s="132" t="s">
        <v>2595</v>
      </c>
      <c r="G112" s="136" t="s">
        <v>2596</v>
      </c>
      <c r="H112" s="136"/>
      <c r="I112" s="135" t="s">
        <v>1467</v>
      </c>
      <c r="J112" s="134" t="s">
        <v>2597</v>
      </c>
      <c r="K112" s="137" t="s">
        <v>2598</v>
      </c>
      <c r="L112" s="129" t="s">
        <v>226</v>
      </c>
      <c r="M112" s="129" t="s">
        <v>2599</v>
      </c>
      <c r="N112" s="135" t="s">
        <v>2600</v>
      </c>
      <c r="O112" s="138" t="s">
        <v>2601</v>
      </c>
      <c r="P112" s="138" t="s">
        <v>2602</v>
      </c>
      <c r="Q112" s="142" t="s">
        <v>2603</v>
      </c>
      <c r="R112" s="140" t="s">
        <v>90</v>
      </c>
      <c r="S112" s="141" t="s">
        <v>2604</v>
      </c>
      <c r="T112" s="138" t="s">
        <v>2605</v>
      </c>
      <c r="U112" s="138" t="s">
        <v>2606</v>
      </c>
      <c r="V112" s="138" t="s">
        <v>124</v>
      </c>
      <c r="W112" s="31" t="s">
        <v>124</v>
      </c>
      <c r="X112" s="138"/>
      <c r="Y112" s="138" t="s">
        <v>2607</v>
      </c>
      <c r="Z112" s="138"/>
      <c r="AA112" s="142" t="s">
        <v>130</v>
      </c>
      <c r="AB112" s="142"/>
      <c r="AC112" s="142" t="s">
        <v>2608</v>
      </c>
      <c r="AD112" s="140" t="s">
        <v>1717</v>
      </c>
      <c r="AE112" s="135" t="s">
        <v>1382</v>
      </c>
      <c r="AF112" s="135"/>
      <c r="AG112" s="135"/>
      <c r="AH112" s="138" t="s">
        <v>967</v>
      </c>
      <c r="AI112" s="142"/>
      <c r="AJ112" s="150" t="s">
        <v>2609</v>
      </c>
      <c r="AK112" s="142"/>
      <c r="AL112" s="142" t="s">
        <v>2610</v>
      </c>
      <c r="AM112" s="129" t="s">
        <v>137</v>
      </c>
      <c r="AN112" s="129" t="s">
        <v>137</v>
      </c>
      <c r="AO112" s="138" t="s">
        <v>2611</v>
      </c>
      <c r="AP112" s="33" t="s">
        <v>139</v>
      </c>
      <c r="AQ112" s="33" t="s">
        <v>140</v>
      </c>
      <c r="AR112" s="143" t="s">
        <v>141</v>
      </c>
      <c r="AS112" s="135" t="s">
        <v>2612</v>
      </c>
      <c r="AT112" s="143" t="s">
        <v>2613</v>
      </c>
      <c r="AU112" s="143"/>
      <c r="AV112" s="144" t="s">
        <v>179</v>
      </c>
      <c r="AW112" s="142" t="s">
        <v>1322</v>
      </c>
      <c r="AX112" s="138" t="s">
        <v>336</v>
      </c>
      <c r="AY112" s="135" t="s">
        <v>189</v>
      </c>
      <c r="AZ112" s="135" t="s">
        <v>1323</v>
      </c>
      <c r="BA112" s="135" t="s">
        <v>101</v>
      </c>
      <c r="BB112" s="147">
        <v>30</v>
      </c>
      <c r="BC112" s="135" t="s">
        <v>2614</v>
      </c>
      <c r="BD112" s="148" t="s">
        <v>2615</v>
      </c>
      <c r="BE112" s="146" t="s">
        <v>2616</v>
      </c>
      <c r="BF112" s="146" t="s">
        <v>2617</v>
      </c>
      <c r="BG112" s="146" t="s">
        <v>1322</v>
      </c>
      <c r="BH112" s="146" t="s">
        <v>2618</v>
      </c>
      <c r="BI112" s="177"/>
      <c r="BJ112" s="146"/>
      <c r="BK112" s="135" t="s">
        <v>2619</v>
      </c>
      <c r="BL112" s="140" t="s">
        <v>2620</v>
      </c>
      <c r="BM112" s="129"/>
      <c r="BN112" s="148" t="s">
        <v>2621</v>
      </c>
      <c r="BO112" s="138" t="s">
        <v>2622</v>
      </c>
      <c r="BP112" s="142" t="s">
        <v>124</v>
      </c>
      <c r="BQ112" s="150" t="s">
        <v>2623</v>
      </c>
      <c r="BR112" s="129" t="s">
        <v>497</v>
      </c>
      <c r="BS112" s="194"/>
      <c r="BT112" s="194"/>
    </row>
    <row r="113" spans="1:72" ht="398" hidden="1" customHeight="1">
      <c r="A113" s="46" t="s">
        <v>2624</v>
      </c>
      <c r="B113" s="46"/>
      <c r="C113" s="45" t="s">
        <v>2625</v>
      </c>
      <c r="D113" s="47">
        <v>2024</v>
      </c>
      <c r="E113" s="45" t="s">
        <v>2626</v>
      </c>
      <c r="F113" s="220" t="s">
        <v>2627</v>
      </c>
      <c r="G113" s="206"/>
      <c r="H113" s="206"/>
      <c r="I113" s="51"/>
      <c r="J113" s="205" t="s">
        <v>2628</v>
      </c>
      <c r="K113" s="52"/>
      <c r="L113" s="45"/>
      <c r="M113" s="45"/>
      <c r="N113" s="51"/>
      <c r="O113" s="53"/>
      <c r="P113" s="53"/>
      <c r="Q113" s="54"/>
      <c r="R113" s="50"/>
      <c r="S113" s="53"/>
      <c r="T113" s="53"/>
      <c r="U113" s="53"/>
      <c r="V113" s="53"/>
      <c r="W113" s="53"/>
      <c r="X113" s="53"/>
      <c r="Y113" s="53"/>
      <c r="Z113" s="53"/>
      <c r="AA113" s="54"/>
      <c r="AB113" s="54"/>
      <c r="AC113" s="54"/>
      <c r="AD113" s="50"/>
      <c r="AE113" s="51"/>
      <c r="AF113" s="51"/>
      <c r="AG113" s="51"/>
      <c r="AH113" s="53"/>
      <c r="AI113" s="54"/>
      <c r="AJ113" s="56"/>
      <c r="AK113" s="54"/>
      <c r="AL113" s="54"/>
      <c r="AM113" s="45"/>
      <c r="AN113" s="45"/>
      <c r="AO113" s="53"/>
      <c r="AP113" s="55"/>
      <c r="AQ113" s="55"/>
      <c r="AR113" s="55"/>
      <c r="AS113" s="51"/>
      <c r="AT113" s="55"/>
      <c r="AU113" s="55"/>
      <c r="AV113" s="50"/>
      <c r="AW113" s="54"/>
      <c r="AX113" s="53"/>
      <c r="AY113" s="51"/>
      <c r="AZ113" s="51"/>
      <c r="BA113" s="51"/>
      <c r="BB113" s="58"/>
      <c r="BC113" s="51"/>
      <c r="BD113" s="59"/>
      <c r="BE113" s="57"/>
      <c r="BF113" s="57"/>
      <c r="BG113" s="57"/>
      <c r="BH113" s="57"/>
      <c r="BI113" s="57"/>
      <c r="BJ113" s="57"/>
      <c r="BK113" s="51"/>
      <c r="BL113" s="50"/>
      <c r="BM113" s="45"/>
      <c r="BN113" s="59"/>
      <c r="BO113" s="53"/>
      <c r="BP113" s="54"/>
      <c r="BQ113" s="56" t="s">
        <v>2629</v>
      </c>
      <c r="BR113" s="45" t="s">
        <v>107</v>
      </c>
      <c r="BS113" s="62"/>
      <c r="BT113" s="62"/>
    </row>
    <row r="114" spans="1:72" s="338" customFormat="1" ht="17.25" customHeight="1">
      <c r="A114" s="329" t="s">
        <v>2630</v>
      </c>
      <c r="B114" s="329"/>
      <c r="C114" s="329" t="s">
        <v>2631</v>
      </c>
      <c r="D114" s="340">
        <v>2025</v>
      </c>
      <c r="E114" s="329" t="s">
        <v>2632</v>
      </c>
      <c r="F114" s="357" t="s">
        <v>2633</v>
      </c>
      <c r="G114" s="357" t="s">
        <v>2633</v>
      </c>
      <c r="H114" s="329"/>
      <c r="I114" s="329" t="s">
        <v>2634</v>
      </c>
      <c r="J114" s="329" t="s">
        <v>2635</v>
      </c>
      <c r="K114" s="329" t="s">
        <v>2636</v>
      </c>
      <c r="L114" s="329" t="s">
        <v>315</v>
      </c>
      <c r="M114" s="329" t="s">
        <v>316</v>
      </c>
      <c r="N114" s="329" t="s">
        <v>214</v>
      </c>
      <c r="O114" s="329" t="s">
        <v>2637</v>
      </c>
      <c r="P114" s="329" t="s">
        <v>2638</v>
      </c>
      <c r="Q114" s="329" t="s">
        <v>2639</v>
      </c>
      <c r="R114" s="332" t="s">
        <v>90</v>
      </c>
      <c r="S114" s="329" t="s">
        <v>2640</v>
      </c>
      <c r="T114" s="390" t="s">
        <v>1068</v>
      </c>
      <c r="U114" s="329" t="s">
        <v>1069</v>
      </c>
      <c r="V114" s="329" t="s">
        <v>2641</v>
      </c>
      <c r="W114" s="332" t="s">
        <v>2642</v>
      </c>
      <c r="X114" s="332" t="s">
        <v>2643</v>
      </c>
      <c r="Y114" s="329"/>
      <c r="Z114" s="332" t="s">
        <v>2644</v>
      </c>
      <c r="AA114" s="329" t="s">
        <v>177</v>
      </c>
      <c r="AB114" s="329" t="s">
        <v>178</v>
      </c>
      <c r="AC114" s="329" t="s">
        <v>325</v>
      </c>
      <c r="AD114" s="329" t="s">
        <v>180</v>
      </c>
      <c r="AE114" s="329" t="s">
        <v>2645</v>
      </c>
      <c r="AF114" s="329" t="s">
        <v>328</v>
      </c>
      <c r="AG114" s="329" t="s">
        <v>2646</v>
      </c>
      <c r="AH114" s="329" t="s">
        <v>2647</v>
      </c>
      <c r="AI114" s="374"/>
      <c r="AJ114" s="403" t="s">
        <v>2648</v>
      </c>
      <c r="AK114" s="374"/>
      <c r="AL114" s="329"/>
      <c r="AM114" s="329" t="s">
        <v>138</v>
      </c>
      <c r="AN114" s="329" t="s">
        <v>138</v>
      </c>
      <c r="AO114" s="329" t="s">
        <v>145</v>
      </c>
      <c r="AP114" s="329" t="s">
        <v>333</v>
      </c>
      <c r="AQ114" s="329" t="s">
        <v>140</v>
      </c>
      <c r="AR114" s="329" t="s">
        <v>145</v>
      </c>
      <c r="AS114" s="329" t="s">
        <v>98</v>
      </c>
      <c r="AT114" s="329"/>
      <c r="AU114" s="329"/>
      <c r="AV114" s="329" t="s">
        <v>287</v>
      </c>
      <c r="AW114" s="329" t="s">
        <v>288</v>
      </c>
      <c r="AX114" s="329" t="s">
        <v>188</v>
      </c>
      <c r="AY114" s="329" t="s">
        <v>337</v>
      </c>
      <c r="AZ114" s="329" t="s">
        <v>101</v>
      </c>
      <c r="BA114" s="329" t="s">
        <v>101</v>
      </c>
      <c r="BB114" s="329" t="s">
        <v>2649</v>
      </c>
      <c r="BC114" s="329" t="s">
        <v>862</v>
      </c>
      <c r="BD114" s="329" t="s">
        <v>1005</v>
      </c>
      <c r="BE114" s="329" t="s">
        <v>2650</v>
      </c>
      <c r="BF114" s="329" t="s">
        <v>293</v>
      </c>
      <c r="BG114" s="329" t="s">
        <v>2651</v>
      </c>
      <c r="BH114" s="329" t="s">
        <v>2652</v>
      </c>
      <c r="BI114" s="329">
        <v>10</v>
      </c>
      <c r="BJ114" s="329" t="s">
        <v>1393</v>
      </c>
      <c r="BK114" s="329" t="s">
        <v>976</v>
      </c>
      <c r="BL114" s="329" t="s">
        <v>342</v>
      </c>
      <c r="BM114" s="329" t="s">
        <v>137</v>
      </c>
      <c r="BN114" s="329" t="s">
        <v>2653</v>
      </c>
      <c r="BO114" s="329" t="s">
        <v>2654</v>
      </c>
      <c r="BP114" s="329" t="s">
        <v>2655</v>
      </c>
      <c r="BQ114" s="329" t="s">
        <v>2656</v>
      </c>
      <c r="BR114" s="329" t="s">
        <v>621</v>
      </c>
      <c r="BS114" s="329" t="s">
        <v>1267</v>
      </c>
      <c r="BT114" s="329"/>
    </row>
    <row r="115" spans="1:72" ht="17.25" hidden="1" customHeight="1">
      <c r="A115" s="46" t="s">
        <v>2657</v>
      </c>
      <c r="B115" s="46"/>
      <c r="C115" s="45" t="s">
        <v>2658</v>
      </c>
      <c r="D115" s="47">
        <v>2025</v>
      </c>
      <c r="E115" s="45" t="s">
        <v>2659</v>
      </c>
      <c r="F115" s="220" t="s">
        <v>2660</v>
      </c>
      <c r="G115" s="51"/>
      <c r="H115" s="51"/>
      <c r="I115" s="51"/>
      <c r="J115" s="243" t="s">
        <v>2661</v>
      </c>
      <c r="K115" s="52"/>
      <c r="L115" s="45"/>
      <c r="M115" s="45"/>
      <c r="N115" s="51"/>
      <c r="O115" s="53"/>
      <c r="P115" s="53"/>
      <c r="Q115" s="54"/>
      <c r="R115" s="50"/>
      <c r="S115" s="53"/>
      <c r="T115" s="53"/>
      <c r="U115" s="53"/>
      <c r="V115" s="53"/>
      <c r="W115" s="53"/>
      <c r="X115" s="53"/>
      <c r="Y115" s="53"/>
      <c r="Z115" s="53"/>
      <c r="AA115" s="54"/>
      <c r="AB115" s="54"/>
      <c r="AC115" s="54"/>
      <c r="AD115" s="50"/>
      <c r="AE115" s="51"/>
      <c r="AF115" s="51"/>
      <c r="AG115" s="51"/>
      <c r="AH115" s="53"/>
      <c r="AI115" s="54"/>
      <c r="AJ115" s="56"/>
      <c r="AK115" s="54"/>
      <c r="AL115" s="54"/>
      <c r="AM115" s="45"/>
      <c r="AN115" s="45"/>
      <c r="AO115" s="53"/>
      <c r="AP115" s="55"/>
      <c r="AQ115" s="55"/>
      <c r="AR115" s="55"/>
      <c r="AS115" s="51"/>
      <c r="AT115" s="55"/>
      <c r="AU115" s="55"/>
      <c r="AV115" s="50"/>
      <c r="AW115" s="54"/>
      <c r="AX115" s="53"/>
      <c r="AY115" s="51"/>
      <c r="AZ115" s="51"/>
      <c r="BA115" s="51"/>
      <c r="BB115" s="58"/>
      <c r="BC115" s="51"/>
      <c r="BD115" s="59"/>
      <c r="BE115" s="57"/>
      <c r="BF115" s="57"/>
      <c r="BG115" s="57"/>
      <c r="BH115" s="57"/>
      <c r="BI115" s="57"/>
      <c r="BJ115" s="57"/>
      <c r="BK115" s="51"/>
      <c r="BL115" s="50"/>
      <c r="BM115" s="45"/>
      <c r="BN115" s="59"/>
      <c r="BO115" s="53"/>
      <c r="BP115" s="54"/>
      <c r="BQ115" s="56" t="s">
        <v>2662</v>
      </c>
      <c r="BR115" s="45" t="s">
        <v>107</v>
      </c>
      <c r="BS115" s="49"/>
      <c r="BT115" s="49"/>
    </row>
    <row r="116" spans="1:72" s="338" customFormat="1" ht="17.25" hidden="1" customHeight="1">
      <c r="A116" s="329" t="s">
        <v>2663</v>
      </c>
      <c r="B116" s="329"/>
      <c r="C116" s="329" t="s">
        <v>2664</v>
      </c>
      <c r="D116" s="340">
        <v>2025</v>
      </c>
      <c r="E116" s="329" t="s">
        <v>2665</v>
      </c>
      <c r="F116" s="359" t="s">
        <v>2666</v>
      </c>
      <c r="G116" s="329" t="s">
        <v>2667</v>
      </c>
      <c r="H116" s="329"/>
      <c r="I116" s="329" t="s">
        <v>2668</v>
      </c>
      <c r="J116" s="329" t="s">
        <v>2669</v>
      </c>
      <c r="K116" s="332"/>
      <c r="L116" s="329" t="s">
        <v>85</v>
      </c>
      <c r="M116" s="329" t="s">
        <v>2670</v>
      </c>
      <c r="N116" s="329" t="s">
        <v>312</v>
      </c>
      <c r="O116" s="329"/>
      <c r="P116" s="329"/>
      <c r="Q116" s="329"/>
      <c r="R116" s="332" t="s">
        <v>90</v>
      </c>
      <c r="S116" s="329"/>
      <c r="T116" s="329"/>
      <c r="U116" s="329"/>
      <c r="V116" s="329"/>
      <c r="W116" s="332"/>
      <c r="X116" s="332"/>
      <c r="Y116" s="329"/>
      <c r="Z116" s="332"/>
      <c r="AA116" s="329"/>
      <c r="AB116" s="329"/>
      <c r="AC116" s="329"/>
      <c r="AD116" s="329"/>
      <c r="AE116" s="329"/>
      <c r="AF116" s="329"/>
      <c r="AG116" s="329"/>
      <c r="AH116" s="329"/>
      <c r="AI116" s="374"/>
      <c r="AJ116" s="374"/>
      <c r="AK116" s="374"/>
      <c r="AL116" s="329"/>
      <c r="AM116" s="329"/>
      <c r="AN116" s="329"/>
      <c r="AO116" s="329"/>
      <c r="AP116" s="329" t="s">
        <v>621</v>
      </c>
      <c r="AQ116" s="329" t="s">
        <v>621</v>
      </c>
      <c r="AR116" s="329" t="s">
        <v>621</v>
      </c>
      <c r="AS116" s="329"/>
      <c r="AT116" s="329"/>
      <c r="AU116" s="329"/>
      <c r="AV116" s="329"/>
      <c r="AW116" s="329"/>
      <c r="AX116" s="329"/>
      <c r="AY116" s="329"/>
      <c r="AZ116" s="329"/>
      <c r="BA116" s="329"/>
      <c r="BB116" s="329"/>
      <c r="BC116" s="329"/>
      <c r="BD116" s="329"/>
      <c r="BE116" s="329"/>
      <c r="BF116" s="329"/>
      <c r="BG116" s="329"/>
      <c r="BH116" s="329"/>
      <c r="BI116" s="329"/>
      <c r="BJ116" s="329"/>
      <c r="BK116" s="329"/>
      <c r="BL116" s="329"/>
      <c r="BM116" s="329"/>
      <c r="BN116" s="329"/>
      <c r="BO116" s="329"/>
      <c r="BP116" s="329"/>
      <c r="BQ116" s="329"/>
      <c r="BR116" s="329" t="s">
        <v>621</v>
      </c>
      <c r="BS116" s="329"/>
      <c r="BT116" s="329"/>
    </row>
    <row r="117" spans="1:72" ht="45.75" hidden="1" customHeight="1">
      <c r="A117" s="46" t="s">
        <v>2671</v>
      </c>
      <c r="B117" s="46"/>
      <c r="C117" s="45" t="s">
        <v>2672</v>
      </c>
      <c r="D117" s="47"/>
      <c r="E117" s="45" t="s">
        <v>2673</v>
      </c>
      <c r="F117" s="204"/>
      <c r="G117" s="206"/>
      <c r="H117" s="206"/>
      <c r="I117" s="51"/>
      <c r="J117" s="205" t="s">
        <v>2674</v>
      </c>
      <c r="K117" s="52"/>
      <c r="L117" s="45"/>
      <c r="M117" s="45"/>
      <c r="N117" s="51"/>
      <c r="O117" s="53"/>
      <c r="P117" s="53"/>
      <c r="Q117" s="54"/>
      <c r="R117" s="50"/>
      <c r="S117" s="53"/>
      <c r="T117" s="53"/>
      <c r="U117" s="53"/>
      <c r="V117" s="53"/>
      <c r="W117" s="53"/>
      <c r="X117" s="53"/>
      <c r="Y117" s="53"/>
      <c r="Z117" s="53"/>
      <c r="AA117" s="54"/>
      <c r="AB117" s="54"/>
      <c r="AC117" s="54"/>
      <c r="AD117" s="50"/>
      <c r="AE117" s="51"/>
      <c r="AF117" s="51"/>
      <c r="AG117" s="51"/>
      <c r="AH117" s="53"/>
      <c r="AI117" s="54"/>
      <c r="AJ117" s="56"/>
      <c r="AK117" s="54"/>
      <c r="AL117" s="54"/>
      <c r="AM117" s="45"/>
      <c r="AN117" s="45"/>
      <c r="AO117" s="53"/>
      <c r="AP117" s="55"/>
      <c r="AQ117" s="55"/>
      <c r="AR117" s="55"/>
      <c r="AS117" s="51"/>
      <c r="AT117" s="55"/>
      <c r="AU117" s="55"/>
      <c r="AV117" s="50"/>
      <c r="AW117" s="54"/>
      <c r="AX117" s="53"/>
      <c r="AY117" s="51"/>
      <c r="AZ117" s="51"/>
      <c r="BA117" s="51"/>
      <c r="BB117" s="58"/>
      <c r="BC117" s="51"/>
      <c r="BD117" s="59"/>
      <c r="BE117" s="57"/>
      <c r="BF117" s="57"/>
      <c r="BG117" s="57"/>
      <c r="BH117" s="57"/>
      <c r="BI117" s="57"/>
      <c r="BJ117" s="57"/>
      <c r="BK117" s="51"/>
      <c r="BL117" s="50"/>
      <c r="BM117" s="45"/>
      <c r="BN117" s="59"/>
      <c r="BO117" s="53"/>
      <c r="BP117" s="54" t="s">
        <v>2675</v>
      </c>
      <c r="BQ117" s="56" t="s">
        <v>2676</v>
      </c>
      <c r="BR117" s="45" t="s">
        <v>107</v>
      </c>
      <c r="BS117" s="49"/>
      <c r="BT117" s="49"/>
    </row>
    <row r="118" spans="1:72" ht="45.75" hidden="1" customHeight="1">
      <c r="A118" s="2" t="s">
        <v>2677</v>
      </c>
      <c r="B118" s="2"/>
      <c r="C118" s="1" t="s">
        <v>2678</v>
      </c>
      <c r="D118" s="3"/>
      <c r="E118" s="1" t="s">
        <v>2679</v>
      </c>
      <c r="F118" s="221"/>
      <c r="G118" s="202"/>
      <c r="H118" s="202"/>
      <c r="I118" s="7"/>
      <c r="J118" s="6" t="s">
        <v>2680</v>
      </c>
      <c r="K118" s="8"/>
      <c r="L118" s="1"/>
      <c r="M118" s="1"/>
      <c r="N118" s="7"/>
      <c r="O118" s="7"/>
      <c r="P118" s="7"/>
      <c r="Q118" s="1"/>
      <c r="R118" s="12"/>
      <c r="S118" s="7"/>
      <c r="T118" s="7"/>
      <c r="U118" s="7"/>
      <c r="V118" s="7"/>
      <c r="W118" s="7"/>
      <c r="X118" s="7"/>
      <c r="Y118" s="7"/>
      <c r="Z118" s="7"/>
      <c r="AA118" s="1"/>
      <c r="AB118" s="1"/>
      <c r="AC118" s="1"/>
      <c r="AD118" s="12"/>
      <c r="AE118" s="7"/>
      <c r="AF118" s="7"/>
      <c r="AG118" s="7"/>
      <c r="AH118" s="7"/>
      <c r="AI118" s="1"/>
      <c r="AJ118" s="12"/>
      <c r="AK118" s="1"/>
      <c r="AL118" s="1"/>
      <c r="AM118" s="1"/>
      <c r="AN118" s="1"/>
      <c r="AO118" s="7"/>
      <c r="AP118" s="5"/>
      <c r="AQ118" s="5"/>
      <c r="AR118" s="5"/>
      <c r="AS118" s="7"/>
      <c r="AT118" s="5"/>
      <c r="AU118" s="5"/>
      <c r="AV118" s="12"/>
      <c r="AW118" s="1"/>
      <c r="AX118" s="7"/>
      <c r="AY118" s="7"/>
      <c r="AZ118" s="7"/>
      <c r="BA118" s="7"/>
      <c r="BB118" s="223"/>
      <c r="BC118" s="7"/>
      <c r="BD118" s="16"/>
      <c r="BE118" s="16"/>
      <c r="BF118" s="16"/>
      <c r="BG118" s="16"/>
      <c r="BH118" s="16"/>
      <c r="BI118" s="16"/>
      <c r="BJ118" s="16"/>
      <c r="BK118" s="7"/>
      <c r="BL118" s="12"/>
      <c r="BM118" s="1"/>
      <c r="BN118" s="16"/>
      <c r="BO118" s="7"/>
      <c r="BP118" s="1"/>
      <c r="BQ118" s="12" t="s">
        <v>2681</v>
      </c>
      <c r="BR118" s="1" t="s">
        <v>107</v>
      </c>
      <c r="BS118" s="5"/>
      <c r="BT118" s="5"/>
    </row>
    <row r="119" spans="1:72" ht="45.75" customHeight="1">
      <c r="A119" s="342"/>
      <c r="B119" s="342"/>
      <c r="C119" s="342"/>
      <c r="D119" s="343"/>
      <c r="E119" s="342"/>
      <c r="F119" s="342"/>
      <c r="G119" s="344"/>
      <c r="H119" s="344"/>
      <c r="I119" s="344"/>
      <c r="J119" s="334"/>
      <c r="K119" s="335"/>
      <c r="L119" s="336"/>
      <c r="M119" s="336"/>
      <c r="N119" s="337"/>
      <c r="O119" s="337"/>
      <c r="P119" s="315"/>
      <c r="Q119" s="314"/>
      <c r="R119" s="317"/>
      <c r="S119" s="315"/>
      <c r="T119" s="315"/>
      <c r="U119" s="315"/>
      <c r="V119" s="258"/>
      <c r="W119" s="322"/>
      <c r="X119" s="318"/>
      <c r="Y119" s="315"/>
      <c r="Z119" s="318"/>
      <c r="AA119" s="314"/>
      <c r="AB119" s="336"/>
      <c r="AC119" s="314"/>
      <c r="AD119" s="316"/>
      <c r="AE119" s="315"/>
      <c r="AF119" s="315"/>
      <c r="AG119" s="315"/>
      <c r="AH119" s="315"/>
      <c r="AI119" s="377"/>
      <c r="AJ119" s="407"/>
      <c r="AK119" s="377"/>
      <c r="AL119" s="314"/>
      <c r="AM119" s="314"/>
      <c r="AN119" s="314"/>
      <c r="AO119" s="315"/>
      <c r="AP119" s="257"/>
      <c r="AQ119" s="257"/>
      <c r="AR119" s="257"/>
      <c r="AS119" s="315"/>
      <c r="AT119" s="257"/>
      <c r="AU119" s="257"/>
      <c r="AV119" s="316"/>
      <c r="AW119" s="314"/>
      <c r="AX119" s="315"/>
      <c r="AY119" s="315"/>
      <c r="AZ119" s="315"/>
      <c r="BA119" s="315"/>
      <c r="BB119" s="315"/>
      <c r="BC119" s="315"/>
      <c r="BD119" s="319"/>
      <c r="BE119" s="319"/>
      <c r="BF119" s="319"/>
      <c r="BG119" s="319"/>
      <c r="BH119" s="319"/>
      <c r="BI119" s="319"/>
      <c r="BJ119" s="319"/>
      <c r="BK119" s="315"/>
      <c r="BL119" s="316"/>
      <c r="BM119" s="314"/>
      <c r="BN119" s="319"/>
      <c r="BO119" s="315"/>
      <c r="BP119" s="314"/>
      <c r="BQ119" s="316"/>
      <c r="BR119" s="314"/>
      <c r="BS119" s="262"/>
      <c r="BT119" s="262"/>
    </row>
    <row r="120" spans="1:72" ht="45.75" customHeight="1">
      <c r="A120" s="342"/>
      <c r="B120" s="342"/>
      <c r="C120" s="342"/>
      <c r="D120" s="343"/>
      <c r="E120" s="342"/>
      <c r="F120" s="342"/>
      <c r="G120" s="344"/>
      <c r="H120" s="344"/>
      <c r="I120" s="344"/>
      <c r="J120" s="334"/>
      <c r="K120" s="335"/>
      <c r="L120" s="336"/>
      <c r="M120" s="336"/>
      <c r="N120" s="337"/>
      <c r="O120" s="337"/>
      <c r="P120" s="315"/>
      <c r="Q120" s="314"/>
      <c r="R120" s="317"/>
      <c r="S120" s="315"/>
      <c r="T120" s="315"/>
      <c r="U120" s="315"/>
      <c r="V120" s="258"/>
      <c r="W120" s="322"/>
      <c r="X120" s="318"/>
      <c r="Y120" s="315"/>
      <c r="Z120" s="318"/>
      <c r="AA120" s="314"/>
      <c r="AB120" s="336"/>
      <c r="AC120" s="314"/>
      <c r="AD120" s="316"/>
      <c r="AE120" s="315"/>
      <c r="AF120" s="315"/>
      <c r="AG120" s="315"/>
      <c r="AH120" s="315"/>
      <c r="AI120" s="377"/>
      <c r="AJ120" s="407"/>
      <c r="AK120" s="377"/>
      <c r="AL120" s="314"/>
      <c r="AM120" s="314"/>
      <c r="AN120" s="314"/>
      <c r="AO120" s="315"/>
      <c r="AP120" s="257"/>
      <c r="AQ120" s="257"/>
      <c r="AR120" s="257"/>
      <c r="AS120" s="315"/>
      <c r="AT120" s="257"/>
      <c r="AU120" s="257"/>
      <c r="AV120" s="316"/>
      <c r="AW120" s="314"/>
      <c r="AX120" s="315"/>
      <c r="AY120" s="315"/>
      <c r="AZ120" s="315"/>
      <c r="BA120" s="315"/>
      <c r="BB120" s="315"/>
      <c r="BC120" s="315"/>
      <c r="BD120" s="319"/>
      <c r="BE120" s="319"/>
      <c r="BF120" s="319"/>
      <c r="BG120" s="319"/>
      <c r="BH120" s="319"/>
      <c r="BI120" s="319"/>
      <c r="BJ120" s="319"/>
      <c r="BK120" s="315"/>
      <c r="BL120" s="316"/>
      <c r="BM120" s="314"/>
      <c r="BN120" s="319"/>
      <c r="BO120" s="315"/>
      <c r="BP120" s="314"/>
      <c r="BQ120" s="316"/>
      <c r="BR120" s="314"/>
      <c r="BS120" s="262"/>
      <c r="BT120" s="262"/>
    </row>
    <row r="121" spans="1:72" ht="45.75" customHeight="1">
      <c r="A121" s="342"/>
      <c r="B121" s="342"/>
      <c r="C121" s="342"/>
      <c r="D121" s="343"/>
      <c r="E121" s="342"/>
      <c r="F121" s="342"/>
      <c r="G121" s="344"/>
      <c r="H121" s="344"/>
      <c r="I121" s="344"/>
      <c r="J121" s="334"/>
      <c r="K121" s="335"/>
      <c r="L121" s="336"/>
      <c r="M121" s="336"/>
      <c r="N121" s="337"/>
      <c r="O121" s="337"/>
      <c r="P121" s="315"/>
      <c r="Q121" s="314"/>
      <c r="R121" s="317"/>
      <c r="S121" s="315"/>
      <c r="T121" s="315"/>
      <c r="U121" s="315"/>
      <c r="V121" s="258"/>
      <c r="W121" s="322"/>
      <c r="X121" s="318"/>
      <c r="Y121" s="315"/>
      <c r="Z121" s="318"/>
      <c r="AA121" s="314"/>
      <c r="AB121" s="336"/>
      <c r="AC121" s="314"/>
      <c r="AD121" s="316"/>
      <c r="AE121" s="315"/>
      <c r="AF121" s="315"/>
      <c r="AG121" s="315"/>
      <c r="AH121" s="315"/>
      <c r="AI121" s="377"/>
      <c r="AJ121" s="407"/>
      <c r="AK121" s="377"/>
      <c r="AL121" s="314"/>
      <c r="AM121" s="314"/>
      <c r="AN121" s="314"/>
      <c r="AO121" s="315"/>
      <c r="AP121" s="257"/>
      <c r="AQ121" s="257"/>
      <c r="AR121" s="257"/>
      <c r="AS121" s="315"/>
      <c r="AT121" s="257"/>
      <c r="AU121" s="257"/>
      <c r="AV121" s="316"/>
      <c r="AW121" s="314"/>
      <c r="AX121" s="315"/>
      <c r="AY121" s="315"/>
      <c r="AZ121" s="315"/>
      <c r="BA121" s="315"/>
      <c r="BB121" s="315"/>
      <c r="BC121" s="315"/>
      <c r="BD121" s="319"/>
      <c r="BE121" s="319"/>
      <c r="BF121" s="319"/>
      <c r="BG121" s="319"/>
      <c r="BH121" s="319"/>
      <c r="BI121" s="319"/>
      <c r="BJ121" s="319"/>
      <c r="BK121" s="315"/>
      <c r="BL121" s="316"/>
      <c r="BM121" s="314"/>
      <c r="BN121" s="319"/>
      <c r="BO121" s="315"/>
      <c r="BP121" s="314"/>
      <c r="BQ121" s="316"/>
      <c r="BR121" s="314"/>
      <c r="BS121" s="262"/>
      <c r="BT121" s="262"/>
    </row>
    <row r="122" spans="1:72" ht="45.75" customHeight="1">
      <c r="A122" s="342"/>
      <c r="B122" s="342"/>
      <c r="C122" s="342"/>
      <c r="D122" s="343"/>
      <c r="E122" s="342"/>
      <c r="F122" s="342"/>
      <c r="G122" s="344"/>
      <c r="H122" s="344"/>
      <c r="I122" s="344"/>
      <c r="J122" s="334"/>
      <c r="K122" s="335"/>
      <c r="L122" s="336"/>
      <c r="M122" s="336"/>
      <c r="N122" s="337"/>
      <c r="O122" s="337"/>
      <c r="P122" s="315"/>
      <c r="Q122" s="314"/>
      <c r="R122" s="317"/>
      <c r="S122" s="315"/>
      <c r="T122" s="315"/>
      <c r="U122" s="315"/>
      <c r="V122" s="258"/>
      <c r="W122" s="322"/>
      <c r="X122" s="318"/>
      <c r="Y122" s="315"/>
      <c r="Z122" s="318"/>
      <c r="AA122" s="314"/>
      <c r="AB122" s="336"/>
      <c r="AC122" s="314"/>
      <c r="AD122" s="316"/>
      <c r="AE122" s="315"/>
      <c r="AF122" s="315"/>
      <c r="AG122" s="315"/>
      <c r="AH122" s="315"/>
      <c r="AI122" s="377"/>
      <c r="AJ122" s="407"/>
      <c r="AK122" s="377"/>
      <c r="AL122" s="314"/>
      <c r="AM122" s="314"/>
      <c r="AN122" s="314"/>
      <c r="AO122" s="315"/>
      <c r="AP122" s="257"/>
      <c r="AQ122" s="257"/>
      <c r="AR122" s="257"/>
      <c r="AS122" s="315"/>
      <c r="AT122" s="257"/>
      <c r="AU122" s="257"/>
      <c r="AV122" s="316"/>
      <c r="AW122" s="314"/>
      <c r="AX122" s="315"/>
      <c r="AY122" s="315"/>
      <c r="AZ122" s="315"/>
      <c r="BA122" s="315"/>
      <c r="BB122" s="315"/>
      <c r="BC122" s="315"/>
      <c r="BD122" s="319"/>
      <c r="BE122" s="319"/>
      <c r="BF122" s="319"/>
      <c r="BG122" s="319"/>
      <c r="BH122" s="319"/>
      <c r="BI122" s="319"/>
      <c r="BJ122" s="319"/>
      <c r="BK122" s="315"/>
      <c r="BL122" s="316"/>
      <c r="BM122" s="314"/>
      <c r="BN122" s="319"/>
      <c r="BO122" s="315"/>
      <c r="BP122" s="314"/>
      <c r="BQ122" s="316"/>
      <c r="BR122" s="314"/>
      <c r="BS122" s="262"/>
      <c r="BT122" s="262"/>
    </row>
    <row r="123" spans="1:72" ht="45.75" customHeight="1">
      <c r="A123" s="342"/>
      <c r="B123" s="342"/>
      <c r="C123" s="342"/>
      <c r="D123" s="343"/>
      <c r="E123" s="342"/>
      <c r="F123" s="342"/>
      <c r="G123" s="344"/>
      <c r="H123" s="344"/>
      <c r="I123" s="344"/>
      <c r="J123" s="334"/>
      <c r="K123" s="335"/>
      <c r="L123" s="336"/>
      <c r="M123" s="336"/>
      <c r="N123" s="337"/>
      <c r="O123" s="337"/>
      <c r="P123" s="315"/>
      <c r="Q123" s="314"/>
      <c r="R123" s="317"/>
      <c r="S123" s="315"/>
      <c r="T123" s="315"/>
      <c r="U123" s="315"/>
      <c r="V123" s="258"/>
      <c r="W123" s="322"/>
      <c r="X123" s="318"/>
      <c r="Y123" s="315"/>
      <c r="Z123" s="318"/>
      <c r="AA123" s="314"/>
      <c r="AB123" s="336"/>
      <c r="AC123" s="314"/>
      <c r="AD123" s="316"/>
      <c r="AE123" s="315"/>
      <c r="AF123" s="315"/>
      <c r="AG123" s="315"/>
      <c r="AH123" s="315"/>
      <c r="AI123" s="377"/>
      <c r="AJ123" s="407"/>
      <c r="AK123" s="377"/>
      <c r="AL123" s="314"/>
      <c r="AM123" s="314"/>
      <c r="AN123" s="314"/>
      <c r="AO123" s="315"/>
      <c r="AP123" s="257"/>
      <c r="AQ123" s="257"/>
      <c r="AR123" s="257"/>
      <c r="AS123" s="315"/>
      <c r="AT123" s="257"/>
      <c r="AU123" s="257"/>
      <c r="AV123" s="316"/>
      <c r="AW123" s="314"/>
      <c r="AX123" s="315"/>
      <c r="AY123" s="315"/>
      <c r="AZ123" s="315"/>
      <c r="BA123" s="315"/>
      <c r="BB123" s="315"/>
      <c r="BC123" s="315"/>
      <c r="BD123" s="319"/>
      <c r="BE123" s="319"/>
      <c r="BF123" s="319"/>
      <c r="BG123" s="319"/>
      <c r="BH123" s="319"/>
      <c r="BI123" s="319"/>
      <c r="BJ123" s="319"/>
      <c r="BK123" s="315"/>
      <c r="BL123" s="316"/>
      <c r="BM123" s="314"/>
      <c r="BN123" s="319"/>
      <c r="BO123" s="315"/>
      <c r="BP123" s="314"/>
      <c r="BQ123" s="316"/>
      <c r="BR123" s="314"/>
      <c r="BS123" s="262"/>
      <c r="BT123" s="262"/>
    </row>
    <row r="124" spans="1:72" ht="45.75" customHeight="1">
      <c r="A124" s="342"/>
      <c r="B124" s="342"/>
      <c r="C124" s="342"/>
      <c r="D124" s="343"/>
      <c r="E124" s="342"/>
      <c r="F124" s="342"/>
      <c r="G124" s="344"/>
      <c r="H124" s="344"/>
      <c r="I124" s="344"/>
      <c r="J124" s="334"/>
      <c r="K124" s="335"/>
      <c r="L124" s="336"/>
      <c r="M124" s="336"/>
      <c r="N124" s="337"/>
      <c r="O124" s="337"/>
      <c r="P124" s="315"/>
      <c r="Q124" s="314"/>
      <c r="R124" s="317"/>
      <c r="S124" s="315"/>
      <c r="T124" s="315"/>
      <c r="U124" s="315"/>
      <c r="V124" s="258"/>
      <c r="W124" s="322"/>
      <c r="X124" s="318"/>
      <c r="Y124" s="315"/>
      <c r="Z124" s="318"/>
      <c r="AA124" s="314"/>
      <c r="AB124" s="336"/>
      <c r="AC124" s="314"/>
      <c r="AD124" s="316"/>
      <c r="AE124" s="315"/>
      <c r="AF124" s="315"/>
      <c r="AG124" s="315"/>
      <c r="AH124" s="315"/>
      <c r="AI124" s="377"/>
      <c r="AJ124" s="407"/>
      <c r="AK124" s="377"/>
      <c r="AL124" s="314"/>
      <c r="AM124" s="314"/>
      <c r="AN124" s="314"/>
      <c r="AO124" s="315"/>
      <c r="AP124" s="257"/>
      <c r="AQ124" s="257"/>
      <c r="AR124" s="257"/>
      <c r="AS124" s="315"/>
      <c r="AT124" s="257"/>
      <c r="AU124" s="257"/>
      <c r="AV124" s="316"/>
      <c r="AW124" s="314"/>
      <c r="AX124" s="315"/>
      <c r="AY124" s="315"/>
      <c r="AZ124" s="315"/>
      <c r="BA124" s="315"/>
      <c r="BB124" s="315"/>
      <c r="BC124" s="315"/>
      <c r="BD124" s="319"/>
      <c r="BE124" s="319"/>
      <c r="BF124" s="319"/>
      <c r="BG124" s="319"/>
      <c r="BH124" s="319"/>
      <c r="BI124" s="319"/>
      <c r="BJ124" s="319"/>
      <c r="BK124" s="315"/>
      <c r="BL124" s="316"/>
      <c r="BM124" s="314"/>
      <c r="BN124" s="319"/>
      <c r="BO124" s="315"/>
      <c r="BP124" s="314"/>
      <c r="BQ124" s="316"/>
      <c r="BR124" s="314"/>
      <c r="BS124" s="262"/>
      <c r="BT124" s="262"/>
    </row>
    <row r="125" spans="1:72" ht="45.75" customHeight="1">
      <c r="A125" s="342"/>
      <c r="B125" s="342"/>
      <c r="C125" s="342"/>
      <c r="D125" s="343"/>
      <c r="E125" s="342"/>
      <c r="F125" s="342"/>
      <c r="G125" s="344"/>
      <c r="H125" s="344"/>
      <c r="I125" s="344"/>
      <c r="J125" s="334"/>
      <c r="K125" s="335"/>
      <c r="L125" s="336"/>
      <c r="M125" s="336"/>
      <c r="N125" s="337"/>
      <c r="O125" s="337"/>
      <c r="P125" s="315"/>
      <c r="Q125" s="314"/>
      <c r="R125" s="317"/>
      <c r="S125" s="315"/>
      <c r="T125" s="315"/>
      <c r="U125" s="315"/>
      <c r="V125" s="258"/>
      <c r="W125" s="322"/>
      <c r="X125" s="318"/>
      <c r="Y125" s="315"/>
      <c r="Z125" s="318"/>
      <c r="AA125" s="314"/>
      <c r="AB125" s="336"/>
      <c r="AC125" s="314"/>
      <c r="AD125" s="316"/>
      <c r="AE125" s="315"/>
      <c r="AF125" s="315"/>
      <c r="AG125" s="315"/>
      <c r="AH125" s="315"/>
      <c r="AI125" s="377"/>
      <c r="AJ125" s="407"/>
      <c r="AK125" s="377"/>
      <c r="AL125" s="314"/>
      <c r="AM125" s="314"/>
      <c r="AN125" s="314"/>
      <c r="AO125" s="315"/>
      <c r="AP125" s="257"/>
      <c r="AQ125" s="257"/>
      <c r="AR125" s="257"/>
      <c r="AS125" s="315"/>
      <c r="AT125" s="257"/>
      <c r="AU125" s="257"/>
      <c r="AV125" s="316"/>
      <c r="AW125" s="314"/>
      <c r="AX125" s="315"/>
      <c r="AY125" s="315"/>
      <c r="AZ125" s="315"/>
      <c r="BA125" s="315"/>
      <c r="BB125" s="315"/>
      <c r="BC125" s="315"/>
      <c r="BD125" s="319"/>
      <c r="BE125" s="319"/>
      <c r="BF125" s="319"/>
      <c r="BG125" s="319"/>
      <c r="BH125" s="319"/>
      <c r="BI125" s="319"/>
      <c r="BJ125" s="319"/>
      <c r="BK125" s="315"/>
      <c r="BL125" s="316"/>
      <c r="BM125" s="314"/>
      <c r="BN125" s="319"/>
      <c r="BO125" s="315"/>
      <c r="BP125" s="314"/>
      <c r="BQ125" s="316"/>
      <c r="BR125" s="314"/>
      <c r="BS125" s="262"/>
      <c r="BT125" s="262"/>
    </row>
    <row r="126" spans="1:72" ht="45.75" customHeight="1">
      <c r="A126" s="342"/>
      <c r="B126" s="342"/>
      <c r="C126" s="342"/>
      <c r="D126" s="343"/>
      <c r="E126" s="342"/>
      <c r="F126" s="342"/>
      <c r="G126" s="344"/>
      <c r="H126" s="344"/>
      <c r="I126" s="344"/>
      <c r="J126" s="334"/>
      <c r="K126" s="335"/>
      <c r="L126" s="336"/>
      <c r="M126" s="336"/>
      <c r="N126" s="337"/>
      <c r="O126" s="337"/>
      <c r="P126" s="315"/>
      <c r="Q126" s="314"/>
      <c r="R126" s="317"/>
      <c r="S126" s="315"/>
      <c r="T126" s="315"/>
      <c r="U126" s="315"/>
      <c r="V126" s="258"/>
      <c r="W126" s="322"/>
      <c r="X126" s="318"/>
      <c r="Y126" s="315"/>
      <c r="Z126" s="318"/>
      <c r="AA126" s="314"/>
      <c r="AB126" s="336"/>
      <c r="AC126" s="314"/>
      <c r="AD126" s="316"/>
      <c r="AE126" s="315"/>
      <c r="AF126" s="315"/>
      <c r="AG126" s="315"/>
      <c r="AH126" s="315"/>
      <c r="AI126" s="377"/>
      <c r="AJ126" s="407"/>
      <c r="AK126" s="377"/>
      <c r="AL126" s="314"/>
      <c r="AM126" s="314"/>
      <c r="AN126" s="314"/>
      <c r="AO126" s="315"/>
      <c r="AP126" s="257"/>
      <c r="AQ126" s="257"/>
      <c r="AR126" s="257"/>
      <c r="AS126" s="315"/>
      <c r="AT126" s="257"/>
      <c r="AU126" s="257"/>
      <c r="AV126" s="316"/>
      <c r="AW126" s="314"/>
      <c r="AX126" s="315"/>
      <c r="AY126" s="315"/>
      <c r="AZ126" s="315"/>
      <c r="BA126" s="315"/>
      <c r="BB126" s="315"/>
      <c r="BC126" s="315"/>
      <c r="BD126" s="319"/>
      <c r="BE126" s="319"/>
      <c r="BF126" s="319"/>
      <c r="BG126" s="319"/>
      <c r="BH126" s="319"/>
      <c r="BI126" s="319"/>
      <c r="BJ126" s="319"/>
      <c r="BK126" s="315"/>
      <c r="BL126" s="316"/>
      <c r="BM126" s="314"/>
      <c r="BN126" s="319"/>
      <c r="BO126" s="315"/>
      <c r="BP126" s="314"/>
      <c r="BQ126" s="316"/>
      <c r="BR126" s="314"/>
      <c r="BS126" s="262"/>
      <c r="BT126" s="262"/>
    </row>
    <row r="127" spans="1:72" ht="45.75" customHeight="1">
      <c r="A127" s="342"/>
      <c r="B127" s="342"/>
      <c r="C127" s="342"/>
      <c r="D127" s="343"/>
      <c r="E127" s="342"/>
      <c r="F127" s="342"/>
      <c r="G127" s="344"/>
      <c r="H127" s="344"/>
      <c r="I127" s="344"/>
      <c r="J127" s="334"/>
      <c r="K127" s="335"/>
      <c r="L127" s="336"/>
      <c r="M127" s="336"/>
      <c r="N127" s="337"/>
      <c r="O127" s="337"/>
      <c r="P127" s="315"/>
      <c r="Q127" s="314"/>
      <c r="R127" s="317"/>
      <c r="S127" s="315"/>
      <c r="T127" s="315"/>
      <c r="U127" s="315"/>
      <c r="V127" s="258"/>
      <c r="W127" s="322"/>
      <c r="X127" s="318"/>
      <c r="Y127" s="315"/>
      <c r="Z127" s="318"/>
      <c r="AA127" s="314"/>
      <c r="AB127" s="336"/>
      <c r="AC127" s="314"/>
      <c r="AD127" s="316"/>
      <c r="AE127" s="315"/>
      <c r="AF127" s="315"/>
      <c r="AG127" s="315"/>
      <c r="AH127" s="315"/>
      <c r="AI127" s="377"/>
      <c r="AJ127" s="407"/>
      <c r="AK127" s="377"/>
      <c r="AL127" s="314"/>
      <c r="AM127" s="314"/>
      <c r="AN127" s="314"/>
      <c r="AO127" s="315"/>
      <c r="AP127" s="257"/>
      <c r="AQ127" s="257"/>
      <c r="AR127" s="257"/>
      <c r="AS127" s="315"/>
      <c r="AT127" s="257"/>
      <c r="AU127" s="257"/>
      <c r="AV127" s="316"/>
      <c r="AW127" s="314"/>
      <c r="AX127" s="315"/>
      <c r="AY127" s="315"/>
      <c r="AZ127" s="315"/>
      <c r="BA127" s="315"/>
      <c r="BB127" s="315"/>
      <c r="BC127" s="315"/>
      <c r="BD127" s="319"/>
      <c r="BE127" s="319"/>
      <c r="BF127" s="319"/>
      <c r="BG127" s="319"/>
      <c r="BH127" s="319"/>
      <c r="BI127" s="319"/>
      <c r="BJ127" s="319"/>
      <c r="BK127" s="315"/>
      <c r="BL127" s="316"/>
      <c r="BM127" s="314"/>
      <c r="BN127" s="319"/>
      <c r="BO127" s="315"/>
      <c r="BP127" s="314"/>
      <c r="BQ127" s="316"/>
      <c r="BR127" s="314"/>
      <c r="BS127" s="262"/>
      <c r="BT127" s="262"/>
    </row>
    <row r="128" spans="1:72" ht="45.75" customHeight="1">
      <c r="A128" s="342"/>
      <c r="B128" s="342"/>
      <c r="C128" s="342"/>
      <c r="D128" s="343"/>
      <c r="E128" s="342"/>
      <c r="F128" s="342"/>
      <c r="G128" s="344"/>
      <c r="H128" s="344"/>
      <c r="I128" s="344"/>
      <c r="J128" s="334"/>
      <c r="K128" s="335"/>
      <c r="L128" s="336"/>
      <c r="M128" s="336"/>
      <c r="N128" s="337"/>
      <c r="O128" s="337"/>
      <c r="P128" s="315"/>
      <c r="Q128" s="314"/>
      <c r="R128" s="317"/>
      <c r="S128" s="315"/>
      <c r="T128" s="315"/>
      <c r="U128" s="315"/>
      <c r="V128" s="258"/>
      <c r="W128" s="322"/>
      <c r="X128" s="318"/>
      <c r="Y128" s="315"/>
      <c r="Z128" s="318"/>
      <c r="AA128" s="314"/>
      <c r="AB128" s="336"/>
      <c r="AC128" s="314"/>
      <c r="AD128" s="316"/>
      <c r="AE128" s="315"/>
      <c r="AF128" s="315"/>
      <c r="AG128" s="315"/>
      <c r="AH128" s="315"/>
      <c r="AI128" s="377"/>
      <c r="AJ128" s="407"/>
      <c r="AK128" s="377"/>
      <c r="AL128" s="314"/>
      <c r="AM128" s="314"/>
      <c r="AN128" s="314"/>
      <c r="AO128" s="315"/>
      <c r="AP128" s="257"/>
      <c r="AQ128" s="257"/>
      <c r="AR128" s="257"/>
      <c r="AS128" s="315"/>
      <c r="AT128" s="257"/>
      <c r="AU128" s="257"/>
      <c r="AV128" s="316"/>
      <c r="AW128" s="314"/>
      <c r="AX128" s="315"/>
      <c r="AY128" s="315"/>
      <c r="AZ128" s="315"/>
      <c r="BA128" s="315"/>
      <c r="BB128" s="315"/>
      <c r="BC128" s="315"/>
      <c r="BD128" s="319"/>
      <c r="BE128" s="319"/>
      <c r="BF128" s="319"/>
      <c r="BG128" s="319"/>
      <c r="BH128" s="319"/>
      <c r="BI128" s="319"/>
      <c r="BJ128" s="319"/>
      <c r="BK128" s="315"/>
      <c r="BL128" s="316"/>
      <c r="BM128" s="314"/>
      <c r="BN128" s="319"/>
      <c r="BO128" s="315"/>
      <c r="BP128" s="314"/>
      <c r="BQ128" s="316"/>
      <c r="BR128" s="314"/>
      <c r="BS128" s="262"/>
      <c r="BT128" s="262"/>
    </row>
    <row r="129" spans="1:72" ht="45.75" customHeight="1">
      <c r="A129" s="342"/>
      <c r="B129" s="342"/>
      <c r="C129" s="342"/>
      <c r="D129" s="343"/>
      <c r="E129" s="342"/>
      <c r="F129" s="342"/>
      <c r="G129" s="344"/>
      <c r="H129" s="344"/>
      <c r="I129" s="344"/>
      <c r="J129" s="334"/>
      <c r="K129" s="335"/>
      <c r="L129" s="336"/>
      <c r="M129" s="336"/>
      <c r="N129" s="337"/>
      <c r="O129" s="337"/>
      <c r="P129" s="315"/>
      <c r="Q129" s="314"/>
      <c r="R129" s="317"/>
      <c r="S129" s="315"/>
      <c r="T129" s="315"/>
      <c r="U129" s="315"/>
      <c r="V129" s="258"/>
      <c r="W129" s="322"/>
      <c r="X129" s="318"/>
      <c r="Y129" s="315"/>
      <c r="Z129" s="318"/>
      <c r="AA129" s="314"/>
      <c r="AB129" s="336"/>
      <c r="AC129" s="314"/>
      <c r="AD129" s="316"/>
      <c r="AE129" s="315"/>
      <c r="AF129" s="315"/>
      <c r="AG129" s="315"/>
      <c r="AH129" s="315"/>
      <c r="AI129" s="377"/>
      <c r="AJ129" s="407"/>
      <c r="AK129" s="377"/>
      <c r="AL129" s="314"/>
      <c r="AM129" s="314"/>
      <c r="AN129" s="314"/>
      <c r="AO129" s="315"/>
      <c r="AP129" s="257"/>
      <c r="AQ129" s="257"/>
      <c r="AR129" s="257"/>
      <c r="AS129" s="315"/>
      <c r="AT129" s="257"/>
      <c r="AU129" s="257"/>
      <c r="AV129" s="316"/>
      <c r="AW129" s="314"/>
      <c r="AX129" s="315"/>
      <c r="AY129" s="315"/>
      <c r="AZ129" s="315"/>
      <c r="BA129" s="315"/>
      <c r="BB129" s="315"/>
      <c r="BC129" s="315"/>
      <c r="BD129" s="319"/>
      <c r="BE129" s="319"/>
      <c r="BF129" s="319"/>
      <c r="BG129" s="319"/>
      <c r="BH129" s="319"/>
      <c r="BI129" s="319"/>
      <c r="BJ129" s="319"/>
      <c r="BK129" s="315"/>
      <c r="BL129" s="316"/>
      <c r="BM129" s="314"/>
      <c r="BN129" s="319"/>
      <c r="BO129" s="315"/>
      <c r="BP129" s="314"/>
      <c r="BQ129" s="316"/>
      <c r="BR129" s="314"/>
      <c r="BS129" s="262"/>
      <c r="BT129" s="262"/>
    </row>
    <row r="130" spans="1:72" ht="45.75" customHeight="1">
      <c r="A130" s="342"/>
      <c r="B130" s="342"/>
      <c r="C130" s="342"/>
      <c r="D130" s="343"/>
      <c r="E130" s="342"/>
      <c r="F130" s="342"/>
      <c r="G130" s="344"/>
      <c r="H130" s="344"/>
      <c r="I130" s="344"/>
      <c r="J130" s="334"/>
      <c r="K130" s="335"/>
      <c r="L130" s="336"/>
      <c r="M130" s="336"/>
      <c r="N130" s="337"/>
      <c r="O130" s="337"/>
      <c r="P130" s="315"/>
      <c r="Q130" s="314"/>
      <c r="R130" s="317"/>
      <c r="S130" s="315"/>
      <c r="T130" s="315"/>
      <c r="U130" s="315"/>
      <c r="V130" s="258"/>
      <c r="W130" s="322"/>
      <c r="X130" s="318"/>
      <c r="Y130" s="315"/>
      <c r="Z130" s="318"/>
      <c r="AA130" s="314"/>
      <c r="AB130" s="336"/>
      <c r="AC130" s="314"/>
      <c r="AD130" s="316"/>
      <c r="AE130" s="315"/>
      <c r="AF130" s="315"/>
      <c r="AG130" s="315"/>
      <c r="AH130" s="315"/>
      <c r="AI130" s="377"/>
      <c r="AJ130" s="407"/>
      <c r="AK130" s="377"/>
      <c r="AL130" s="314"/>
      <c r="AM130" s="314"/>
      <c r="AN130" s="314"/>
      <c r="AO130" s="315"/>
      <c r="AP130" s="257"/>
      <c r="AQ130" s="257"/>
      <c r="AR130" s="257"/>
      <c r="AS130" s="315"/>
      <c r="AT130" s="257"/>
      <c r="AU130" s="257"/>
      <c r="AV130" s="316"/>
      <c r="AW130" s="314"/>
      <c r="AX130" s="315"/>
      <c r="AY130" s="315"/>
      <c r="AZ130" s="315"/>
      <c r="BA130" s="315"/>
      <c r="BB130" s="315"/>
      <c r="BC130" s="315"/>
      <c r="BD130" s="319"/>
      <c r="BE130" s="319"/>
      <c r="BF130" s="319"/>
      <c r="BG130" s="319"/>
      <c r="BH130" s="319"/>
      <c r="BI130" s="319"/>
      <c r="BJ130" s="319"/>
      <c r="BK130" s="315"/>
      <c r="BL130" s="316"/>
      <c r="BM130" s="314"/>
      <c r="BN130" s="319"/>
      <c r="BO130" s="315"/>
      <c r="BP130" s="314"/>
      <c r="BQ130" s="316"/>
      <c r="BR130" s="314"/>
      <c r="BS130" s="262"/>
      <c r="BT130" s="262"/>
    </row>
    <row r="131" spans="1:72" ht="45.75" customHeight="1">
      <c r="A131" s="342"/>
      <c r="B131" s="342"/>
      <c r="C131" s="342"/>
      <c r="D131" s="343"/>
      <c r="E131" s="342"/>
      <c r="F131" s="342"/>
      <c r="G131" s="344"/>
      <c r="H131" s="344"/>
      <c r="I131" s="344"/>
      <c r="J131" s="334"/>
      <c r="K131" s="335"/>
      <c r="L131" s="336"/>
      <c r="M131" s="336"/>
      <c r="N131" s="337"/>
      <c r="O131" s="337"/>
      <c r="P131" s="315"/>
      <c r="Q131" s="314"/>
      <c r="R131" s="317"/>
      <c r="S131" s="315"/>
      <c r="T131" s="315"/>
      <c r="U131" s="315"/>
      <c r="V131" s="258"/>
      <c r="W131" s="322"/>
      <c r="X131" s="318"/>
      <c r="Y131" s="315"/>
      <c r="Z131" s="318"/>
      <c r="AA131" s="314"/>
      <c r="AB131" s="336"/>
      <c r="AC131" s="314"/>
      <c r="AD131" s="316"/>
      <c r="AE131" s="315"/>
      <c r="AF131" s="315"/>
      <c r="AG131" s="315"/>
      <c r="AH131" s="315"/>
      <c r="AI131" s="377"/>
      <c r="AJ131" s="407"/>
      <c r="AK131" s="377"/>
      <c r="AL131" s="314"/>
      <c r="AM131" s="314"/>
      <c r="AN131" s="314"/>
      <c r="AO131" s="315"/>
      <c r="AP131" s="257"/>
      <c r="AQ131" s="257"/>
      <c r="AR131" s="257"/>
      <c r="AS131" s="315"/>
      <c r="AT131" s="257"/>
      <c r="AU131" s="257"/>
      <c r="AV131" s="316"/>
      <c r="AW131" s="314"/>
      <c r="AX131" s="315"/>
      <c r="AY131" s="315"/>
      <c r="AZ131" s="315"/>
      <c r="BA131" s="315"/>
      <c r="BB131" s="315"/>
      <c r="BC131" s="315"/>
      <c r="BD131" s="319"/>
      <c r="BE131" s="319"/>
      <c r="BF131" s="319"/>
      <c r="BG131" s="319"/>
      <c r="BH131" s="319"/>
      <c r="BI131" s="319"/>
      <c r="BJ131" s="319"/>
      <c r="BK131" s="315"/>
      <c r="BL131" s="316"/>
      <c r="BM131" s="314"/>
      <c r="BN131" s="319"/>
      <c r="BO131" s="315"/>
      <c r="BP131" s="314"/>
      <c r="BQ131" s="316"/>
      <c r="BR131" s="314"/>
      <c r="BS131" s="262"/>
      <c r="BT131" s="262"/>
    </row>
    <row r="132" spans="1:72" ht="45.75" customHeight="1">
      <c r="A132" s="342"/>
      <c r="B132" s="342"/>
      <c r="C132" s="342"/>
      <c r="D132" s="343"/>
      <c r="E132" s="342"/>
      <c r="F132" s="342"/>
      <c r="G132" s="344"/>
      <c r="H132" s="344"/>
      <c r="I132" s="344"/>
      <c r="J132" s="334"/>
      <c r="K132" s="335"/>
      <c r="L132" s="336"/>
      <c r="M132" s="336"/>
      <c r="N132" s="337"/>
      <c r="O132" s="337"/>
      <c r="P132" s="315"/>
      <c r="Q132" s="314"/>
      <c r="R132" s="317"/>
      <c r="S132" s="315"/>
      <c r="T132" s="315"/>
      <c r="U132" s="315"/>
      <c r="V132" s="258"/>
      <c r="W132" s="322"/>
      <c r="X132" s="318"/>
      <c r="Y132" s="315"/>
      <c r="Z132" s="318"/>
      <c r="AA132" s="314"/>
      <c r="AB132" s="336"/>
      <c r="AC132" s="314"/>
      <c r="AD132" s="316"/>
      <c r="AE132" s="315"/>
      <c r="AF132" s="315"/>
      <c r="AG132" s="315"/>
      <c r="AH132" s="315"/>
      <c r="AI132" s="377"/>
      <c r="AJ132" s="407"/>
      <c r="AK132" s="377"/>
      <c r="AL132" s="314"/>
      <c r="AM132" s="314"/>
      <c r="AN132" s="314"/>
      <c r="AO132" s="315"/>
      <c r="AP132" s="257"/>
      <c r="AQ132" s="257"/>
      <c r="AR132" s="257"/>
      <c r="AS132" s="315"/>
      <c r="AT132" s="257"/>
      <c r="AU132" s="257"/>
      <c r="AV132" s="316"/>
      <c r="AW132" s="314"/>
      <c r="AX132" s="315"/>
      <c r="AY132" s="315"/>
      <c r="AZ132" s="315"/>
      <c r="BA132" s="315"/>
      <c r="BB132" s="315"/>
      <c r="BC132" s="315"/>
      <c r="BD132" s="319"/>
      <c r="BE132" s="319"/>
      <c r="BF132" s="319"/>
      <c r="BG132" s="319"/>
      <c r="BH132" s="319"/>
      <c r="BI132" s="319"/>
      <c r="BJ132" s="319"/>
      <c r="BK132" s="315"/>
      <c r="BL132" s="316"/>
      <c r="BM132" s="314"/>
      <c r="BN132" s="319"/>
      <c r="BO132" s="315"/>
      <c r="BP132" s="314"/>
      <c r="BQ132" s="316"/>
      <c r="BR132" s="314"/>
      <c r="BS132" s="262"/>
      <c r="BT132" s="262"/>
    </row>
    <row r="133" spans="1:72" ht="45.75" customHeight="1">
      <c r="A133" s="342"/>
      <c r="B133" s="342"/>
      <c r="C133" s="342"/>
      <c r="D133" s="343"/>
      <c r="E133" s="342"/>
      <c r="F133" s="342"/>
      <c r="G133" s="344"/>
      <c r="H133" s="344"/>
      <c r="I133" s="344"/>
      <c r="J133" s="334"/>
      <c r="K133" s="335"/>
      <c r="L133" s="336"/>
      <c r="M133" s="336"/>
      <c r="N133" s="337"/>
      <c r="O133" s="337"/>
      <c r="P133" s="315"/>
      <c r="Q133" s="314"/>
      <c r="R133" s="317"/>
      <c r="S133" s="315"/>
      <c r="T133" s="315"/>
      <c r="U133" s="315"/>
      <c r="V133" s="258"/>
      <c r="W133" s="322"/>
      <c r="X133" s="318"/>
      <c r="Y133" s="315"/>
      <c r="Z133" s="318"/>
      <c r="AA133" s="314"/>
      <c r="AB133" s="336"/>
      <c r="AC133" s="314"/>
      <c r="AD133" s="316"/>
      <c r="AE133" s="315"/>
      <c r="AF133" s="315"/>
      <c r="AG133" s="315"/>
      <c r="AH133" s="315"/>
      <c r="AI133" s="377"/>
      <c r="AJ133" s="407"/>
      <c r="AK133" s="377"/>
      <c r="AL133" s="314"/>
      <c r="AM133" s="314"/>
      <c r="AN133" s="314"/>
      <c r="AO133" s="315"/>
      <c r="AP133" s="257"/>
      <c r="AQ133" s="257"/>
      <c r="AR133" s="257"/>
      <c r="AS133" s="315"/>
      <c r="AT133" s="257"/>
      <c r="AU133" s="257"/>
      <c r="AV133" s="316"/>
      <c r="AW133" s="314"/>
      <c r="AX133" s="315"/>
      <c r="AY133" s="315"/>
      <c r="AZ133" s="315"/>
      <c r="BA133" s="315"/>
      <c r="BB133" s="315"/>
      <c r="BC133" s="315"/>
      <c r="BD133" s="319"/>
      <c r="BE133" s="319"/>
      <c r="BF133" s="319"/>
      <c r="BG133" s="319"/>
      <c r="BH133" s="319"/>
      <c r="BI133" s="319"/>
      <c r="BJ133" s="319"/>
      <c r="BK133" s="315"/>
      <c r="BL133" s="316"/>
      <c r="BM133" s="314"/>
      <c r="BN133" s="319"/>
      <c r="BO133" s="315"/>
      <c r="BP133" s="314"/>
      <c r="BQ133" s="316"/>
      <c r="BR133" s="314"/>
      <c r="BS133" s="262"/>
      <c r="BT133" s="262"/>
    </row>
    <row r="134" spans="1:72" ht="45.75" customHeight="1">
      <c r="A134" s="342"/>
      <c r="B134" s="342"/>
      <c r="C134" s="342"/>
      <c r="D134" s="343"/>
      <c r="E134" s="342"/>
      <c r="F134" s="342"/>
      <c r="G134" s="344"/>
      <c r="H134" s="344"/>
      <c r="I134" s="344"/>
      <c r="J134" s="334"/>
      <c r="K134" s="335"/>
      <c r="L134" s="336"/>
      <c r="M134" s="336"/>
      <c r="N134" s="337"/>
      <c r="O134" s="337"/>
      <c r="P134" s="315"/>
      <c r="Q134" s="314"/>
      <c r="R134" s="317"/>
      <c r="S134" s="315"/>
      <c r="T134" s="315"/>
      <c r="U134" s="315"/>
      <c r="V134" s="258"/>
      <c r="W134" s="322"/>
      <c r="X134" s="318"/>
      <c r="Y134" s="315"/>
      <c r="Z134" s="318"/>
      <c r="AA134" s="314"/>
      <c r="AB134" s="336"/>
      <c r="AC134" s="314"/>
      <c r="AD134" s="316"/>
      <c r="AE134" s="315"/>
      <c r="AF134" s="315"/>
      <c r="AG134" s="315"/>
      <c r="AH134" s="315"/>
      <c r="AI134" s="377"/>
      <c r="AJ134" s="407"/>
      <c r="AK134" s="377"/>
      <c r="AL134" s="314"/>
      <c r="AM134" s="314"/>
      <c r="AN134" s="314"/>
      <c r="AO134" s="315"/>
      <c r="AP134" s="257"/>
      <c r="AQ134" s="257"/>
      <c r="AR134" s="257"/>
      <c r="AS134" s="315"/>
      <c r="AT134" s="257"/>
      <c r="AU134" s="257"/>
      <c r="AV134" s="316"/>
      <c r="AW134" s="314"/>
      <c r="AX134" s="315"/>
      <c r="AY134" s="315"/>
      <c r="AZ134" s="315"/>
      <c r="BA134" s="315"/>
      <c r="BB134" s="315"/>
      <c r="BC134" s="315"/>
      <c r="BD134" s="319"/>
      <c r="BE134" s="319"/>
      <c r="BF134" s="319"/>
      <c r="BG134" s="319"/>
      <c r="BH134" s="319"/>
      <c r="BI134" s="319"/>
      <c r="BJ134" s="319"/>
      <c r="BK134" s="315"/>
      <c r="BL134" s="316"/>
      <c r="BM134" s="314"/>
      <c r="BN134" s="319"/>
      <c r="BO134" s="315"/>
      <c r="BP134" s="314"/>
      <c r="BQ134" s="316"/>
      <c r="BR134" s="314"/>
      <c r="BS134" s="262"/>
      <c r="BT134" s="262"/>
    </row>
    <row r="135" spans="1:72" ht="45.75" customHeight="1">
      <c r="A135" s="342"/>
      <c r="B135" s="342"/>
      <c r="C135" s="342"/>
      <c r="D135" s="343"/>
      <c r="E135" s="342"/>
      <c r="F135" s="342"/>
      <c r="G135" s="344"/>
      <c r="H135" s="344"/>
      <c r="I135" s="344"/>
      <c r="J135" s="334"/>
      <c r="K135" s="335"/>
      <c r="L135" s="336"/>
      <c r="M135" s="336"/>
      <c r="N135" s="337"/>
      <c r="O135" s="337"/>
      <c r="P135" s="315"/>
      <c r="Q135" s="314"/>
      <c r="R135" s="317"/>
      <c r="S135" s="315"/>
      <c r="T135" s="315"/>
      <c r="U135" s="315"/>
      <c r="V135" s="258"/>
      <c r="W135" s="322"/>
      <c r="X135" s="318"/>
      <c r="Y135" s="315"/>
      <c r="Z135" s="318"/>
      <c r="AA135" s="314"/>
      <c r="AB135" s="336"/>
      <c r="AC135" s="314"/>
      <c r="AD135" s="316"/>
      <c r="AE135" s="315"/>
      <c r="AF135" s="315"/>
      <c r="AG135" s="315"/>
      <c r="AH135" s="315"/>
      <c r="AI135" s="377"/>
      <c r="AJ135" s="407"/>
      <c r="AK135" s="377"/>
      <c r="AL135" s="314"/>
      <c r="AM135" s="314"/>
      <c r="AN135" s="314"/>
      <c r="AO135" s="315"/>
      <c r="AP135" s="257"/>
      <c r="AQ135" s="257"/>
      <c r="AR135" s="257"/>
      <c r="AS135" s="315"/>
      <c r="AT135" s="257"/>
      <c r="AU135" s="257"/>
      <c r="AV135" s="316"/>
      <c r="AW135" s="314"/>
      <c r="AX135" s="315"/>
      <c r="AY135" s="315"/>
      <c r="AZ135" s="315"/>
      <c r="BA135" s="315"/>
      <c r="BB135" s="315"/>
      <c r="BC135" s="315"/>
      <c r="BD135" s="319"/>
      <c r="BE135" s="319"/>
      <c r="BF135" s="319"/>
      <c r="BG135" s="319"/>
      <c r="BH135" s="319"/>
      <c r="BI135" s="319"/>
      <c r="BJ135" s="319"/>
      <c r="BK135" s="315"/>
      <c r="BL135" s="316"/>
      <c r="BM135" s="314"/>
      <c r="BN135" s="319"/>
      <c r="BO135" s="315"/>
      <c r="BP135" s="314"/>
      <c r="BQ135" s="316"/>
      <c r="BR135" s="314"/>
      <c r="BS135" s="262"/>
      <c r="BT135" s="262"/>
    </row>
    <row r="136" spans="1:72" ht="45.75" customHeight="1">
      <c r="A136" s="342"/>
      <c r="B136" s="342"/>
      <c r="C136" s="342"/>
      <c r="D136" s="343"/>
      <c r="E136" s="342"/>
      <c r="F136" s="342"/>
      <c r="G136" s="344"/>
      <c r="H136" s="344"/>
      <c r="I136" s="344"/>
      <c r="J136" s="334"/>
      <c r="K136" s="335"/>
      <c r="L136" s="336"/>
      <c r="M136" s="336"/>
      <c r="N136" s="337"/>
      <c r="O136" s="337"/>
      <c r="P136" s="315"/>
      <c r="Q136" s="314"/>
      <c r="R136" s="317"/>
      <c r="S136" s="315"/>
      <c r="T136" s="315"/>
      <c r="U136" s="315"/>
      <c r="V136" s="258"/>
      <c r="W136" s="322"/>
      <c r="X136" s="318"/>
      <c r="Y136" s="315"/>
      <c r="Z136" s="318"/>
      <c r="AA136" s="314"/>
      <c r="AB136" s="336"/>
      <c r="AC136" s="314"/>
      <c r="AD136" s="316"/>
      <c r="AE136" s="315"/>
      <c r="AF136" s="315"/>
      <c r="AG136" s="315"/>
      <c r="AH136" s="315"/>
      <c r="AI136" s="377"/>
      <c r="AJ136" s="407"/>
      <c r="AK136" s="377"/>
      <c r="AL136" s="314"/>
      <c r="AM136" s="314"/>
      <c r="AN136" s="314"/>
      <c r="AO136" s="315"/>
      <c r="AP136" s="257"/>
      <c r="AQ136" s="257"/>
      <c r="AR136" s="257"/>
      <c r="AS136" s="315"/>
      <c r="AT136" s="257"/>
      <c r="AU136" s="257"/>
      <c r="AV136" s="316"/>
      <c r="AW136" s="314"/>
      <c r="AX136" s="315"/>
      <c r="AY136" s="315"/>
      <c r="AZ136" s="315"/>
      <c r="BA136" s="315"/>
      <c r="BB136" s="315"/>
      <c r="BC136" s="315"/>
      <c r="BD136" s="319"/>
      <c r="BE136" s="319"/>
      <c r="BF136" s="319"/>
      <c r="BG136" s="319"/>
      <c r="BH136" s="319"/>
      <c r="BI136" s="319"/>
      <c r="BJ136" s="319"/>
      <c r="BK136" s="315"/>
      <c r="BL136" s="316"/>
      <c r="BM136" s="314"/>
      <c r="BN136" s="319"/>
      <c r="BO136" s="315"/>
      <c r="BP136" s="314"/>
      <c r="BQ136" s="316"/>
      <c r="BR136" s="314"/>
      <c r="BS136" s="262"/>
      <c r="BT136" s="262"/>
    </row>
    <row r="137" spans="1:72" ht="45.75" customHeight="1">
      <c r="A137" s="342"/>
      <c r="B137" s="342"/>
      <c r="C137" s="342"/>
      <c r="D137" s="343"/>
      <c r="E137" s="342"/>
      <c r="F137" s="342"/>
      <c r="G137" s="344"/>
      <c r="H137" s="344"/>
      <c r="I137" s="344"/>
      <c r="J137" s="334"/>
      <c r="K137" s="335"/>
      <c r="L137" s="336"/>
      <c r="M137" s="336"/>
      <c r="N137" s="337"/>
      <c r="O137" s="337"/>
      <c r="P137" s="315"/>
      <c r="Q137" s="314"/>
      <c r="R137" s="317"/>
      <c r="S137" s="315"/>
      <c r="T137" s="315"/>
      <c r="U137" s="315"/>
      <c r="V137" s="258"/>
      <c r="W137" s="322"/>
      <c r="X137" s="318"/>
      <c r="Y137" s="315"/>
      <c r="Z137" s="318"/>
      <c r="AA137" s="314"/>
      <c r="AB137" s="336"/>
      <c r="AC137" s="314"/>
      <c r="AD137" s="316"/>
      <c r="AE137" s="315"/>
      <c r="AF137" s="315"/>
      <c r="AG137" s="315"/>
      <c r="AH137" s="315"/>
      <c r="AI137" s="377"/>
      <c r="AJ137" s="407"/>
      <c r="AK137" s="377"/>
      <c r="AL137" s="314"/>
      <c r="AM137" s="314"/>
      <c r="AN137" s="314"/>
      <c r="AO137" s="315"/>
      <c r="AP137" s="257"/>
      <c r="AQ137" s="257"/>
      <c r="AR137" s="257"/>
      <c r="AS137" s="315"/>
      <c r="AT137" s="257"/>
      <c r="AU137" s="257"/>
      <c r="AV137" s="316"/>
      <c r="AW137" s="314"/>
      <c r="AX137" s="315"/>
      <c r="AY137" s="315"/>
      <c r="AZ137" s="315"/>
      <c r="BA137" s="315"/>
      <c r="BB137" s="315"/>
      <c r="BC137" s="315"/>
      <c r="BD137" s="319"/>
      <c r="BE137" s="319"/>
      <c r="BF137" s="319"/>
      <c r="BG137" s="319"/>
      <c r="BH137" s="319"/>
      <c r="BI137" s="319"/>
      <c r="BJ137" s="319"/>
      <c r="BK137" s="315"/>
      <c r="BL137" s="316"/>
      <c r="BM137" s="314"/>
      <c r="BN137" s="319"/>
      <c r="BO137" s="315"/>
      <c r="BP137" s="314"/>
      <c r="BQ137" s="316"/>
      <c r="BR137" s="314"/>
      <c r="BS137" s="262"/>
      <c r="BT137" s="262"/>
    </row>
    <row r="138" spans="1:72" ht="45.75" customHeight="1">
      <c r="A138" s="342"/>
      <c r="B138" s="342"/>
      <c r="C138" s="342"/>
      <c r="D138" s="343"/>
      <c r="E138" s="342"/>
      <c r="F138" s="342"/>
      <c r="G138" s="344"/>
      <c r="H138" s="344"/>
      <c r="I138" s="344"/>
      <c r="J138" s="334"/>
      <c r="K138" s="335"/>
      <c r="L138" s="336"/>
      <c r="M138" s="336"/>
      <c r="N138" s="337"/>
      <c r="O138" s="337"/>
      <c r="P138" s="315"/>
      <c r="Q138" s="314"/>
      <c r="R138" s="317"/>
      <c r="S138" s="315"/>
      <c r="T138" s="315"/>
      <c r="U138" s="315"/>
      <c r="V138" s="258"/>
      <c r="W138" s="322"/>
      <c r="X138" s="318"/>
      <c r="Y138" s="315"/>
      <c r="Z138" s="318"/>
      <c r="AA138" s="314"/>
      <c r="AB138" s="336"/>
      <c r="AC138" s="314"/>
      <c r="AD138" s="316"/>
      <c r="AE138" s="315"/>
      <c r="AF138" s="315"/>
      <c r="AG138" s="315"/>
      <c r="AH138" s="315"/>
      <c r="AI138" s="377"/>
      <c r="AJ138" s="407"/>
      <c r="AK138" s="377"/>
      <c r="AL138" s="314"/>
      <c r="AM138" s="314"/>
      <c r="AN138" s="314"/>
      <c r="AO138" s="315"/>
      <c r="AP138" s="257"/>
      <c r="AQ138" s="257"/>
      <c r="AR138" s="257"/>
      <c r="AS138" s="315"/>
      <c r="AT138" s="257"/>
      <c r="AU138" s="257"/>
      <c r="AV138" s="316"/>
      <c r="AW138" s="314"/>
      <c r="AX138" s="315"/>
      <c r="AY138" s="315"/>
      <c r="AZ138" s="315"/>
      <c r="BA138" s="315"/>
      <c r="BB138" s="315"/>
      <c r="BC138" s="315"/>
      <c r="BD138" s="319"/>
      <c r="BE138" s="319"/>
      <c r="BF138" s="319"/>
      <c r="BG138" s="319"/>
      <c r="BH138" s="319"/>
      <c r="BI138" s="319"/>
      <c r="BJ138" s="319"/>
      <c r="BK138" s="315"/>
      <c r="BL138" s="316"/>
      <c r="BM138" s="314"/>
      <c r="BN138" s="319"/>
      <c r="BO138" s="315"/>
      <c r="BP138" s="314"/>
      <c r="BQ138" s="316"/>
      <c r="BR138" s="314"/>
      <c r="BS138" s="262"/>
      <c r="BT138" s="262"/>
    </row>
    <row r="139" spans="1:72" ht="45.75" customHeight="1">
      <c r="A139" s="342"/>
      <c r="B139" s="342"/>
      <c r="C139" s="342"/>
      <c r="D139" s="343"/>
      <c r="E139" s="342"/>
      <c r="F139" s="342"/>
      <c r="G139" s="344"/>
      <c r="H139" s="344"/>
      <c r="I139" s="344"/>
      <c r="J139" s="334"/>
      <c r="K139" s="335"/>
      <c r="L139" s="336"/>
      <c r="M139" s="336"/>
      <c r="N139" s="337"/>
      <c r="O139" s="337"/>
      <c r="P139" s="315"/>
      <c r="Q139" s="314"/>
      <c r="R139" s="317"/>
      <c r="S139" s="315"/>
      <c r="T139" s="315"/>
      <c r="U139" s="315"/>
      <c r="V139" s="258"/>
      <c r="W139" s="322"/>
      <c r="X139" s="318"/>
      <c r="Y139" s="315"/>
      <c r="Z139" s="318"/>
      <c r="AA139" s="314"/>
      <c r="AB139" s="336"/>
      <c r="AC139" s="314"/>
      <c r="AD139" s="316"/>
      <c r="AE139" s="315"/>
      <c r="AF139" s="315"/>
      <c r="AG139" s="315"/>
      <c r="AH139" s="315"/>
      <c r="AI139" s="377"/>
      <c r="AJ139" s="407"/>
      <c r="AK139" s="377"/>
      <c r="AL139" s="314"/>
      <c r="AM139" s="314"/>
      <c r="AN139" s="314"/>
      <c r="AO139" s="315"/>
      <c r="AP139" s="257"/>
      <c r="AQ139" s="257"/>
      <c r="AR139" s="257"/>
      <c r="AS139" s="315"/>
      <c r="AT139" s="257"/>
      <c r="AU139" s="257"/>
      <c r="AV139" s="316"/>
      <c r="AW139" s="314"/>
      <c r="AX139" s="315"/>
      <c r="AY139" s="315"/>
      <c r="AZ139" s="315"/>
      <c r="BA139" s="315"/>
      <c r="BB139" s="315"/>
      <c r="BC139" s="315"/>
      <c r="BD139" s="319"/>
      <c r="BE139" s="319"/>
      <c r="BF139" s="319"/>
      <c r="BG139" s="319"/>
      <c r="BH139" s="319"/>
      <c r="BI139" s="319"/>
      <c r="BJ139" s="319"/>
      <c r="BK139" s="315"/>
      <c r="BL139" s="316"/>
      <c r="BM139" s="314"/>
      <c r="BN139" s="319"/>
      <c r="BO139" s="315"/>
      <c r="BP139" s="314"/>
      <c r="BQ139" s="316"/>
      <c r="BR139" s="314"/>
      <c r="BS139" s="262"/>
      <c r="BT139" s="262"/>
    </row>
    <row r="140" spans="1:72" ht="45.75" customHeight="1">
      <c r="A140" s="342"/>
      <c r="B140" s="342"/>
      <c r="C140" s="342"/>
      <c r="D140" s="343"/>
      <c r="E140" s="342"/>
      <c r="F140" s="342"/>
      <c r="G140" s="344"/>
      <c r="H140" s="344"/>
      <c r="I140" s="344"/>
      <c r="J140" s="334"/>
      <c r="K140" s="335"/>
      <c r="L140" s="336"/>
      <c r="M140" s="336"/>
      <c r="N140" s="337"/>
      <c r="O140" s="337"/>
      <c r="P140" s="315"/>
      <c r="Q140" s="314"/>
      <c r="R140" s="317"/>
      <c r="S140" s="315"/>
      <c r="T140" s="315"/>
      <c r="U140" s="315"/>
      <c r="V140" s="258"/>
      <c r="W140" s="322"/>
      <c r="X140" s="318"/>
      <c r="Y140" s="315"/>
      <c r="Z140" s="318"/>
      <c r="AA140" s="314"/>
      <c r="AB140" s="336"/>
      <c r="AC140" s="314"/>
      <c r="AD140" s="316"/>
      <c r="AE140" s="315"/>
      <c r="AF140" s="315"/>
      <c r="AG140" s="315"/>
      <c r="AH140" s="315"/>
      <c r="AI140" s="377"/>
      <c r="AJ140" s="407"/>
      <c r="AK140" s="377"/>
      <c r="AL140" s="314"/>
      <c r="AM140" s="314"/>
      <c r="AN140" s="314"/>
      <c r="AO140" s="315"/>
      <c r="AP140" s="257"/>
      <c r="AQ140" s="257"/>
      <c r="AR140" s="257"/>
      <c r="AS140" s="315"/>
      <c r="AT140" s="257"/>
      <c r="AU140" s="257"/>
      <c r="AV140" s="316"/>
      <c r="AW140" s="314"/>
      <c r="AX140" s="315"/>
      <c r="AY140" s="315"/>
      <c r="AZ140" s="315"/>
      <c r="BA140" s="315"/>
      <c r="BB140" s="315"/>
      <c r="BC140" s="315"/>
      <c r="BD140" s="319"/>
      <c r="BE140" s="319"/>
      <c r="BF140" s="319"/>
      <c r="BG140" s="319"/>
      <c r="BH140" s="319"/>
      <c r="BI140" s="319"/>
      <c r="BJ140" s="319"/>
      <c r="BK140" s="315"/>
      <c r="BL140" s="316"/>
      <c r="BM140" s="314"/>
      <c r="BN140" s="319"/>
      <c r="BO140" s="315"/>
      <c r="BP140" s="314"/>
      <c r="BQ140" s="316"/>
      <c r="BR140" s="314"/>
      <c r="BS140" s="262"/>
      <c r="BT140" s="262"/>
    </row>
    <row r="141" spans="1:72" ht="45.75" customHeight="1">
      <c r="A141" s="342"/>
      <c r="B141" s="342"/>
      <c r="C141" s="342"/>
      <c r="D141" s="343"/>
      <c r="E141" s="342"/>
      <c r="F141" s="342"/>
      <c r="G141" s="344"/>
      <c r="H141" s="344"/>
      <c r="I141" s="344"/>
      <c r="J141" s="334"/>
      <c r="K141" s="335"/>
      <c r="L141" s="336"/>
      <c r="M141" s="336"/>
      <c r="N141" s="337"/>
      <c r="O141" s="337"/>
      <c r="P141" s="315"/>
      <c r="Q141" s="314"/>
      <c r="R141" s="317"/>
      <c r="S141" s="315"/>
      <c r="T141" s="315"/>
      <c r="U141" s="315"/>
      <c r="V141" s="258"/>
      <c r="W141" s="322"/>
      <c r="X141" s="318"/>
      <c r="Y141" s="315"/>
      <c r="Z141" s="318"/>
      <c r="AA141" s="314"/>
      <c r="AB141" s="336"/>
      <c r="AC141" s="314"/>
      <c r="AD141" s="316"/>
      <c r="AE141" s="315"/>
      <c r="AF141" s="315"/>
      <c r="AG141" s="315"/>
      <c r="AH141" s="315"/>
      <c r="AI141" s="377"/>
      <c r="AJ141" s="407"/>
      <c r="AK141" s="377"/>
      <c r="AL141" s="314"/>
      <c r="AM141" s="314"/>
      <c r="AN141" s="314"/>
      <c r="AO141" s="315"/>
      <c r="AP141" s="257"/>
      <c r="AQ141" s="257"/>
      <c r="AR141" s="257"/>
      <c r="AS141" s="315"/>
      <c r="AT141" s="257"/>
      <c r="AU141" s="257"/>
      <c r="AV141" s="316"/>
      <c r="AW141" s="314"/>
      <c r="AX141" s="315"/>
      <c r="AY141" s="315"/>
      <c r="AZ141" s="315"/>
      <c r="BA141" s="315"/>
      <c r="BB141" s="315"/>
      <c r="BC141" s="315"/>
      <c r="BD141" s="319"/>
      <c r="BE141" s="319"/>
      <c r="BF141" s="319"/>
      <c r="BG141" s="319"/>
      <c r="BH141" s="319"/>
      <c r="BI141" s="319"/>
      <c r="BJ141" s="319"/>
      <c r="BK141" s="315"/>
      <c r="BL141" s="316"/>
      <c r="BM141" s="314"/>
      <c r="BN141" s="319"/>
      <c r="BO141" s="315"/>
      <c r="BP141" s="314"/>
      <c r="BQ141" s="316"/>
      <c r="BR141" s="314"/>
      <c r="BS141" s="262"/>
      <c r="BT141" s="262"/>
    </row>
    <row r="142" spans="1:72" ht="45.75" customHeight="1">
      <c r="A142" s="342"/>
      <c r="B142" s="342"/>
      <c r="C142" s="342"/>
      <c r="D142" s="343"/>
      <c r="E142" s="342"/>
      <c r="F142" s="342"/>
      <c r="G142" s="344"/>
      <c r="H142" s="344"/>
      <c r="I142" s="344"/>
      <c r="J142" s="334"/>
      <c r="K142" s="335"/>
      <c r="L142" s="336"/>
      <c r="M142" s="336"/>
      <c r="N142" s="337"/>
      <c r="O142" s="337"/>
      <c r="P142" s="315"/>
      <c r="Q142" s="314"/>
      <c r="R142" s="317"/>
      <c r="S142" s="315"/>
      <c r="T142" s="315"/>
      <c r="U142" s="315"/>
      <c r="V142" s="258"/>
      <c r="W142" s="322"/>
      <c r="X142" s="318"/>
      <c r="Y142" s="315"/>
      <c r="Z142" s="318"/>
      <c r="AA142" s="314"/>
      <c r="AB142" s="336"/>
      <c r="AC142" s="314"/>
      <c r="AD142" s="316"/>
      <c r="AE142" s="315"/>
      <c r="AF142" s="315"/>
      <c r="AG142" s="315"/>
      <c r="AH142" s="315"/>
      <c r="AI142" s="377"/>
      <c r="AJ142" s="407"/>
      <c r="AK142" s="377"/>
      <c r="AL142" s="314"/>
      <c r="AM142" s="314"/>
      <c r="AN142" s="314"/>
      <c r="AO142" s="315"/>
      <c r="AP142" s="257"/>
      <c r="AQ142" s="257"/>
      <c r="AR142" s="257"/>
      <c r="AS142" s="315"/>
      <c r="AT142" s="257"/>
      <c r="AU142" s="257"/>
      <c r="AV142" s="316"/>
      <c r="AW142" s="314"/>
      <c r="AX142" s="315"/>
      <c r="AY142" s="315"/>
      <c r="AZ142" s="315"/>
      <c r="BA142" s="315"/>
      <c r="BB142" s="315"/>
      <c r="BC142" s="315"/>
      <c r="BD142" s="319"/>
      <c r="BE142" s="319"/>
      <c r="BF142" s="319"/>
      <c r="BG142" s="319"/>
      <c r="BH142" s="319"/>
      <c r="BI142" s="319"/>
      <c r="BJ142" s="319"/>
      <c r="BK142" s="315"/>
      <c r="BL142" s="316"/>
      <c r="BM142" s="314"/>
      <c r="BN142" s="319"/>
      <c r="BO142" s="315"/>
      <c r="BP142" s="314"/>
      <c r="BQ142" s="316"/>
      <c r="BR142" s="314"/>
      <c r="BS142" s="262"/>
      <c r="BT142" s="262"/>
    </row>
    <row r="143" spans="1:72" ht="45.75" customHeight="1">
      <c r="A143" s="342"/>
      <c r="B143" s="342"/>
      <c r="C143" s="342"/>
      <c r="D143" s="343"/>
      <c r="E143" s="342"/>
      <c r="F143" s="342"/>
      <c r="G143" s="344"/>
      <c r="H143" s="344"/>
      <c r="I143" s="344"/>
      <c r="J143" s="334"/>
      <c r="K143" s="335"/>
      <c r="L143" s="336"/>
      <c r="M143" s="336"/>
      <c r="N143" s="337"/>
      <c r="O143" s="337"/>
      <c r="P143" s="315"/>
      <c r="Q143" s="314"/>
      <c r="R143" s="317"/>
      <c r="S143" s="315"/>
      <c r="T143" s="315"/>
      <c r="U143" s="315"/>
      <c r="V143" s="258"/>
      <c r="W143" s="322"/>
      <c r="X143" s="318"/>
      <c r="Y143" s="315"/>
      <c r="Z143" s="318"/>
      <c r="AA143" s="314"/>
      <c r="AB143" s="336"/>
      <c r="AC143" s="314"/>
      <c r="AD143" s="316"/>
      <c r="AE143" s="315"/>
      <c r="AF143" s="315"/>
      <c r="AG143" s="315"/>
      <c r="AH143" s="315"/>
      <c r="AI143" s="377"/>
      <c r="AJ143" s="407"/>
      <c r="AK143" s="377"/>
      <c r="AL143" s="314"/>
      <c r="AM143" s="314"/>
      <c r="AN143" s="314"/>
      <c r="AO143" s="315"/>
      <c r="AP143" s="257"/>
      <c r="AQ143" s="257"/>
      <c r="AR143" s="257"/>
      <c r="AS143" s="315"/>
      <c r="AT143" s="257"/>
      <c r="AU143" s="257"/>
      <c r="AV143" s="316"/>
      <c r="AW143" s="314"/>
      <c r="AX143" s="315"/>
      <c r="AY143" s="315"/>
      <c r="AZ143" s="315"/>
      <c r="BA143" s="315"/>
      <c r="BB143" s="315"/>
      <c r="BC143" s="315"/>
      <c r="BD143" s="319"/>
      <c r="BE143" s="319"/>
      <c r="BF143" s="319"/>
      <c r="BG143" s="319"/>
      <c r="BH143" s="319"/>
      <c r="BI143" s="319"/>
      <c r="BJ143" s="319"/>
      <c r="BK143" s="315"/>
      <c r="BL143" s="316"/>
      <c r="BM143" s="314"/>
      <c r="BN143" s="319"/>
      <c r="BO143" s="315"/>
      <c r="BP143" s="314"/>
      <c r="BQ143" s="316"/>
      <c r="BR143" s="314"/>
      <c r="BS143" s="262"/>
      <c r="BT143" s="262"/>
    </row>
    <row r="144" spans="1:72" ht="45.75" customHeight="1">
      <c r="A144" s="342"/>
      <c r="B144" s="342"/>
      <c r="C144" s="342"/>
      <c r="D144" s="343"/>
      <c r="E144" s="342"/>
      <c r="F144" s="342"/>
      <c r="G144" s="344"/>
      <c r="H144" s="344"/>
      <c r="I144" s="344"/>
      <c r="J144" s="334"/>
      <c r="K144" s="335"/>
      <c r="L144" s="336"/>
      <c r="M144" s="336"/>
      <c r="N144" s="337"/>
      <c r="O144" s="337"/>
      <c r="P144" s="315"/>
      <c r="Q144" s="314"/>
      <c r="R144" s="317"/>
      <c r="S144" s="315"/>
      <c r="T144" s="315"/>
      <c r="U144" s="315"/>
      <c r="V144" s="258"/>
      <c r="W144" s="322"/>
      <c r="X144" s="318"/>
      <c r="Y144" s="315"/>
      <c r="Z144" s="318"/>
      <c r="AA144" s="314"/>
      <c r="AB144" s="336"/>
      <c r="AC144" s="314"/>
      <c r="AD144" s="316"/>
      <c r="AE144" s="315"/>
      <c r="AF144" s="315"/>
      <c r="AG144" s="315"/>
      <c r="AH144" s="315"/>
      <c r="AI144" s="377"/>
      <c r="AJ144" s="407"/>
      <c r="AK144" s="377"/>
      <c r="AL144" s="314"/>
      <c r="AM144" s="314"/>
      <c r="AN144" s="314"/>
      <c r="AO144" s="315"/>
      <c r="AP144" s="257"/>
      <c r="AQ144" s="257"/>
      <c r="AR144" s="257"/>
      <c r="AS144" s="315"/>
      <c r="AT144" s="257"/>
      <c r="AU144" s="257"/>
      <c r="AV144" s="316"/>
      <c r="AW144" s="314"/>
      <c r="AX144" s="315"/>
      <c r="AY144" s="315"/>
      <c r="AZ144" s="315"/>
      <c r="BA144" s="315"/>
      <c r="BB144" s="315"/>
      <c r="BC144" s="315"/>
      <c r="BD144" s="319"/>
      <c r="BE144" s="319"/>
      <c r="BF144" s="319"/>
      <c r="BG144" s="319"/>
      <c r="BH144" s="319"/>
      <c r="BI144" s="319"/>
      <c r="BJ144" s="319"/>
      <c r="BK144" s="315"/>
      <c r="BL144" s="316"/>
      <c r="BM144" s="314"/>
      <c r="BN144" s="319"/>
      <c r="BO144" s="315"/>
      <c r="BP144" s="314"/>
      <c r="BQ144" s="316"/>
      <c r="BR144" s="314"/>
      <c r="BS144" s="262"/>
      <c r="BT144" s="262"/>
    </row>
    <row r="145" spans="1:72" ht="45.75" customHeight="1">
      <c r="A145" s="342"/>
      <c r="B145" s="342"/>
      <c r="C145" s="342"/>
      <c r="D145" s="343"/>
      <c r="E145" s="342"/>
      <c r="F145" s="342"/>
      <c r="G145" s="344"/>
      <c r="H145" s="344"/>
      <c r="I145" s="344"/>
      <c r="J145" s="334"/>
      <c r="K145" s="335"/>
      <c r="L145" s="336"/>
      <c r="M145" s="336"/>
      <c r="N145" s="337"/>
      <c r="O145" s="337"/>
      <c r="P145" s="315"/>
      <c r="Q145" s="314"/>
      <c r="R145" s="317"/>
      <c r="S145" s="315"/>
      <c r="T145" s="315"/>
      <c r="U145" s="315"/>
      <c r="V145" s="258"/>
      <c r="W145" s="322"/>
      <c r="X145" s="318"/>
      <c r="Y145" s="315"/>
      <c r="Z145" s="318"/>
      <c r="AA145" s="314"/>
      <c r="AB145" s="336"/>
      <c r="AC145" s="314"/>
      <c r="AD145" s="316"/>
      <c r="AE145" s="315"/>
      <c r="AF145" s="315"/>
      <c r="AG145" s="315"/>
      <c r="AH145" s="315"/>
      <c r="AI145" s="377"/>
      <c r="AJ145" s="407"/>
      <c r="AK145" s="377"/>
      <c r="AL145" s="314"/>
      <c r="AM145" s="314"/>
      <c r="AN145" s="314"/>
      <c r="AO145" s="315"/>
      <c r="AP145" s="257"/>
      <c r="AQ145" s="257"/>
      <c r="AR145" s="257"/>
      <c r="AS145" s="315"/>
      <c r="AT145" s="257"/>
      <c r="AU145" s="257"/>
      <c r="AV145" s="316"/>
      <c r="AW145" s="314"/>
      <c r="AX145" s="315"/>
      <c r="AY145" s="315"/>
      <c r="AZ145" s="315"/>
      <c r="BA145" s="315"/>
      <c r="BB145" s="315"/>
      <c r="BC145" s="315"/>
      <c r="BD145" s="319"/>
      <c r="BE145" s="319"/>
      <c r="BF145" s="319"/>
      <c r="BG145" s="319"/>
      <c r="BH145" s="319"/>
      <c r="BI145" s="319"/>
      <c r="BJ145" s="319"/>
      <c r="BK145" s="315"/>
      <c r="BL145" s="316"/>
      <c r="BM145" s="314"/>
      <c r="BN145" s="319"/>
      <c r="BO145" s="315"/>
      <c r="BP145" s="314"/>
      <c r="BQ145" s="316"/>
      <c r="BR145" s="314"/>
      <c r="BS145" s="262"/>
      <c r="BT145" s="262"/>
    </row>
    <row r="146" spans="1:72" ht="45.75" customHeight="1">
      <c r="A146" s="342"/>
      <c r="B146" s="342"/>
      <c r="C146" s="342"/>
      <c r="D146" s="343"/>
      <c r="E146" s="342"/>
      <c r="F146" s="342"/>
      <c r="G146" s="344"/>
      <c r="H146" s="344"/>
      <c r="I146" s="344"/>
      <c r="J146" s="334"/>
      <c r="K146" s="335"/>
      <c r="L146" s="336"/>
      <c r="M146" s="336"/>
      <c r="N146" s="337"/>
      <c r="O146" s="337"/>
      <c r="P146" s="315"/>
      <c r="Q146" s="314"/>
      <c r="R146" s="317"/>
      <c r="S146" s="315"/>
      <c r="T146" s="315"/>
      <c r="U146" s="315"/>
      <c r="V146" s="258"/>
      <c r="W146" s="322"/>
      <c r="X146" s="318"/>
      <c r="Y146" s="315"/>
      <c r="Z146" s="318"/>
      <c r="AA146" s="314"/>
      <c r="AB146" s="336"/>
      <c r="AC146" s="314"/>
      <c r="AD146" s="316"/>
      <c r="AE146" s="315"/>
      <c r="AF146" s="315"/>
      <c r="AG146" s="315"/>
      <c r="AH146" s="315"/>
      <c r="AI146" s="377"/>
      <c r="AJ146" s="407"/>
      <c r="AK146" s="377"/>
      <c r="AL146" s="314"/>
      <c r="AM146" s="314"/>
      <c r="AN146" s="314"/>
      <c r="AO146" s="315"/>
      <c r="AP146" s="257"/>
      <c r="AQ146" s="257"/>
      <c r="AR146" s="257"/>
      <c r="AS146" s="315"/>
      <c r="AT146" s="257"/>
      <c r="AU146" s="257"/>
      <c r="AV146" s="316"/>
      <c r="AW146" s="314"/>
      <c r="AX146" s="315"/>
      <c r="AY146" s="315"/>
      <c r="AZ146" s="315"/>
      <c r="BA146" s="315"/>
      <c r="BB146" s="315"/>
      <c r="BC146" s="315"/>
      <c r="BD146" s="319"/>
      <c r="BE146" s="319"/>
      <c r="BF146" s="319"/>
      <c r="BG146" s="319"/>
      <c r="BH146" s="319"/>
      <c r="BI146" s="319"/>
      <c r="BJ146" s="319"/>
      <c r="BK146" s="315"/>
      <c r="BL146" s="316"/>
      <c r="BM146" s="314"/>
      <c r="BN146" s="319"/>
      <c r="BO146" s="315"/>
      <c r="BP146" s="314"/>
      <c r="BQ146" s="316"/>
      <c r="BR146" s="314"/>
      <c r="BS146" s="262"/>
      <c r="BT146" s="262"/>
    </row>
    <row r="147" spans="1:72" ht="45.75" customHeight="1">
      <c r="A147" s="342"/>
      <c r="B147" s="342"/>
      <c r="C147" s="342"/>
      <c r="D147" s="343"/>
      <c r="E147" s="342"/>
      <c r="F147" s="342"/>
      <c r="G147" s="344"/>
      <c r="H147" s="344"/>
      <c r="I147" s="344"/>
      <c r="J147" s="334"/>
      <c r="K147" s="335"/>
      <c r="L147" s="336"/>
      <c r="M147" s="336"/>
      <c r="N147" s="337"/>
      <c r="O147" s="337"/>
      <c r="P147" s="315"/>
      <c r="Q147" s="314"/>
      <c r="R147" s="317"/>
      <c r="S147" s="315"/>
      <c r="T147" s="315"/>
      <c r="U147" s="315"/>
      <c r="V147" s="258"/>
      <c r="W147" s="322"/>
      <c r="X147" s="318"/>
      <c r="Y147" s="315"/>
      <c r="Z147" s="318"/>
      <c r="AA147" s="314"/>
      <c r="AB147" s="336"/>
      <c r="AC147" s="314"/>
      <c r="AD147" s="316"/>
      <c r="AE147" s="315"/>
      <c r="AF147" s="315"/>
      <c r="AG147" s="315"/>
      <c r="AH147" s="315"/>
      <c r="AI147" s="377"/>
      <c r="AJ147" s="407"/>
      <c r="AK147" s="377"/>
      <c r="AL147" s="314"/>
      <c r="AM147" s="314"/>
      <c r="AN147" s="314"/>
      <c r="AO147" s="315"/>
      <c r="AP147" s="257"/>
      <c r="AQ147" s="257"/>
      <c r="AR147" s="257"/>
      <c r="AS147" s="315"/>
      <c r="AT147" s="257"/>
      <c r="AU147" s="257"/>
      <c r="AV147" s="316"/>
      <c r="AW147" s="314"/>
      <c r="AX147" s="315"/>
      <c r="AY147" s="315"/>
      <c r="AZ147" s="315"/>
      <c r="BA147" s="315"/>
      <c r="BB147" s="315"/>
      <c r="BC147" s="315"/>
      <c r="BD147" s="319"/>
      <c r="BE147" s="319"/>
      <c r="BF147" s="319"/>
      <c r="BG147" s="319"/>
      <c r="BH147" s="319"/>
      <c r="BI147" s="319"/>
      <c r="BJ147" s="319"/>
      <c r="BK147" s="315"/>
      <c r="BL147" s="316"/>
      <c r="BM147" s="314"/>
      <c r="BN147" s="319"/>
      <c r="BO147" s="315"/>
      <c r="BP147" s="314"/>
      <c r="BQ147" s="316"/>
      <c r="BR147" s="314"/>
      <c r="BS147" s="262"/>
      <c r="BT147" s="262"/>
    </row>
    <row r="148" spans="1:72" ht="45.75" customHeight="1">
      <c r="A148" s="342"/>
      <c r="B148" s="342"/>
      <c r="C148" s="342"/>
      <c r="D148" s="343"/>
      <c r="E148" s="342"/>
      <c r="F148" s="342"/>
      <c r="G148" s="344"/>
      <c r="H148" s="344"/>
      <c r="I148" s="344"/>
      <c r="J148" s="334"/>
      <c r="K148" s="335"/>
      <c r="L148" s="336"/>
      <c r="M148" s="336"/>
      <c r="N148" s="337"/>
      <c r="O148" s="337"/>
      <c r="P148" s="315"/>
      <c r="Q148" s="314"/>
      <c r="R148" s="317"/>
      <c r="S148" s="315"/>
      <c r="T148" s="315"/>
      <c r="U148" s="315"/>
      <c r="V148" s="258"/>
      <c r="W148" s="322"/>
      <c r="X148" s="318"/>
      <c r="Y148" s="315"/>
      <c r="Z148" s="318"/>
      <c r="AA148" s="314"/>
      <c r="AB148" s="336"/>
      <c r="AC148" s="314"/>
      <c r="AD148" s="316"/>
      <c r="AE148" s="315"/>
      <c r="AF148" s="315"/>
      <c r="AG148" s="315"/>
      <c r="AH148" s="315"/>
      <c r="AI148" s="377"/>
      <c r="AJ148" s="407"/>
      <c r="AK148" s="377"/>
      <c r="AL148" s="314"/>
      <c r="AM148" s="314"/>
      <c r="AN148" s="314"/>
      <c r="AO148" s="315"/>
      <c r="AP148" s="257"/>
      <c r="AQ148" s="257"/>
      <c r="AR148" s="257"/>
      <c r="AS148" s="315"/>
      <c r="AT148" s="257"/>
      <c r="AU148" s="257"/>
      <c r="AV148" s="316"/>
      <c r="AW148" s="314"/>
      <c r="AX148" s="315"/>
      <c r="AY148" s="315"/>
      <c r="AZ148" s="315"/>
      <c r="BA148" s="315"/>
      <c r="BB148" s="315"/>
      <c r="BC148" s="315"/>
      <c r="BD148" s="319"/>
      <c r="BE148" s="319"/>
      <c r="BF148" s="319"/>
      <c r="BG148" s="319"/>
      <c r="BH148" s="319"/>
      <c r="BI148" s="319"/>
      <c r="BJ148" s="319"/>
      <c r="BK148" s="315"/>
      <c r="BL148" s="316"/>
      <c r="BM148" s="314"/>
      <c r="BN148" s="319"/>
      <c r="BO148" s="315"/>
      <c r="BP148" s="314"/>
      <c r="BQ148" s="316"/>
      <c r="BR148" s="314"/>
      <c r="BS148" s="262"/>
      <c r="BT148" s="262"/>
    </row>
    <row r="149" spans="1:72" ht="45.75" customHeight="1">
      <c r="A149" s="342"/>
      <c r="B149" s="342"/>
      <c r="C149" s="342"/>
      <c r="D149" s="343"/>
      <c r="E149" s="342"/>
      <c r="F149" s="342"/>
      <c r="G149" s="344"/>
      <c r="H149" s="344"/>
      <c r="I149" s="344"/>
      <c r="J149" s="334"/>
      <c r="K149" s="335"/>
      <c r="L149" s="336"/>
      <c r="M149" s="336"/>
      <c r="N149" s="337"/>
      <c r="O149" s="337"/>
      <c r="P149" s="315"/>
      <c r="Q149" s="314"/>
      <c r="R149" s="317"/>
      <c r="S149" s="315"/>
      <c r="T149" s="315"/>
      <c r="U149" s="315"/>
      <c r="V149" s="258"/>
      <c r="W149" s="322"/>
      <c r="X149" s="318"/>
      <c r="Y149" s="315"/>
      <c r="Z149" s="318"/>
      <c r="AA149" s="314"/>
      <c r="AB149" s="336"/>
      <c r="AC149" s="314"/>
      <c r="AD149" s="316"/>
      <c r="AE149" s="315"/>
      <c r="AF149" s="315"/>
      <c r="AG149" s="315"/>
      <c r="AH149" s="315"/>
      <c r="AI149" s="377"/>
      <c r="AJ149" s="407"/>
      <c r="AK149" s="377"/>
      <c r="AL149" s="314"/>
      <c r="AM149" s="314"/>
      <c r="AN149" s="314"/>
      <c r="AO149" s="315"/>
      <c r="AP149" s="257"/>
      <c r="AQ149" s="257"/>
      <c r="AR149" s="257"/>
      <c r="AS149" s="315"/>
      <c r="AT149" s="257"/>
      <c r="AU149" s="257"/>
      <c r="AV149" s="316"/>
      <c r="AW149" s="314"/>
      <c r="AX149" s="315"/>
      <c r="AY149" s="315"/>
      <c r="AZ149" s="315"/>
      <c r="BA149" s="315"/>
      <c r="BB149" s="315"/>
      <c r="BC149" s="315"/>
      <c r="BD149" s="319"/>
      <c r="BE149" s="319"/>
      <c r="BF149" s="319"/>
      <c r="BG149" s="319"/>
      <c r="BH149" s="319"/>
      <c r="BI149" s="319"/>
      <c r="BJ149" s="319"/>
      <c r="BK149" s="315"/>
      <c r="BL149" s="316"/>
      <c r="BM149" s="314"/>
      <c r="BN149" s="319"/>
      <c r="BO149" s="315"/>
      <c r="BP149" s="314"/>
      <c r="BQ149" s="316"/>
      <c r="BR149" s="314"/>
      <c r="BS149" s="262"/>
      <c r="BT149" s="262"/>
    </row>
    <row r="150" spans="1:72" ht="45.75" customHeight="1">
      <c r="A150" s="342"/>
      <c r="B150" s="342"/>
      <c r="C150" s="342"/>
      <c r="D150" s="343"/>
      <c r="E150" s="342"/>
      <c r="F150" s="342"/>
      <c r="G150" s="344"/>
      <c r="H150" s="344"/>
      <c r="I150" s="344"/>
      <c r="J150" s="334"/>
      <c r="K150" s="335"/>
      <c r="L150" s="336"/>
      <c r="M150" s="336"/>
      <c r="N150" s="337"/>
      <c r="O150" s="337"/>
      <c r="P150" s="315"/>
      <c r="Q150" s="314"/>
      <c r="R150" s="317"/>
      <c r="S150" s="315"/>
      <c r="T150" s="315"/>
      <c r="U150" s="315"/>
      <c r="V150" s="258"/>
      <c r="W150" s="322"/>
      <c r="X150" s="318"/>
      <c r="Y150" s="315"/>
      <c r="Z150" s="318"/>
      <c r="AA150" s="314"/>
      <c r="AB150" s="336"/>
      <c r="AC150" s="314"/>
      <c r="AD150" s="316"/>
      <c r="AE150" s="315"/>
      <c r="AF150" s="315"/>
      <c r="AG150" s="315"/>
      <c r="AH150" s="315"/>
      <c r="AI150" s="377"/>
      <c r="AJ150" s="407"/>
      <c r="AK150" s="377"/>
      <c r="AL150" s="314"/>
      <c r="AM150" s="314"/>
      <c r="AN150" s="314"/>
      <c r="AO150" s="315"/>
      <c r="AP150" s="257"/>
      <c r="AQ150" s="257"/>
      <c r="AR150" s="257"/>
      <c r="AS150" s="315"/>
      <c r="AT150" s="257"/>
      <c r="AU150" s="257"/>
      <c r="AV150" s="316"/>
      <c r="AW150" s="314"/>
      <c r="AX150" s="315"/>
      <c r="AY150" s="315"/>
      <c r="AZ150" s="315"/>
      <c r="BA150" s="315"/>
      <c r="BB150" s="315"/>
      <c r="BC150" s="315"/>
      <c r="BD150" s="319"/>
      <c r="BE150" s="319"/>
      <c r="BF150" s="319"/>
      <c r="BG150" s="319"/>
      <c r="BH150" s="319"/>
      <c r="BI150" s="319"/>
      <c r="BJ150" s="319"/>
      <c r="BK150" s="315"/>
      <c r="BL150" s="316"/>
      <c r="BM150" s="314"/>
      <c r="BN150" s="319"/>
      <c r="BO150" s="315"/>
      <c r="BP150" s="314"/>
      <c r="BQ150" s="316"/>
      <c r="BR150" s="314"/>
      <c r="BS150" s="262"/>
      <c r="BT150" s="262"/>
    </row>
    <row r="151" spans="1:72" ht="45.75" customHeight="1">
      <c r="A151" s="342"/>
      <c r="B151" s="342"/>
      <c r="C151" s="342"/>
      <c r="D151" s="343"/>
      <c r="E151" s="342"/>
      <c r="F151" s="342"/>
      <c r="G151" s="344"/>
      <c r="H151" s="344"/>
      <c r="I151" s="344"/>
      <c r="J151" s="334"/>
      <c r="K151" s="335"/>
      <c r="L151" s="336"/>
      <c r="M151" s="336"/>
      <c r="N151" s="337"/>
      <c r="O151" s="337"/>
      <c r="P151" s="315"/>
      <c r="Q151" s="314"/>
      <c r="R151" s="317"/>
      <c r="S151" s="315"/>
      <c r="T151" s="315"/>
      <c r="U151" s="315"/>
      <c r="V151" s="258"/>
      <c r="W151" s="322"/>
      <c r="X151" s="318"/>
      <c r="Y151" s="315"/>
      <c r="Z151" s="318"/>
      <c r="AA151" s="314"/>
      <c r="AB151" s="336"/>
      <c r="AC151" s="314"/>
      <c r="AD151" s="316"/>
      <c r="AE151" s="315"/>
      <c r="AF151" s="315"/>
      <c r="AG151" s="315"/>
      <c r="AH151" s="315"/>
      <c r="AI151" s="377"/>
      <c r="AJ151" s="407"/>
      <c r="AK151" s="377"/>
      <c r="AL151" s="314"/>
      <c r="AM151" s="314"/>
      <c r="AN151" s="314"/>
      <c r="AO151" s="315"/>
      <c r="AP151" s="257"/>
      <c r="AQ151" s="257"/>
      <c r="AR151" s="257"/>
      <c r="AS151" s="315"/>
      <c r="AT151" s="257"/>
      <c r="AU151" s="257"/>
      <c r="AV151" s="316"/>
      <c r="AW151" s="314"/>
      <c r="AX151" s="315"/>
      <c r="AY151" s="315"/>
      <c r="AZ151" s="315"/>
      <c r="BA151" s="315"/>
      <c r="BB151" s="315"/>
      <c r="BC151" s="315"/>
      <c r="BD151" s="319"/>
      <c r="BE151" s="319"/>
      <c r="BF151" s="319"/>
      <c r="BG151" s="319"/>
      <c r="BH151" s="319"/>
      <c r="BI151" s="319"/>
      <c r="BJ151" s="319"/>
      <c r="BK151" s="315"/>
      <c r="BL151" s="316"/>
      <c r="BM151" s="314"/>
      <c r="BN151" s="319"/>
      <c r="BO151" s="315"/>
      <c r="BP151" s="314"/>
      <c r="BQ151" s="316"/>
      <c r="BR151" s="314"/>
      <c r="BS151" s="262"/>
      <c r="BT151" s="262"/>
    </row>
    <row r="152" spans="1:72" ht="45.75" customHeight="1">
      <c r="A152" s="342"/>
      <c r="B152" s="342"/>
      <c r="C152" s="342"/>
      <c r="D152" s="343"/>
      <c r="E152" s="342"/>
      <c r="F152" s="342"/>
      <c r="G152" s="344"/>
      <c r="H152" s="344"/>
      <c r="I152" s="344"/>
      <c r="J152" s="334"/>
      <c r="K152" s="335"/>
      <c r="L152" s="336"/>
      <c r="M152" s="336"/>
      <c r="N152" s="337"/>
      <c r="O152" s="337"/>
      <c r="P152" s="315"/>
      <c r="Q152" s="314"/>
      <c r="R152" s="317"/>
      <c r="S152" s="315"/>
      <c r="T152" s="315"/>
      <c r="U152" s="315"/>
      <c r="V152" s="258"/>
      <c r="W152" s="322"/>
      <c r="X152" s="318"/>
      <c r="Y152" s="315"/>
      <c r="Z152" s="318"/>
      <c r="AA152" s="314"/>
      <c r="AB152" s="336"/>
      <c r="AC152" s="314"/>
      <c r="AD152" s="316"/>
      <c r="AE152" s="315"/>
      <c r="AF152" s="315"/>
      <c r="AG152" s="315"/>
      <c r="AH152" s="315"/>
      <c r="AI152" s="377"/>
      <c r="AJ152" s="407"/>
      <c r="AK152" s="377"/>
      <c r="AL152" s="314"/>
      <c r="AM152" s="314"/>
      <c r="AN152" s="314"/>
      <c r="AO152" s="315"/>
      <c r="AP152" s="257"/>
      <c r="AQ152" s="257"/>
      <c r="AR152" s="257"/>
      <c r="AS152" s="315"/>
      <c r="AT152" s="257"/>
      <c r="AU152" s="257"/>
      <c r="AV152" s="316"/>
      <c r="AW152" s="314"/>
      <c r="AX152" s="315"/>
      <c r="AY152" s="315"/>
      <c r="AZ152" s="315"/>
      <c r="BA152" s="315"/>
      <c r="BB152" s="315"/>
      <c r="BC152" s="315"/>
      <c r="BD152" s="319"/>
      <c r="BE152" s="319"/>
      <c r="BF152" s="319"/>
      <c r="BG152" s="319"/>
      <c r="BH152" s="319"/>
      <c r="BI152" s="319"/>
      <c r="BJ152" s="319"/>
      <c r="BK152" s="315"/>
      <c r="BL152" s="316"/>
      <c r="BM152" s="314"/>
      <c r="BN152" s="319"/>
      <c r="BO152" s="315"/>
      <c r="BP152" s="314"/>
      <c r="BQ152" s="316"/>
      <c r="BR152" s="314"/>
      <c r="BS152" s="262"/>
      <c r="BT152" s="262"/>
    </row>
    <row r="153" spans="1:72" ht="45.75" customHeight="1">
      <c r="A153" s="342"/>
      <c r="B153" s="342"/>
      <c r="C153" s="342"/>
      <c r="D153" s="343"/>
      <c r="E153" s="342"/>
      <c r="F153" s="342"/>
      <c r="G153" s="344"/>
      <c r="H153" s="344"/>
      <c r="I153" s="344"/>
      <c r="J153" s="334"/>
      <c r="K153" s="335"/>
      <c r="L153" s="336"/>
      <c r="M153" s="336"/>
      <c r="N153" s="337"/>
      <c r="O153" s="337"/>
      <c r="P153" s="315"/>
      <c r="Q153" s="314"/>
      <c r="R153" s="317"/>
      <c r="S153" s="315"/>
      <c r="T153" s="315"/>
      <c r="U153" s="315"/>
      <c r="V153" s="258"/>
      <c r="W153" s="322"/>
      <c r="X153" s="318"/>
      <c r="Y153" s="315"/>
      <c r="Z153" s="318"/>
      <c r="AA153" s="314"/>
      <c r="AB153" s="336"/>
      <c r="AC153" s="314"/>
      <c r="AD153" s="316"/>
      <c r="AE153" s="315"/>
      <c r="AF153" s="315"/>
      <c r="AG153" s="315"/>
      <c r="AH153" s="315"/>
      <c r="AI153" s="377"/>
      <c r="AJ153" s="407"/>
      <c r="AK153" s="377"/>
      <c r="AL153" s="314"/>
      <c r="AM153" s="314"/>
      <c r="AN153" s="314"/>
      <c r="AO153" s="315"/>
      <c r="AP153" s="257"/>
      <c r="AQ153" s="257"/>
      <c r="AR153" s="257"/>
      <c r="AS153" s="315"/>
      <c r="AT153" s="257"/>
      <c r="AU153" s="257"/>
      <c r="AV153" s="316"/>
      <c r="AW153" s="314"/>
      <c r="AX153" s="315"/>
      <c r="AY153" s="315"/>
      <c r="AZ153" s="315"/>
      <c r="BA153" s="315"/>
      <c r="BB153" s="315"/>
      <c r="BC153" s="315"/>
      <c r="BD153" s="319"/>
      <c r="BE153" s="319"/>
      <c r="BF153" s="319"/>
      <c r="BG153" s="319"/>
      <c r="BH153" s="319"/>
      <c r="BI153" s="319"/>
      <c r="BJ153" s="319"/>
      <c r="BK153" s="315"/>
      <c r="BL153" s="316"/>
      <c r="BM153" s="314"/>
      <c r="BN153" s="319"/>
      <c r="BO153" s="315"/>
      <c r="BP153" s="314"/>
      <c r="BQ153" s="316"/>
      <c r="BR153" s="314"/>
      <c r="BS153" s="262"/>
      <c r="BT153" s="262"/>
    </row>
    <row r="154" spans="1:72" ht="45.75" customHeight="1">
      <c r="A154" s="342"/>
      <c r="B154" s="342"/>
      <c r="C154" s="342"/>
      <c r="D154" s="343"/>
      <c r="E154" s="342"/>
      <c r="F154" s="342"/>
      <c r="G154" s="344"/>
      <c r="H154" s="344"/>
      <c r="I154" s="344"/>
      <c r="J154" s="334"/>
      <c r="K154" s="335"/>
      <c r="L154" s="336"/>
      <c r="M154" s="336"/>
      <c r="N154" s="337"/>
      <c r="O154" s="337"/>
      <c r="P154" s="315"/>
      <c r="Q154" s="314"/>
      <c r="R154" s="317"/>
      <c r="S154" s="315"/>
      <c r="T154" s="315"/>
      <c r="U154" s="315"/>
      <c r="V154" s="258"/>
      <c r="W154" s="322"/>
      <c r="X154" s="318"/>
      <c r="Y154" s="315"/>
      <c r="Z154" s="318"/>
      <c r="AA154" s="314"/>
      <c r="AB154" s="336"/>
      <c r="AC154" s="314"/>
      <c r="AD154" s="316"/>
      <c r="AE154" s="315"/>
      <c r="AF154" s="315"/>
      <c r="AG154" s="315"/>
      <c r="AH154" s="315"/>
      <c r="AI154" s="377"/>
      <c r="AJ154" s="407"/>
      <c r="AK154" s="377"/>
      <c r="AL154" s="314"/>
      <c r="AM154" s="314"/>
      <c r="AN154" s="314"/>
      <c r="AO154" s="315"/>
      <c r="AP154" s="257"/>
      <c r="AQ154" s="257"/>
      <c r="AR154" s="257"/>
      <c r="AS154" s="315"/>
      <c r="AT154" s="257"/>
      <c r="AU154" s="257"/>
      <c r="AV154" s="316"/>
      <c r="AW154" s="314"/>
      <c r="AX154" s="315"/>
      <c r="AY154" s="315"/>
      <c r="AZ154" s="315"/>
      <c r="BA154" s="315"/>
      <c r="BB154" s="315"/>
      <c r="BC154" s="315"/>
      <c r="BD154" s="319"/>
      <c r="BE154" s="319"/>
      <c r="BF154" s="319"/>
      <c r="BG154" s="319"/>
      <c r="BH154" s="319"/>
      <c r="BI154" s="319"/>
      <c r="BJ154" s="319"/>
      <c r="BK154" s="315"/>
      <c r="BL154" s="316"/>
      <c r="BM154" s="314"/>
      <c r="BN154" s="319"/>
      <c r="BO154" s="315"/>
      <c r="BP154" s="314"/>
      <c r="BQ154" s="316"/>
      <c r="BR154" s="314"/>
      <c r="BS154" s="262"/>
      <c r="BT154" s="262"/>
    </row>
    <row r="155" spans="1:72" ht="45.75" customHeight="1">
      <c r="A155" s="342"/>
      <c r="B155" s="342"/>
      <c r="C155" s="342"/>
      <c r="D155" s="343"/>
      <c r="E155" s="342"/>
      <c r="F155" s="342"/>
      <c r="G155" s="344"/>
      <c r="H155" s="344"/>
      <c r="I155" s="344"/>
      <c r="J155" s="334"/>
      <c r="K155" s="335"/>
      <c r="L155" s="336"/>
      <c r="M155" s="336"/>
      <c r="N155" s="337"/>
      <c r="O155" s="337"/>
      <c r="P155" s="315"/>
      <c r="Q155" s="314"/>
      <c r="R155" s="317"/>
      <c r="S155" s="315"/>
      <c r="T155" s="315"/>
      <c r="U155" s="315"/>
      <c r="V155" s="258"/>
      <c r="W155" s="322"/>
      <c r="X155" s="318"/>
      <c r="Y155" s="315"/>
      <c r="Z155" s="318"/>
      <c r="AA155" s="314"/>
      <c r="AB155" s="336"/>
      <c r="AC155" s="314"/>
      <c r="AD155" s="316"/>
      <c r="AE155" s="315"/>
      <c r="AF155" s="315"/>
      <c r="AG155" s="315"/>
      <c r="AH155" s="315"/>
      <c r="AI155" s="377"/>
      <c r="AJ155" s="407"/>
      <c r="AK155" s="377"/>
      <c r="AL155" s="314"/>
      <c r="AM155" s="314"/>
      <c r="AN155" s="314"/>
      <c r="AO155" s="315"/>
      <c r="AP155" s="257"/>
      <c r="AQ155" s="257"/>
      <c r="AR155" s="257"/>
      <c r="AS155" s="315"/>
      <c r="AT155" s="257"/>
      <c r="AU155" s="257"/>
      <c r="AV155" s="316"/>
      <c r="AW155" s="314"/>
      <c r="AX155" s="315"/>
      <c r="AY155" s="315"/>
      <c r="AZ155" s="315"/>
      <c r="BA155" s="315"/>
      <c r="BB155" s="315"/>
      <c r="BC155" s="315"/>
      <c r="BD155" s="319"/>
      <c r="BE155" s="319"/>
      <c r="BF155" s="319"/>
      <c r="BG155" s="319"/>
      <c r="BH155" s="319"/>
      <c r="BI155" s="319"/>
      <c r="BJ155" s="319"/>
      <c r="BK155" s="315"/>
      <c r="BL155" s="316"/>
      <c r="BM155" s="314"/>
      <c r="BN155" s="319"/>
      <c r="BO155" s="315"/>
      <c r="BP155" s="314"/>
      <c r="BQ155" s="316"/>
      <c r="BR155" s="314"/>
      <c r="BS155" s="262"/>
      <c r="BT155" s="262"/>
    </row>
    <row r="156" spans="1:72" ht="45.75" customHeight="1">
      <c r="A156" s="342"/>
      <c r="B156" s="342"/>
      <c r="C156" s="342"/>
      <c r="D156" s="343"/>
      <c r="E156" s="342"/>
      <c r="F156" s="342"/>
      <c r="G156" s="344"/>
      <c r="H156" s="344"/>
      <c r="I156" s="344"/>
      <c r="J156" s="334"/>
      <c r="K156" s="335"/>
      <c r="L156" s="336"/>
      <c r="M156" s="336"/>
      <c r="N156" s="337"/>
      <c r="O156" s="337"/>
      <c r="P156" s="315"/>
      <c r="Q156" s="314"/>
      <c r="R156" s="317"/>
      <c r="S156" s="315"/>
      <c r="T156" s="315"/>
      <c r="U156" s="315"/>
      <c r="V156" s="258"/>
      <c r="W156" s="322"/>
      <c r="X156" s="318"/>
      <c r="Y156" s="315"/>
      <c r="Z156" s="318"/>
      <c r="AA156" s="314"/>
      <c r="AB156" s="336"/>
      <c r="AC156" s="314"/>
      <c r="AD156" s="316"/>
      <c r="AE156" s="315"/>
      <c r="AF156" s="315"/>
      <c r="AG156" s="315"/>
      <c r="AH156" s="315"/>
      <c r="AI156" s="377"/>
      <c r="AJ156" s="407"/>
      <c r="AK156" s="377"/>
      <c r="AL156" s="314"/>
      <c r="AM156" s="314"/>
      <c r="AN156" s="314"/>
      <c r="AO156" s="315"/>
      <c r="AP156" s="257"/>
      <c r="AQ156" s="257"/>
      <c r="AR156" s="257"/>
      <c r="AS156" s="315"/>
      <c r="AT156" s="257"/>
      <c r="AU156" s="257"/>
      <c r="AV156" s="316"/>
      <c r="AW156" s="314"/>
      <c r="AX156" s="315"/>
      <c r="AY156" s="315"/>
      <c r="AZ156" s="315"/>
      <c r="BA156" s="315"/>
      <c r="BB156" s="315"/>
      <c r="BC156" s="315"/>
      <c r="BD156" s="319"/>
      <c r="BE156" s="319"/>
      <c r="BF156" s="319"/>
      <c r="BG156" s="319"/>
      <c r="BH156" s="319"/>
      <c r="BI156" s="319"/>
      <c r="BJ156" s="319"/>
      <c r="BK156" s="315"/>
      <c r="BL156" s="316"/>
      <c r="BM156" s="314"/>
      <c r="BN156" s="319"/>
      <c r="BO156" s="315"/>
      <c r="BP156" s="314"/>
      <c r="BQ156" s="316"/>
      <c r="BR156" s="314"/>
      <c r="BS156" s="262"/>
      <c r="BT156" s="262"/>
    </row>
    <row r="157" spans="1:72" ht="45.75" customHeight="1">
      <c r="A157" s="342"/>
      <c r="B157" s="342"/>
      <c r="C157" s="342"/>
      <c r="D157" s="343"/>
      <c r="E157" s="342"/>
      <c r="F157" s="342"/>
      <c r="G157" s="344"/>
      <c r="H157" s="344"/>
      <c r="I157" s="344"/>
      <c r="J157" s="334"/>
      <c r="K157" s="335"/>
      <c r="L157" s="336"/>
      <c r="M157" s="336"/>
      <c r="N157" s="337"/>
      <c r="O157" s="337"/>
      <c r="P157" s="315"/>
      <c r="Q157" s="314"/>
      <c r="R157" s="317"/>
      <c r="S157" s="315"/>
      <c r="T157" s="315"/>
      <c r="U157" s="315"/>
      <c r="V157" s="258"/>
      <c r="W157" s="322"/>
      <c r="X157" s="318"/>
      <c r="Y157" s="315"/>
      <c r="Z157" s="318"/>
      <c r="AA157" s="314"/>
      <c r="AB157" s="336"/>
      <c r="AC157" s="314"/>
      <c r="AD157" s="316"/>
      <c r="AE157" s="315"/>
      <c r="AF157" s="315"/>
      <c r="AG157" s="315"/>
      <c r="AH157" s="315"/>
      <c r="AI157" s="377"/>
      <c r="AJ157" s="407"/>
      <c r="AK157" s="377"/>
      <c r="AL157" s="314"/>
      <c r="AM157" s="314"/>
      <c r="AN157" s="314"/>
      <c r="AO157" s="315"/>
      <c r="AP157" s="257"/>
      <c r="AQ157" s="257"/>
      <c r="AR157" s="257"/>
      <c r="AS157" s="315"/>
      <c r="AT157" s="257"/>
      <c r="AU157" s="257"/>
      <c r="AV157" s="316"/>
      <c r="AW157" s="314"/>
      <c r="AX157" s="315"/>
      <c r="AY157" s="315"/>
      <c r="AZ157" s="315"/>
      <c r="BA157" s="315"/>
      <c r="BB157" s="315"/>
      <c r="BC157" s="315"/>
      <c r="BD157" s="319"/>
      <c r="BE157" s="319"/>
      <c r="BF157" s="319"/>
      <c r="BG157" s="319"/>
      <c r="BH157" s="319"/>
      <c r="BI157" s="319"/>
      <c r="BJ157" s="319"/>
      <c r="BK157" s="315"/>
      <c r="BL157" s="316"/>
      <c r="BM157" s="314"/>
      <c r="BN157" s="319"/>
      <c r="BO157" s="315"/>
      <c r="BP157" s="314"/>
      <c r="BQ157" s="316"/>
      <c r="BR157" s="314"/>
      <c r="BS157" s="262"/>
      <c r="BT157" s="262"/>
    </row>
    <row r="158" spans="1:72" ht="45.75" customHeight="1">
      <c r="A158" s="342"/>
      <c r="B158" s="342"/>
      <c r="C158" s="342"/>
      <c r="D158" s="343"/>
      <c r="E158" s="342"/>
      <c r="F158" s="342"/>
      <c r="G158" s="344"/>
      <c r="H158" s="344"/>
      <c r="I158" s="344"/>
      <c r="J158" s="334"/>
      <c r="K158" s="335"/>
      <c r="L158" s="336"/>
      <c r="M158" s="336"/>
      <c r="N158" s="337"/>
      <c r="O158" s="337"/>
      <c r="P158" s="315"/>
      <c r="Q158" s="314"/>
      <c r="R158" s="317"/>
      <c r="S158" s="315"/>
      <c r="T158" s="315"/>
      <c r="U158" s="315"/>
      <c r="V158" s="258"/>
      <c r="W158" s="322"/>
      <c r="X158" s="318"/>
      <c r="Y158" s="315"/>
      <c r="Z158" s="318"/>
      <c r="AA158" s="314"/>
      <c r="AB158" s="336"/>
      <c r="AC158" s="314"/>
      <c r="AD158" s="316"/>
      <c r="AE158" s="315"/>
      <c r="AF158" s="315"/>
      <c r="AG158" s="315"/>
      <c r="AH158" s="315"/>
      <c r="AI158" s="377"/>
      <c r="AJ158" s="407"/>
      <c r="AK158" s="377"/>
      <c r="AL158" s="314"/>
      <c r="AM158" s="314"/>
      <c r="AN158" s="314"/>
      <c r="AO158" s="315"/>
      <c r="AP158" s="257"/>
      <c r="AQ158" s="257"/>
      <c r="AR158" s="257"/>
      <c r="AS158" s="315"/>
      <c r="AT158" s="257"/>
      <c r="AU158" s="257"/>
      <c r="AV158" s="316"/>
      <c r="AW158" s="314"/>
      <c r="AX158" s="315"/>
      <c r="AY158" s="315"/>
      <c r="AZ158" s="315"/>
      <c r="BA158" s="315"/>
      <c r="BB158" s="315"/>
      <c r="BC158" s="315"/>
      <c r="BD158" s="319"/>
      <c r="BE158" s="319"/>
      <c r="BF158" s="319"/>
      <c r="BG158" s="319"/>
      <c r="BH158" s="319"/>
      <c r="BI158" s="319"/>
      <c r="BJ158" s="319"/>
      <c r="BK158" s="315"/>
      <c r="BL158" s="316"/>
      <c r="BM158" s="314"/>
      <c r="BN158" s="319"/>
      <c r="BO158" s="315"/>
      <c r="BP158" s="314"/>
      <c r="BQ158" s="316"/>
      <c r="BR158" s="314"/>
      <c r="BS158" s="262"/>
      <c r="BT158" s="262"/>
    </row>
    <row r="159" spans="1:72" ht="45.75" customHeight="1">
      <c r="A159" s="342"/>
      <c r="B159" s="342"/>
      <c r="C159" s="342"/>
      <c r="D159" s="343"/>
      <c r="E159" s="342"/>
      <c r="F159" s="342"/>
      <c r="G159" s="344"/>
      <c r="H159" s="344"/>
      <c r="I159" s="344"/>
      <c r="J159" s="334"/>
      <c r="K159" s="335"/>
      <c r="L159" s="336"/>
      <c r="M159" s="336"/>
      <c r="N159" s="337"/>
      <c r="O159" s="337"/>
      <c r="P159" s="315"/>
      <c r="Q159" s="314"/>
      <c r="R159" s="317"/>
      <c r="S159" s="315"/>
      <c r="T159" s="315"/>
      <c r="U159" s="315"/>
      <c r="V159" s="258"/>
      <c r="W159" s="322"/>
      <c r="X159" s="318"/>
      <c r="Y159" s="315"/>
      <c r="Z159" s="318"/>
      <c r="AA159" s="314"/>
      <c r="AB159" s="336"/>
      <c r="AC159" s="314"/>
      <c r="AD159" s="316"/>
      <c r="AE159" s="315"/>
      <c r="AF159" s="315"/>
      <c r="AG159" s="315"/>
      <c r="AH159" s="315"/>
      <c r="AI159" s="377"/>
      <c r="AJ159" s="407"/>
      <c r="AK159" s="377"/>
      <c r="AL159" s="314"/>
      <c r="AM159" s="314"/>
      <c r="AN159" s="314"/>
      <c r="AO159" s="315"/>
      <c r="AP159" s="257"/>
      <c r="AQ159" s="257"/>
      <c r="AR159" s="257"/>
      <c r="AS159" s="315"/>
      <c r="AT159" s="257"/>
      <c r="AU159" s="257"/>
      <c r="AV159" s="316"/>
      <c r="AW159" s="314"/>
      <c r="AX159" s="315"/>
      <c r="AY159" s="315"/>
      <c r="AZ159" s="315"/>
      <c r="BA159" s="315"/>
      <c r="BB159" s="315"/>
      <c r="BC159" s="315"/>
      <c r="BD159" s="319"/>
      <c r="BE159" s="319"/>
      <c r="BF159" s="319"/>
      <c r="BG159" s="319"/>
      <c r="BH159" s="319"/>
      <c r="BI159" s="319"/>
      <c r="BJ159" s="319"/>
      <c r="BK159" s="315"/>
      <c r="BL159" s="316"/>
      <c r="BM159" s="314"/>
      <c r="BN159" s="319"/>
      <c r="BO159" s="315"/>
      <c r="BP159" s="314"/>
      <c r="BQ159" s="316"/>
      <c r="BR159" s="314"/>
      <c r="BS159" s="262"/>
      <c r="BT159" s="262"/>
    </row>
    <row r="160" spans="1:72" ht="45.75" customHeight="1">
      <c r="A160" s="342"/>
      <c r="B160" s="342"/>
      <c r="C160" s="342"/>
      <c r="D160" s="343"/>
      <c r="E160" s="342"/>
      <c r="F160" s="342"/>
      <c r="G160" s="344"/>
      <c r="H160" s="344"/>
      <c r="I160" s="344"/>
      <c r="J160" s="334"/>
      <c r="K160" s="335"/>
      <c r="L160" s="336"/>
      <c r="M160" s="336"/>
      <c r="N160" s="337"/>
      <c r="O160" s="337"/>
      <c r="P160" s="315"/>
      <c r="Q160" s="314"/>
      <c r="R160" s="317"/>
      <c r="S160" s="315"/>
      <c r="T160" s="315"/>
      <c r="U160" s="315"/>
      <c r="V160" s="258"/>
      <c r="W160" s="322"/>
      <c r="X160" s="318"/>
      <c r="Y160" s="315"/>
      <c r="Z160" s="318"/>
      <c r="AA160" s="314"/>
      <c r="AB160" s="336"/>
      <c r="AC160" s="314"/>
      <c r="AD160" s="316"/>
      <c r="AE160" s="315"/>
      <c r="AF160" s="315"/>
      <c r="AG160" s="315"/>
      <c r="AH160" s="315"/>
      <c r="AI160" s="377"/>
      <c r="AJ160" s="407"/>
      <c r="AK160" s="377"/>
      <c r="AL160" s="314"/>
      <c r="AM160" s="314"/>
      <c r="AN160" s="314"/>
      <c r="AO160" s="315"/>
      <c r="AP160" s="257"/>
      <c r="AQ160" s="257"/>
      <c r="AR160" s="257"/>
      <c r="AS160" s="315"/>
      <c r="AT160" s="257"/>
      <c r="AU160" s="257"/>
      <c r="AV160" s="316"/>
      <c r="AW160" s="314"/>
      <c r="AX160" s="315"/>
      <c r="AY160" s="315"/>
      <c r="AZ160" s="315"/>
      <c r="BA160" s="315"/>
      <c r="BB160" s="315"/>
      <c r="BC160" s="315"/>
      <c r="BD160" s="319"/>
      <c r="BE160" s="319"/>
      <c r="BF160" s="319"/>
      <c r="BG160" s="319"/>
      <c r="BH160" s="319"/>
      <c r="BI160" s="319"/>
      <c r="BJ160" s="319"/>
      <c r="BK160" s="315"/>
      <c r="BL160" s="316"/>
      <c r="BM160" s="314"/>
      <c r="BN160" s="319"/>
      <c r="BO160" s="315"/>
      <c r="BP160" s="314"/>
      <c r="BQ160" s="316"/>
      <c r="BR160" s="314"/>
      <c r="BS160" s="262"/>
      <c r="BT160" s="262"/>
    </row>
    <row r="161" spans="1:72" ht="45.75" customHeight="1">
      <c r="A161" s="342"/>
      <c r="B161" s="342"/>
      <c r="C161" s="342"/>
      <c r="D161" s="343"/>
      <c r="E161" s="342"/>
      <c r="F161" s="342"/>
      <c r="G161" s="344"/>
      <c r="H161" s="344"/>
      <c r="I161" s="344"/>
      <c r="J161" s="334"/>
      <c r="K161" s="335"/>
      <c r="L161" s="336"/>
      <c r="M161" s="336"/>
      <c r="N161" s="337"/>
      <c r="O161" s="337"/>
      <c r="P161" s="315"/>
      <c r="Q161" s="314"/>
      <c r="R161" s="317"/>
      <c r="S161" s="315"/>
      <c r="T161" s="315"/>
      <c r="U161" s="315"/>
      <c r="V161" s="258"/>
      <c r="W161" s="322"/>
      <c r="X161" s="318"/>
      <c r="Y161" s="315"/>
      <c r="Z161" s="318"/>
      <c r="AA161" s="314"/>
      <c r="AB161" s="336"/>
      <c r="AC161" s="314"/>
      <c r="AD161" s="316"/>
      <c r="AE161" s="315"/>
      <c r="AF161" s="315"/>
      <c r="AG161" s="315"/>
      <c r="AH161" s="315"/>
      <c r="AI161" s="377"/>
      <c r="AJ161" s="407"/>
      <c r="AK161" s="377"/>
      <c r="AL161" s="314"/>
      <c r="AM161" s="314"/>
      <c r="AN161" s="314"/>
      <c r="AO161" s="315"/>
      <c r="AP161" s="257"/>
      <c r="AQ161" s="257"/>
      <c r="AR161" s="257"/>
      <c r="AS161" s="315"/>
      <c r="AT161" s="257"/>
      <c r="AU161" s="257"/>
      <c r="AV161" s="316"/>
      <c r="AW161" s="314"/>
      <c r="AX161" s="315"/>
      <c r="AY161" s="315"/>
      <c r="AZ161" s="315"/>
      <c r="BA161" s="315"/>
      <c r="BB161" s="315"/>
      <c r="BC161" s="315"/>
      <c r="BD161" s="319"/>
      <c r="BE161" s="319"/>
      <c r="BF161" s="319"/>
      <c r="BG161" s="319"/>
      <c r="BH161" s="319"/>
      <c r="BI161" s="319"/>
      <c r="BJ161" s="319"/>
      <c r="BK161" s="315"/>
      <c r="BL161" s="316"/>
      <c r="BM161" s="314"/>
      <c r="BN161" s="319"/>
      <c r="BO161" s="315"/>
      <c r="BP161" s="314"/>
      <c r="BQ161" s="316"/>
      <c r="BR161" s="314"/>
      <c r="BS161" s="262"/>
      <c r="BT161" s="262"/>
    </row>
    <row r="162" spans="1:72" ht="45.75" customHeight="1">
      <c r="A162" s="342"/>
      <c r="B162" s="342"/>
      <c r="C162" s="342"/>
      <c r="D162" s="343"/>
      <c r="E162" s="342"/>
      <c r="F162" s="342"/>
      <c r="G162" s="344"/>
      <c r="H162" s="344"/>
      <c r="I162" s="344"/>
      <c r="J162" s="334"/>
      <c r="K162" s="335"/>
      <c r="L162" s="336"/>
      <c r="M162" s="336"/>
      <c r="N162" s="337"/>
      <c r="O162" s="337"/>
      <c r="P162" s="315"/>
      <c r="Q162" s="314"/>
      <c r="R162" s="317"/>
      <c r="S162" s="315"/>
      <c r="T162" s="315"/>
      <c r="U162" s="315"/>
      <c r="V162" s="258"/>
      <c r="W162" s="322"/>
      <c r="X162" s="318"/>
      <c r="Y162" s="315"/>
      <c r="Z162" s="318"/>
      <c r="AA162" s="314"/>
      <c r="AB162" s="336"/>
      <c r="AC162" s="314"/>
      <c r="AD162" s="316"/>
      <c r="AE162" s="315"/>
      <c r="AF162" s="315"/>
      <c r="AG162" s="315"/>
      <c r="AH162" s="315"/>
      <c r="AI162" s="377"/>
      <c r="AJ162" s="407"/>
      <c r="AK162" s="377"/>
      <c r="AL162" s="314"/>
      <c r="AM162" s="314"/>
      <c r="AN162" s="314"/>
      <c r="AO162" s="315"/>
      <c r="AP162" s="257"/>
      <c r="AQ162" s="257"/>
      <c r="AR162" s="257"/>
      <c r="AS162" s="315"/>
      <c r="AT162" s="257"/>
      <c r="AU162" s="257"/>
      <c r="AV162" s="316"/>
      <c r="AW162" s="314"/>
      <c r="AX162" s="315"/>
      <c r="AY162" s="315"/>
      <c r="AZ162" s="315"/>
      <c r="BA162" s="315"/>
      <c r="BB162" s="315"/>
      <c r="BC162" s="315"/>
      <c r="BD162" s="319"/>
      <c r="BE162" s="319"/>
      <c r="BF162" s="319"/>
      <c r="BG162" s="319"/>
      <c r="BH162" s="319"/>
      <c r="BI162" s="319"/>
      <c r="BJ162" s="319"/>
      <c r="BK162" s="315"/>
      <c r="BL162" s="316"/>
      <c r="BM162" s="314"/>
      <c r="BN162" s="319"/>
      <c r="BO162" s="315"/>
      <c r="BP162" s="314"/>
      <c r="BQ162" s="316"/>
      <c r="BR162" s="314"/>
      <c r="BS162" s="262"/>
      <c r="BT162" s="262"/>
    </row>
    <row r="163" spans="1:72" ht="45.75" customHeight="1">
      <c r="A163" s="342"/>
      <c r="B163" s="342"/>
      <c r="C163" s="342"/>
      <c r="D163" s="343"/>
      <c r="E163" s="342"/>
      <c r="F163" s="342"/>
      <c r="G163" s="344"/>
      <c r="H163" s="344"/>
      <c r="I163" s="344"/>
      <c r="J163" s="334"/>
      <c r="K163" s="335"/>
      <c r="L163" s="336"/>
      <c r="M163" s="336"/>
      <c r="N163" s="337"/>
      <c r="O163" s="337"/>
      <c r="P163" s="315"/>
      <c r="Q163" s="314"/>
      <c r="R163" s="317"/>
      <c r="S163" s="315"/>
      <c r="T163" s="315"/>
      <c r="U163" s="315"/>
      <c r="V163" s="258"/>
      <c r="W163" s="322"/>
      <c r="X163" s="318"/>
      <c r="Y163" s="315"/>
      <c r="Z163" s="318"/>
      <c r="AA163" s="314"/>
      <c r="AB163" s="336"/>
      <c r="AC163" s="314"/>
      <c r="AD163" s="316"/>
      <c r="AE163" s="315"/>
      <c r="AF163" s="315"/>
      <c r="AG163" s="315"/>
      <c r="AH163" s="315"/>
      <c r="AI163" s="377"/>
      <c r="AJ163" s="407"/>
      <c r="AK163" s="377"/>
      <c r="AL163" s="314"/>
      <c r="AM163" s="314"/>
      <c r="AN163" s="314"/>
      <c r="AO163" s="315"/>
      <c r="AP163" s="257"/>
      <c r="AQ163" s="257"/>
      <c r="AR163" s="257"/>
      <c r="AS163" s="315"/>
      <c r="AT163" s="257"/>
      <c r="AU163" s="257"/>
      <c r="AV163" s="316"/>
      <c r="AW163" s="314"/>
      <c r="AX163" s="315"/>
      <c r="AY163" s="315"/>
      <c r="AZ163" s="315"/>
      <c r="BA163" s="315"/>
      <c r="BB163" s="315"/>
      <c r="BC163" s="315"/>
      <c r="BD163" s="319"/>
      <c r="BE163" s="319"/>
      <c r="BF163" s="319"/>
      <c r="BG163" s="319"/>
      <c r="BH163" s="319"/>
      <c r="BI163" s="319"/>
      <c r="BJ163" s="319"/>
      <c r="BK163" s="315"/>
      <c r="BL163" s="316"/>
      <c r="BM163" s="314"/>
      <c r="BN163" s="319"/>
      <c r="BO163" s="315"/>
      <c r="BP163" s="314"/>
      <c r="BQ163" s="316"/>
      <c r="BR163" s="314"/>
      <c r="BS163" s="262"/>
      <c r="BT163" s="262"/>
    </row>
    <row r="164" spans="1:72" ht="45.75" customHeight="1">
      <c r="A164" s="342"/>
      <c r="B164" s="342"/>
      <c r="C164" s="342"/>
      <c r="D164" s="343"/>
      <c r="E164" s="342"/>
      <c r="F164" s="342"/>
      <c r="G164" s="344"/>
      <c r="H164" s="344"/>
      <c r="I164" s="344"/>
      <c r="J164" s="334"/>
      <c r="K164" s="335"/>
      <c r="L164" s="336"/>
      <c r="M164" s="336"/>
      <c r="N164" s="337"/>
      <c r="O164" s="337"/>
      <c r="P164" s="315"/>
      <c r="Q164" s="314"/>
      <c r="R164" s="317"/>
      <c r="S164" s="315"/>
      <c r="T164" s="315"/>
      <c r="U164" s="315"/>
      <c r="V164" s="258"/>
      <c r="W164" s="322"/>
      <c r="X164" s="318"/>
      <c r="Y164" s="315"/>
      <c r="Z164" s="318"/>
      <c r="AA164" s="314"/>
      <c r="AB164" s="336"/>
      <c r="AC164" s="314"/>
      <c r="AD164" s="316"/>
      <c r="AE164" s="315"/>
      <c r="AF164" s="315"/>
      <c r="AG164" s="315"/>
      <c r="AH164" s="315"/>
      <c r="AI164" s="377"/>
      <c r="AJ164" s="407"/>
      <c r="AK164" s="377"/>
      <c r="AL164" s="314"/>
      <c r="AM164" s="314"/>
      <c r="AN164" s="314"/>
      <c r="AO164" s="315"/>
      <c r="AP164" s="257"/>
      <c r="AQ164" s="257"/>
      <c r="AR164" s="257"/>
      <c r="AS164" s="315"/>
      <c r="AT164" s="257"/>
      <c r="AU164" s="257"/>
      <c r="AV164" s="316"/>
      <c r="AW164" s="314"/>
      <c r="AX164" s="315"/>
      <c r="AY164" s="315"/>
      <c r="AZ164" s="315"/>
      <c r="BA164" s="315"/>
      <c r="BB164" s="315"/>
      <c r="BC164" s="315"/>
      <c r="BD164" s="319"/>
      <c r="BE164" s="319"/>
      <c r="BF164" s="319"/>
      <c r="BG164" s="319"/>
      <c r="BH164" s="319"/>
      <c r="BI164" s="319"/>
      <c r="BJ164" s="319"/>
      <c r="BK164" s="315"/>
      <c r="BL164" s="316"/>
      <c r="BM164" s="314"/>
      <c r="BN164" s="319"/>
      <c r="BO164" s="315"/>
      <c r="BP164" s="314"/>
      <c r="BQ164" s="316"/>
      <c r="BR164" s="314"/>
      <c r="BS164" s="262"/>
      <c r="BT164" s="262"/>
    </row>
    <row r="165" spans="1:72" ht="45.75" customHeight="1">
      <c r="A165" s="342"/>
      <c r="B165" s="342"/>
      <c r="C165" s="342"/>
      <c r="D165" s="343"/>
      <c r="E165" s="342"/>
      <c r="F165" s="342"/>
      <c r="G165" s="344"/>
      <c r="H165" s="344"/>
      <c r="I165" s="344"/>
      <c r="J165" s="334"/>
      <c r="K165" s="335"/>
      <c r="L165" s="336"/>
      <c r="M165" s="336"/>
      <c r="N165" s="337"/>
      <c r="O165" s="337"/>
      <c r="P165" s="315"/>
      <c r="Q165" s="314"/>
      <c r="R165" s="317"/>
      <c r="S165" s="315"/>
      <c r="T165" s="315"/>
      <c r="U165" s="315"/>
      <c r="V165" s="258"/>
      <c r="W165" s="322"/>
      <c r="X165" s="318"/>
      <c r="Y165" s="315"/>
      <c r="Z165" s="318"/>
      <c r="AA165" s="314"/>
      <c r="AB165" s="336"/>
      <c r="AC165" s="314"/>
      <c r="AD165" s="316"/>
      <c r="AE165" s="315"/>
      <c r="AF165" s="315"/>
      <c r="AG165" s="315"/>
      <c r="AH165" s="315"/>
      <c r="AI165" s="377"/>
      <c r="AJ165" s="407"/>
      <c r="AK165" s="377"/>
      <c r="AL165" s="314"/>
      <c r="AM165" s="314"/>
      <c r="AN165" s="314"/>
      <c r="AO165" s="315"/>
      <c r="AP165" s="257"/>
      <c r="AQ165" s="257"/>
      <c r="AR165" s="257"/>
      <c r="AS165" s="315"/>
      <c r="AT165" s="257"/>
      <c r="AU165" s="257"/>
      <c r="AV165" s="316"/>
      <c r="AW165" s="314"/>
      <c r="AX165" s="315"/>
      <c r="AY165" s="315"/>
      <c r="AZ165" s="315"/>
      <c r="BA165" s="315"/>
      <c r="BB165" s="315"/>
      <c r="BC165" s="315"/>
      <c r="BD165" s="319"/>
      <c r="BE165" s="319"/>
      <c r="BF165" s="319"/>
      <c r="BG165" s="319"/>
      <c r="BH165" s="319"/>
      <c r="BI165" s="319"/>
      <c r="BJ165" s="319"/>
      <c r="BK165" s="315"/>
      <c r="BL165" s="316"/>
      <c r="BM165" s="314"/>
      <c r="BN165" s="319"/>
      <c r="BO165" s="315"/>
      <c r="BP165" s="314"/>
      <c r="BQ165" s="316"/>
      <c r="BR165" s="314"/>
      <c r="BS165" s="262"/>
      <c r="BT165" s="262"/>
    </row>
    <row r="166" spans="1:72" ht="45.75" customHeight="1">
      <c r="A166" s="342"/>
      <c r="B166" s="342"/>
      <c r="C166" s="342"/>
      <c r="D166" s="343"/>
      <c r="E166" s="342"/>
      <c r="F166" s="342"/>
      <c r="G166" s="344"/>
      <c r="H166" s="344"/>
      <c r="I166" s="344"/>
      <c r="J166" s="334"/>
      <c r="K166" s="335"/>
      <c r="L166" s="336"/>
      <c r="M166" s="336"/>
      <c r="N166" s="337"/>
      <c r="O166" s="337"/>
      <c r="P166" s="315"/>
      <c r="Q166" s="314"/>
      <c r="R166" s="317"/>
      <c r="S166" s="315"/>
      <c r="T166" s="315"/>
      <c r="U166" s="315"/>
      <c r="V166" s="258"/>
      <c r="W166" s="322"/>
      <c r="X166" s="318"/>
      <c r="Y166" s="315"/>
      <c r="Z166" s="318"/>
      <c r="AA166" s="314"/>
      <c r="AB166" s="336"/>
      <c r="AC166" s="314"/>
      <c r="AD166" s="316"/>
      <c r="AE166" s="315"/>
      <c r="AF166" s="315"/>
      <c r="AG166" s="315"/>
      <c r="AH166" s="315"/>
      <c r="AI166" s="377"/>
      <c r="AJ166" s="407"/>
      <c r="AK166" s="377"/>
      <c r="AL166" s="314"/>
      <c r="AM166" s="314"/>
      <c r="AN166" s="314"/>
      <c r="AO166" s="315"/>
      <c r="AP166" s="257"/>
      <c r="AQ166" s="257"/>
      <c r="AR166" s="257"/>
      <c r="AS166" s="315"/>
      <c r="AT166" s="257"/>
      <c r="AU166" s="257"/>
      <c r="AV166" s="316"/>
      <c r="AW166" s="314"/>
      <c r="AX166" s="315"/>
      <c r="AY166" s="315"/>
      <c r="AZ166" s="315"/>
      <c r="BA166" s="315"/>
      <c r="BB166" s="315"/>
      <c r="BC166" s="315"/>
      <c r="BD166" s="319"/>
      <c r="BE166" s="319"/>
      <c r="BF166" s="319"/>
      <c r="BG166" s="319"/>
      <c r="BH166" s="319"/>
      <c r="BI166" s="319"/>
      <c r="BJ166" s="319"/>
      <c r="BK166" s="315"/>
      <c r="BL166" s="316"/>
      <c r="BM166" s="314"/>
      <c r="BN166" s="319"/>
      <c r="BO166" s="315"/>
      <c r="BP166" s="314"/>
      <c r="BQ166" s="316"/>
      <c r="BR166" s="314"/>
      <c r="BS166" s="262"/>
      <c r="BT166" s="262"/>
    </row>
    <row r="167" spans="1:72" ht="45.75" customHeight="1">
      <c r="A167" s="342"/>
      <c r="B167" s="342"/>
      <c r="C167" s="342"/>
      <c r="D167" s="343"/>
      <c r="E167" s="342"/>
      <c r="F167" s="342"/>
      <c r="G167" s="344"/>
      <c r="H167" s="344"/>
      <c r="I167" s="344"/>
      <c r="J167" s="334"/>
      <c r="K167" s="335"/>
      <c r="L167" s="336"/>
      <c r="M167" s="336"/>
      <c r="N167" s="337"/>
      <c r="O167" s="337"/>
      <c r="P167" s="315"/>
      <c r="Q167" s="314"/>
      <c r="R167" s="317"/>
      <c r="S167" s="315"/>
      <c r="T167" s="315"/>
      <c r="U167" s="315"/>
      <c r="V167" s="258"/>
      <c r="W167" s="322"/>
      <c r="X167" s="318"/>
      <c r="Y167" s="315"/>
      <c r="Z167" s="318"/>
      <c r="AA167" s="314"/>
      <c r="AB167" s="336"/>
      <c r="AC167" s="314"/>
      <c r="AD167" s="316"/>
      <c r="AE167" s="315"/>
      <c r="AF167" s="315"/>
      <c r="AG167" s="315"/>
      <c r="AH167" s="315"/>
      <c r="AI167" s="377"/>
      <c r="AJ167" s="407"/>
      <c r="AK167" s="377"/>
      <c r="AL167" s="314"/>
      <c r="AM167" s="314"/>
      <c r="AN167" s="314"/>
      <c r="AO167" s="315"/>
      <c r="AP167" s="257"/>
      <c r="AQ167" s="257"/>
      <c r="AR167" s="257"/>
      <c r="AS167" s="315"/>
      <c r="AT167" s="257"/>
      <c r="AU167" s="257"/>
      <c r="AV167" s="316"/>
      <c r="AW167" s="314"/>
      <c r="AX167" s="315"/>
      <c r="AY167" s="315"/>
      <c r="AZ167" s="315"/>
      <c r="BA167" s="315"/>
      <c r="BB167" s="315"/>
      <c r="BC167" s="315"/>
      <c r="BD167" s="319"/>
      <c r="BE167" s="319"/>
      <c r="BF167" s="319"/>
      <c r="BG167" s="319"/>
      <c r="BH167" s="319"/>
      <c r="BI167" s="319"/>
      <c r="BJ167" s="319"/>
      <c r="BK167" s="315"/>
      <c r="BL167" s="316"/>
      <c r="BM167" s="314"/>
      <c r="BN167" s="319"/>
      <c r="BO167" s="315"/>
      <c r="BP167" s="314"/>
      <c r="BQ167" s="316"/>
      <c r="BR167" s="314"/>
      <c r="BS167" s="262"/>
      <c r="BT167" s="262"/>
    </row>
    <row r="168" spans="1:72" ht="45.75" customHeight="1">
      <c r="A168" s="342"/>
      <c r="B168" s="342"/>
      <c r="C168" s="342"/>
      <c r="D168" s="343"/>
      <c r="E168" s="342"/>
      <c r="F168" s="342"/>
      <c r="G168" s="344"/>
      <c r="H168" s="344"/>
      <c r="I168" s="344"/>
      <c r="J168" s="334"/>
      <c r="K168" s="335"/>
      <c r="L168" s="336"/>
      <c r="M168" s="336"/>
      <c r="N168" s="337"/>
      <c r="O168" s="337"/>
      <c r="P168" s="315"/>
      <c r="Q168" s="314"/>
      <c r="R168" s="317"/>
      <c r="S168" s="315"/>
      <c r="T168" s="315"/>
      <c r="U168" s="315"/>
      <c r="V168" s="258"/>
      <c r="W168" s="322"/>
      <c r="X168" s="318"/>
      <c r="Y168" s="315"/>
      <c r="Z168" s="318"/>
      <c r="AA168" s="314"/>
      <c r="AB168" s="336"/>
      <c r="AC168" s="314"/>
      <c r="AD168" s="316"/>
      <c r="AE168" s="315"/>
      <c r="AF168" s="315"/>
      <c r="AG168" s="315"/>
      <c r="AH168" s="315"/>
      <c r="AI168" s="377"/>
      <c r="AJ168" s="407"/>
      <c r="AK168" s="377"/>
      <c r="AL168" s="314"/>
      <c r="AM168" s="314"/>
      <c r="AN168" s="314"/>
      <c r="AO168" s="315"/>
      <c r="AP168" s="257"/>
      <c r="AQ168" s="257"/>
      <c r="AR168" s="257"/>
      <c r="AS168" s="315"/>
      <c r="AT168" s="257"/>
      <c r="AU168" s="257"/>
      <c r="AV168" s="316"/>
      <c r="AW168" s="314"/>
      <c r="AX168" s="315"/>
      <c r="AY168" s="315"/>
      <c r="AZ168" s="315"/>
      <c r="BA168" s="315"/>
      <c r="BB168" s="315"/>
      <c r="BC168" s="315"/>
      <c r="BD168" s="319"/>
      <c r="BE168" s="319"/>
      <c r="BF168" s="319"/>
      <c r="BG168" s="319"/>
      <c r="BH168" s="319"/>
      <c r="BI168" s="319"/>
      <c r="BJ168" s="319"/>
      <c r="BK168" s="315"/>
      <c r="BL168" s="316"/>
      <c r="BM168" s="314"/>
      <c r="BN168" s="319"/>
      <c r="BO168" s="315"/>
      <c r="BP168" s="314"/>
      <c r="BQ168" s="316"/>
      <c r="BR168" s="314"/>
      <c r="BS168" s="262"/>
      <c r="BT168" s="262"/>
    </row>
    <row r="169" spans="1:72" ht="45.75" customHeight="1">
      <c r="A169" s="342"/>
      <c r="B169" s="342"/>
      <c r="C169" s="342"/>
      <c r="D169" s="343"/>
      <c r="E169" s="342"/>
      <c r="F169" s="342"/>
      <c r="G169" s="344"/>
      <c r="H169" s="344"/>
      <c r="I169" s="344"/>
      <c r="J169" s="334"/>
      <c r="K169" s="335"/>
      <c r="L169" s="336"/>
      <c r="M169" s="336"/>
      <c r="N169" s="337"/>
      <c r="O169" s="337"/>
      <c r="P169" s="315"/>
      <c r="Q169" s="314"/>
      <c r="R169" s="317"/>
      <c r="S169" s="315"/>
      <c r="T169" s="315"/>
      <c r="U169" s="315"/>
      <c r="V169" s="258"/>
      <c r="W169" s="322"/>
      <c r="X169" s="318"/>
      <c r="Y169" s="315"/>
      <c r="Z169" s="318"/>
      <c r="AA169" s="314"/>
      <c r="AB169" s="336"/>
      <c r="AC169" s="314"/>
      <c r="AD169" s="316"/>
      <c r="AE169" s="315"/>
      <c r="AF169" s="315"/>
      <c r="AG169" s="315"/>
      <c r="AH169" s="315"/>
      <c r="AI169" s="377"/>
      <c r="AJ169" s="407"/>
      <c r="AK169" s="377"/>
      <c r="AL169" s="314"/>
      <c r="AM169" s="314"/>
      <c r="AN169" s="314"/>
      <c r="AO169" s="315"/>
      <c r="AP169" s="257"/>
      <c r="AQ169" s="257"/>
      <c r="AR169" s="257"/>
      <c r="AS169" s="315"/>
      <c r="AT169" s="257"/>
      <c r="AU169" s="257"/>
      <c r="AV169" s="316"/>
      <c r="AW169" s="314"/>
      <c r="AX169" s="315"/>
      <c r="AY169" s="315"/>
      <c r="AZ169" s="315"/>
      <c r="BA169" s="315"/>
      <c r="BB169" s="315"/>
      <c r="BC169" s="315"/>
      <c r="BD169" s="319"/>
      <c r="BE169" s="319"/>
      <c r="BF169" s="319"/>
      <c r="BG169" s="319"/>
      <c r="BH169" s="319"/>
      <c r="BI169" s="319"/>
      <c r="BJ169" s="319"/>
      <c r="BK169" s="315"/>
      <c r="BL169" s="316"/>
      <c r="BM169" s="314"/>
      <c r="BN169" s="319"/>
      <c r="BO169" s="315"/>
      <c r="BP169" s="314"/>
      <c r="BQ169" s="316"/>
      <c r="BR169" s="314"/>
      <c r="BS169" s="262"/>
      <c r="BT169" s="262"/>
    </row>
    <row r="170" spans="1:72" ht="45.75" customHeight="1">
      <c r="A170" s="342"/>
      <c r="B170" s="342"/>
      <c r="C170" s="342"/>
      <c r="D170" s="343"/>
      <c r="E170" s="342"/>
      <c r="F170" s="342"/>
      <c r="G170" s="344"/>
      <c r="H170" s="344"/>
      <c r="I170" s="344"/>
      <c r="J170" s="334"/>
      <c r="K170" s="335"/>
      <c r="L170" s="336"/>
      <c r="M170" s="336"/>
      <c r="N170" s="337"/>
      <c r="O170" s="337"/>
      <c r="P170" s="315"/>
      <c r="Q170" s="314"/>
      <c r="R170" s="317"/>
      <c r="S170" s="315"/>
      <c r="T170" s="315"/>
      <c r="U170" s="315"/>
      <c r="V170" s="258"/>
      <c r="W170" s="322"/>
      <c r="X170" s="318"/>
      <c r="Y170" s="315"/>
      <c r="Z170" s="318"/>
      <c r="AA170" s="314"/>
      <c r="AB170" s="336"/>
      <c r="AC170" s="314"/>
      <c r="AD170" s="316"/>
      <c r="AE170" s="315"/>
      <c r="AF170" s="315"/>
      <c r="AG170" s="315"/>
      <c r="AH170" s="315"/>
      <c r="AI170" s="377"/>
      <c r="AJ170" s="407"/>
      <c r="AK170" s="377"/>
      <c r="AL170" s="314"/>
      <c r="AM170" s="314"/>
      <c r="AN170" s="314"/>
      <c r="AO170" s="315"/>
      <c r="AP170" s="257"/>
      <c r="AQ170" s="257"/>
      <c r="AR170" s="257"/>
      <c r="AS170" s="315"/>
      <c r="AT170" s="257"/>
      <c r="AU170" s="257"/>
      <c r="AV170" s="316"/>
      <c r="AW170" s="314"/>
      <c r="AX170" s="315"/>
      <c r="AY170" s="315"/>
      <c r="AZ170" s="315"/>
      <c r="BA170" s="315"/>
      <c r="BB170" s="315"/>
      <c r="BC170" s="315"/>
      <c r="BD170" s="319"/>
      <c r="BE170" s="319"/>
      <c r="BF170" s="319"/>
      <c r="BG170" s="319"/>
      <c r="BH170" s="319"/>
      <c r="BI170" s="319"/>
      <c r="BJ170" s="319"/>
      <c r="BK170" s="315"/>
      <c r="BL170" s="316"/>
      <c r="BM170" s="314"/>
      <c r="BN170" s="319"/>
      <c r="BO170" s="315"/>
      <c r="BP170" s="314"/>
      <c r="BQ170" s="316"/>
      <c r="BR170" s="314"/>
      <c r="BS170" s="262"/>
      <c r="BT170" s="262"/>
    </row>
    <row r="171" spans="1:72" ht="45.75" customHeight="1">
      <c r="A171" s="342"/>
      <c r="B171" s="342"/>
      <c r="C171" s="342"/>
      <c r="D171" s="343"/>
      <c r="E171" s="342"/>
      <c r="F171" s="342"/>
      <c r="G171" s="344"/>
      <c r="H171" s="344"/>
      <c r="I171" s="344"/>
      <c r="J171" s="334"/>
      <c r="K171" s="335"/>
      <c r="L171" s="336"/>
      <c r="M171" s="336"/>
      <c r="N171" s="337"/>
      <c r="O171" s="337"/>
      <c r="P171" s="315"/>
      <c r="Q171" s="314"/>
      <c r="R171" s="317"/>
      <c r="S171" s="315"/>
      <c r="T171" s="315"/>
      <c r="U171" s="315"/>
      <c r="V171" s="258"/>
      <c r="W171" s="322"/>
      <c r="X171" s="318"/>
      <c r="Y171" s="315"/>
      <c r="Z171" s="318"/>
      <c r="AA171" s="314"/>
      <c r="AB171" s="336"/>
      <c r="AC171" s="314"/>
      <c r="AD171" s="316"/>
      <c r="AE171" s="315"/>
      <c r="AF171" s="315"/>
      <c r="AG171" s="315"/>
      <c r="AH171" s="315"/>
      <c r="AI171" s="377"/>
      <c r="AJ171" s="407"/>
      <c r="AK171" s="377"/>
      <c r="AL171" s="314"/>
      <c r="AM171" s="314"/>
      <c r="AN171" s="314"/>
      <c r="AO171" s="315"/>
      <c r="AP171" s="257"/>
      <c r="AQ171" s="257"/>
      <c r="AR171" s="257"/>
      <c r="AS171" s="315"/>
      <c r="AT171" s="257"/>
      <c r="AU171" s="257"/>
      <c r="AV171" s="316"/>
      <c r="AW171" s="314"/>
      <c r="AX171" s="315"/>
      <c r="AY171" s="315"/>
      <c r="AZ171" s="315"/>
      <c r="BA171" s="315"/>
      <c r="BB171" s="315"/>
      <c r="BC171" s="315"/>
      <c r="BD171" s="319"/>
      <c r="BE171" s="319"/>
      <c r="BF171" s="319"/>
      <c r="BG171" s="319"/>
      <c r="BH171" s="319"/>
      <c r="BI171" s="319"/>
      <c r="BJ171" s="319"/>
      <c r="BK171" s="315"/>
      <c r="BL171" s="316"/>
      <c r="BM171" s="314"/>
      <c r="BN171" s="319"/>
      <c r="BO171" s="315"/>
      <c r="BP171" s="314"/>
      <c r="BQ171" s="316"/>
      <c r="BR171" s="314"/>
      <c r="BS171" s="262"/>
      <c r="BT171" s="262"/>
    </row>
    <row r="172" spans="1:72" ht="45.75" customHeight="1">
      <c r="A172" s="342"/>
      <c r="B172" s="342"/>
      <c r="C172" s="342"/>
      <c r="D172" s="343"/>
      <c r="E172" s="342"/>
      <c r="F172" s="342"/>
      <c r="G172" s="344"/>
      <c r="H172" s="344"/>
      <c r="I172" s="344"/>
      <c r="J172" s="334"/>
      <c r="K172" s="335"/>
      <c r="L172" s="336"/>
      <c r="M172" s="336"/>
      <c r="N172" s="337"/>
      <c r="O172" s="337"/>
      <c r="P172" s="315"/>
      <c r="Q172" s="314"/>
      <c r="R172" s="317"/>
      <c r="S172" s="315"/>
      <c r="T172" s="315"/>
      <c r="U172" s="315"/>
      <c r="V172" s="258"/>
      <c r="W172" s="322"/>
      <c r="X172" s="318"/>
      <c r="Y172" s="315"/>
      <c r="Z172" s="318"/>
      <c r="AA172" s="314"/>
      <c r="AB172" s="336"/>
      <c r="AC172" s="314"/>
      <c r="AD172" s="316"/>
      <c r="AE172" s="315"/>
      <c r="AF172" s="315"/>
      <c r="AG172" s="315"/>
      <c r="AH172" s="315"/>
      <c r="AI172" s="377"/>
      <c r="AJ172" s="407"/>
      <c r="AK172" s="377"/>
      <c r="AL172" s="314"/>
      <c r="AM172" s="314"/>
      <c r="AN172" s="314"/>
      <c r="AO172" s="315"/>
      <c r="AP172" s="257"/>
      <c r="AQ172" s="257"/>
      <c r="AR172" s="257"/>
      <c r="AS172" s="315"/>
      <c r="AT172" s="257"/>
      <c r="AU172" s="257"/>
      <c r="AV172" s="316"/>
      <c r="AW172" s="314"/>
      <c r="AX172" s="315"/>
      <c r="AY172" s="315"/>
      <c r="AZ172" s="315"/>
      <c r="BA172" s="315"/>
      <c r="BB172" s="315"/>
      <c r="BC172" s="315"/>
      <c r="BD172" s="319"/>
      <c r="BE172" s="319"/>
      <c r="BF172" s="319"/>
      <c r="BG172" s="319"/>
      <c r="BH172" s="319"/>
      <c r="BI172" s="319"/>
      <c r="BJ172" s="319"/>
      <c r="BK172" s="315"/>
      <c r="BL172" s="316"/>
      <c r="BM172" s="314"/>
      <c r="BN172" s="319"/>
      <c r="BO172" s="315"/>
      <c r="BP172" s="314"/>
      <c r="BQ172" s="316"/>
      <c r="BR172" s="314"/>
      <c r="BS172" s="262"/>
      <c r="BT172" s="262"/>
    </row>
    <row r="173" spans="1:72" ht="45.75" customHeight="1">
      <c r="A173" s="342"/>
      <c r="B173" s="342"/>
      <c r="C173" s="342"/>
      <c r="D173" s="343"/>
      <c r="E173" s="342"/>
      <c r="F173" s="342"/>
      <c r="G173" s="344"/>
      <c r="H173" s="344"/>
      <c r="I173" s="344"/>
      <c r="J173" s="334"/>
      <c r="K173" s="335"/>
      <c r="L173" s="336"/>
      <c r="M173" s="336"/>
      <c r="N173" s="337"/>
      <c r="O173" s="337"/>
      <c r="P173" s="315"/>
      <c r="Q173" s="314"/>
      <c r="R173" s="317"/>
      <c r="S173" s="315"/>
      <c r="T173" s="315"/>
      <c r="U173" s="315"/>
      <c r="V173" s="258"/>
      <c r="W173" s="322"/>
      <c r="X173" s="318"/>
      <c r="Y173" s="315"/>
      <c r="Z173" s="318"/>
      <c r="AA173" s="314"/>
      <c r="AB173" s="336"/>
      <c r="AC173" s="314"/>
      <c r="AD173" s="316"/>
      <c r="AE173" s="315"/>
      <c r="AF173" s="315"/>
      <c r="AG173" s="315"/>
      <c r="AH173" s="315"/>
      <c r="AI173" s="377"/>
      <c r="AJ173" s="407"/>
      <c r="AK173" s="377"/>
      <c r="AL173" s="314"/>
      <c r="AM173" s="314"/>
      <c r="AN173" s="314"/>
      <c r="AO173" s="315"/>
      <c r="AP173" s="257"/>
      <c r="AQ173" s="257"/>
      <c r="AR173" s="257"/>
      <c r="AS173" s="315"/>
      <c r="AT173" s="257"/>
      <c r="AU173" s="257"/>
      <c r="AV173" s="316"/>
      <c r="AW173" s="314"/>
      <c r="AX173" s="315"/>
      <c r="AY173" s="315"/>
      <c r="AZ173" s="315"/>
      <c r="BA173" s="315"/>
      <c r="BB173" s="315"/>
      <c r="BC173" s="315"/>
      <c r="BD173" s="319"/>
      <c r="BE173" s="319"/>
      <c r="BF173" s="319"/>
      <c r="BG173" s="319"/>
      <c r="BH173" s="319"/>
      <c r="BI173" s="319"/>
      <c r="BJ173" s="319"/>
      <c r="BK173" s="315"/>
      <c r="BL173" s="316"/>
      <c r="BM173" s="314"/>
      <c r="BN173" s="319"/>
      <c r="BO173" s="315"/>
      <c r="BP173" s="314"/>
      <c r="BQ173" s="316"/>
      <c r="BR173" s="314"/>
      <c r="BS173" s="262"/>
      <c r="BT173" s="262"/>
    </row>
    <row r="174" spans="1:72" ht="45.75" customHeight="1">
      <c r="A174" s="342"/>
      <c r="B174" s="342"/>
      <c r="C174" s="342"/>
      <c r="D174" s="343"/>
      <c r="E174" s="342"/>
      <c r="F174" s="342"/>
      <c r="G174" s="344"/>
      <c r="H174" s="344"/>
      <c r="I174" s="344"/>
      <c r="J174" s="334"/>
      <c r="K174" s="335"/>
      <c r="L174" s="336"/>
      <c r="M174" s="336"/>
      <c r="N174" s="337"/>
      <c r="O174" s="337"/>
      <c r="P174" s="315"/>
      <c r="Q174" s="314"/>
      <c r="R174" s="317"/>
      <c r="S174" s="315"/>
      <c r="T174" s="315"/>
      <c r="U174" s="315"/>
      <c r="V174" s="258"/>
      <c r="W174" s="322"/>
      <c r="X174" s="318"/>
      <c r="Y174" s="315"/>
      <c r="Z174" s="318"/>
      <c r="AA174" s="314"/>
      <c r="AB174" s="336"/>
      <c r="AC174" s="314"/>
      <c r="AD174" s="316"/>
      <c r="AE174" s="315"/>
      <c r="AF174" s="315"/>
      <c r="AG174" s="315"/>
      <c r="AH174" s="315"/>
      <c r="AI174" s="377"/>
      <c r="AJ174" s="407"/>
      <c r="AK174" s="377"/>
      <c r="AL174" s="314"/>
      <c r="AM174" s="314"/>
      <c r="AN174" s="314"/>
      <c r="AO174" s="315"/>
      <c r="AP174" s="257"/>
      <c r="AQ174" s="257"/>
      <c r="AR174" s="257"/>
      <c r="AS174" s="315"/>
      <c r="AT174" s="257"/>
      <c r="AU174" s="257"/>
      <c r="AV174" s="316"/>
      <c r="AW174" s="314"/>
      <c r="AX174" s="315"/>
      <c r="AY174" s="315"/>
      <c r="AZ174" s="315"/>
      <c r="BA174" s="315"/>
      <c r="BB174" s="315"/>
      <c r="BC174" s="315"/>
      <c r="BD174" s="319"/>
      <c r="BE174" s="319"/>
      <c r="BF174" s="319"/>
      <c r="BG174" s="319"/>
      <c r="BH174" s="319"/>
      <c r="BI174" s="319"/>
      <c r="BJ174" s="319"/>
      <c r="BK174" s="315"/>
      <c r="BL174" s="316"/>
      <c r="BM174" s="314"/>
      <c r="BN174" s="319"/>
      <c r="BO174" s="315"/>
      <c r="BP174" s="314"/>
      <c r="BQ174" s="316"/>
      <c r="BR174" s="314"/>
      <c r="BS174" s="262"/>
      <c r="BT174" s="262"/>
    </row>
    <row r="175" spans="1:72" ht="45.75" customHeight="1">
      <c r="A175" s="342"/>
      <c r="B175" s="342"/>
      <c r="C175" s="342"/>
      <c r="D175" s="343"/>
      <c r="E175" s="342"/>
      <c r="F175" s="342"/>
      <c r="G175" s="344"/>
      <c r="H175" s="344"/>
      <c r="I175" s="344"/>
      <c r="J175" s="334"/>
      <c r="K175" s="335"/>
      <c r="L175" s="336"/>
      <c r="M175" s="336"/>
      <c r="N175" s="337"/>
      <c r="O175" s="337"/>
      <c r="P175" s="315"/>
      <c r="Q175" s="314"/>
      <c r="R175" s="317"/>
      <c r="S175" s="315"/>
      <c r="T175" s="315"/>
      <c r="U175" s="315"/>
      <c r="V175" s="258"/>
      <c r="W175" s="322"/>
      <c r="X175" s="318"/>
      <c r="Y175" s="315"/>
      <c r="Z175" s="318"/>
      <c r="AA175" s="314"/>
      <c r="AB175" s="336"/>
      <c r="AC175" s="314"/>
      <c r="AD175" s="316"/>
      <c r="AE175" s="315"/>
      <c r="AF175" s="315"/>
      <c r="AG175" s="315"/>
      <c r="AH175" s="315"/>
      <c r="AI175" s="377"/>
      <c r="AJ175" s="407"/>
      <c r="AK175" s="377"/>
      <c r="AL175" s="314"/>
      <c r="AM175" s="314"/>
      <c r="AN175" s="314"/>
      <c r="AO175" s="315"/>
      <c r="AP175" s="257"/>
      <c r="AQ175" s="257"/>
      <c r="AR175" s="257"/>
      <c r="AS175" s="315"/>
      <c r="AT175" s="257"/>
      <c r="AU175" s="257"/>
      <c r="AV175" s="316"/>
      <c r="AW175" s="314"/>
      <c r="AX175" s="315"/>
      <c r="AY175" s="315"/>
      <c r="AZ175" s="315"/>
      <c r="BA175" s="315"/>
      <c r="BB175" s="315"/>
      <c r="BC175" s="315"/>
      <c r="BD175" s="319"/>
      <c r="BE175" s="319"/>
      <c r="BF175" s="319"/>
      <c r="BG175" s="319"/>
      <c r="BH175" s="319"/>
      <c r="BI175" s="319"/>
      <c r="BJ175" s="319"/>
      <c r="BK175" s="315"/>
      <c r="BL175" s="316"/>
      <c r="BM175" s="314"/>
      <c r="BN175" s="319"/>
      <c r="BO175" s="315"/>
      <c r="BP175" s="314"/>
      <c r="BQ175" s="316"/>
      <c r="BR175" s="314"/>
      <c r="BS175" s="262"/>
      <c r="BT175" s="262"/>
    </row>
    <row r="176" spans="1:72" ht="45.75" customHeight="1">
      <c r="A176" s="342"/>
      <c r="B176" s="342"/>
      <c r="C176" s="342"/>
      <c r="D176" s="343"/>
      <c r="E176" s="342"/>
      <c r="F176" s="342"/>
      <c r="G176" s="344"/>
      <c r="H176" s="344"/>
      <c r="I176" s="344"/>
      <c r="J176" s="334"/>
      <c r="K176" s="335"/>
      <c r="L176" s="336"/>
      <c r="M176" s="336"/>
      <c r="N176" s="337"/>
      <c r="O176" s="337"/>
      <c r="P176" s="315"/>
      <c r="Q176" s="314"/>
      <c r="R176" s="317"/>
      <c r="S176" s="315"/>
      <c r="T176" s="315"/>
      <c r="U176" s="315"/>
      <c r="V176" s="258"/>
      <c r="W176" s="322"/>
      <c r="X176" s="318"/>
      <c r="Y176" s="315"/>
      <c r="Z176" s="318"/>
      <c r="AA176" s="314"/>
      <c r="AB176" s="336"/>
      <c r="AC176" s="314"/>
      <c r="AD176" s="316"/>
      <c r="AE176" s="315"/>
      <c r="AF176" s="315"/>
      <c r="AG176" s="315"/>
      <c r="AH176" s="315"/>
      <c r="AI176" s="377"/>
      <c r="AJ176" s="407"/>
      <c r="AK176" s="377"/>
      <c r="AL176" s="314"/>
      <c r="AM176" s="314"/>
      <c r="AN176" s="314"/>
      <c r="AO176" s="315"/>
      <c r="AP176" s="257"/>
      <c r="AQ176" s="257"/>
      <c r="AR176" s="257"/>
      <c r="AS176" s="315"/>
      <c r="AT176" s="257"/>
      <c r="AU176" s="257"/>
      <c r="AV176" s="316"/>
      <c r="AW176" s="314"/>
      <c r="AX176" s="315"/>
      <c r="AY176" s="315"/>
      <c r="AZ176" s="315"/>
      <c r="BA176" s="315"/>
      <c r="BB176" s="315"/>
      <c r="BC176" s="315"/>
      <c r="BD176" s="319"/>
      <c r="BE176" s="319"/>
      <c r="BF176" s="319"/>
      <c r="BG176" s="319"/>
      <c r="BH176" s="319"/>
      <c r="BI176" s="319"/>
      <c r="BJ176" s="319"/>
      <c r="BK176" s="315"/>
      <c r="BL176" s="316"/>
      <c r="BM176" s="314"/>
      <c r="BN176" s="319"/>
      <c r="BO176" s="315"/>
      <c r="BP176" s="314"/>
      <c r="BQ176" s="316"/>
      <c r="BR176" s="314"/>
      <c r="BS176" s="262"/>
      <c r="BT176" s="262"/>
    </row>
    <row r="177" spans="1:72" ht="45.75" customHeight="1">
      <c r="A177" s="342"/>
      <c r="B177" s="342"/>
      <c r="C177" s="342"/>
      <c r="D177" s="343"/>
      <c r="E177" s="342"/>
      <c r="F177" s="342"/>
      <c r="G177" s="344"/>
      <c r="H177" s="344"/>
      <c r="I177" s="344"/>
      <c r="J177" s="334"/>
      <c r="K177" s="335"/>
      <c r="L177" s="336"/>
      <c r="M177" s="336"/>
      <c r="N177" s="337"/>
      <c r="O177" s="337"/>
      <c r="P177" s="315"/>
      <c r="Q177" s="314"/>
      <c r="R177" s="317"/>
      <c r="S177" s="315"/>
      <c r="T177" s="315"/>
      <c r="U177" s="315"/>
      <c r="V177" s="258"/>
      <c r="W177" s="322"/>
      <c r="X177" s="318"/>
      <c r="Y177" s="315"/>
      <c r="Z177" s="318"/>
      <c r="AA177" s="314"/>
      <c r="AB177" s="336"/>
      <c r="AC177" s="314"/>
      <c r="AD177" s="316"/>
      <c r="AE177" s="315"/>
      <c r="AF177" s="315"/>
      <c r="AG177" s="315"/>
      <c r="AH177" s="315"/>
      <c r="AI177" s="377"/>
      <c r="AJ177" s="407"/>
      <c r="AK177" s="377"/>
      <c r="AL177" s="314"/>
      <c r="AM177" s="314"/>
      <c r="AN177" s="314"/>
      <c r="AO177" s="315"/>
      <c r="AP177" s="257"/>
      <c r="AQ177" s="257"/>
      <c r="AR177" s="257"/>
      <c r="AS177" s="315"/>
      <c r="AT177" s="257"/>
      <c r="AU177" s="257"/>
      <c r="AV177" s="316"/>
      <c r="AW177" s="314"/>
      <c r="AX177" s="315"/>
      <c r="AY177" s="315"/>
      <c r="AZ177" s="315"/>
      <c r="BA177" s="315"/>
      <c r="BB177" s="315"/>
      <c r="BC177" s="315"/>
      <c r="BD177" s="319"/>
      <c r="BE177" s="319"/>
      <c r="BF177" s="319"/>
      <c r="BG177" s="319"/>
      <c r="BH177" s="319"/>
      <c r="BI177" s="319"/>
      <c r="BJ177" s="319"/>
      <c r="BK177" s="315"/>
      <c r="BL177" s="316"/>
      <c r="BM177" s="314"/>
      <c r="BN177" s="319"/>
      <c r="BO177" s="315"/>
      <c r="BP177" s="314"/>
      <c r="BQ177" s="316"/>
      <c r="BR177" s="314"/>
      <c r="BS177" s="262"/>
      <c r="BT177" s="262"/>
    </row>
    <row r="178" spans="1:72" ht="45.75" customHeight="1">
      <c r="A178" s="342"/>
      <c r="B178" s="342"/>
      <c r="C178" s="342"/>
      <c r="D178" s="343"/>
      <c r="E178" s="342"/>
      <c r="F178" s="342"/>
      <c r="G178" s="344"/>
      <c r="H178" s="344"/>
      <c r="I178" s="344"/>
      <c r="J178" s="334"/>
      <c r="K178" s="335"/>
      <c r="L178" s="336"/>
      <c r="M178" s="336"/>
      <c r="N178" s="337"/>
      <c r="O178" s="337"/>
      <c r="P178" s="315"/>
      <c r="Q178" s="314"/>
      <c r="R178" s="317"/>
      <c r="S178" s="315"/>
      <c r="T178" s="315"/>
      <c r="U178" s="315"/>
      <c r="V178" s="258"/>
      <c r="W178" s="322"/>
      <c r="X178" s="318"/>
      <c r="Y178" s="315"/>
      <c r="Z178" s="318"/>
      <c r="AA178" s="314"/>
      <c r="AB178" s="336"/>
      <c r="AC178" s="314"/>
      <c r="AD178" s="316"/>
      <c r="AE178" s="315"/>
      <c r="AF178" s="315"/>
      <c r="AG178" s="315"/>
      <c r="AH178" s="315"/>
      <c r="AI178" s="377"/>
      <c r="AJ178" s="407"/>
      <c r="AK178" s="377"/>
      <c r="AL178" s="314"/>
      <c r="AM178" s="314"/>
      <c r="AN178" s="314"/>
      <c r="AO178" s="315"/>
      <c r="AP178" s="257"/>
      <c r="AQ178" s="257"/>
      <c r="AR178" s="257"/>
      <c r="AS178" s="315"/>
      <c r="AT178" s="257"/>
      <c r="AU178" s="257"/>
      <c r="AV178" s="316"/>
      <c r="AW178" s="314"/>
      <c r="AX178" s="315"/>
      <c r="AY178" s="315"/>
      <c r="AZ178" s="315"/>
      <c r="BA178" s="315"/>
      <c r="BB178" s="315"/>
      <c r="BC178" s="315"/>
      <c r="BD178" s="319"/>
      <c r="BE178" s="319"/>
      <c r="BF178" s="319"/>
      <c r="BG178" s="319"/>
      <c r="BH178" s="319"/>
      <c r="BI178" s="319"/>
      <c r="BJ178" s="319"/>
      <c r="BK178" s="315"/>
      <c r="BL178" s="316"/>
      <c r="BM178" s="314"/>
      <c r="BN178" s="319"/>
      <c r="BO178" s="315"/>
      <c r="BP178" s="314"/>
      <c r="BQ178" s="316"/>
      <c r="BR178" s="314"/>
      <c r="BS178" s="262"/>
      <c r="BT178" s="262"/>
    </row>
    <row r="179" spans="1:72" ht="45.75" customHeight="1">
      <c r="A179" s="342"/>
      <c r="B179" s="342"/>
      <c r="C179" s="342"/>
      <c r="D179" s="343"/>
      <c r="E179" s="342"/>
      <c r="F179" s="342"/>
      <c r="G179" s="344"/>
      <c r="H179" s="344"/>
      <c r="I179" s="344"/>
      <c r="J179" s="334"/>
      <c r="K179" s="335"/>
      <c r="L179" s="336"/>
      <c r="M179" s="336"/>
      <c r="N179" s="337"/>
      <c r="O179" s="337"/>
      <c r="P179" s="315"/>
      <c r="Q179" s="314"/>
      <c r="R179" s="317"/>
      <c r="S179" s="315"/>
      <c r="T179" s="315"/>
      <c r="U179" s="315"/>
      <c r="V179" s="258"/>
      <c r="W179" s="322"/>
      <c r="X179" s="318"/>
      <c r="Y179" s="315"/>
      <c r="Z179" s="318"/>
      <c r="AA179" s="314"/>
      <c r="AB179" s="336"/>
      <c r="AC179" s="314"/>
      <c r="AD179" s="316"/>
      <c r="AE179" s="315"/>
      <c r="AF179" s="315"/>
      <c r="AG179" s="315"/>
      <c r="AH179" s="315"/>
      <c r="AI179" s="377"/>
      <c r="AJ179" s="407"/>
      <c r="AK179" s="377"/>
      <c r="AL179" s="314"/>
      <c r="AM179" s="314"/>
      <c r="AN179" s="314"/>
      <c r="AO179" s="315"/>
      <c r="AP179" s="257"/>
      <c r="AQ179" s="257"/>
      <c r="AR179" s="257"/>
      <c r="AS179" s="315"/>
      <c r="AT179" s="257"/>
      <c r="AU179" s="257"/>
      <c r="AV179" s="316"/>
      <c r="AW179" s="314"/>
      <c r="AX179" s="315"/>
      <c r="AY179" s="315"/>
      <c r="AZ179" s="315"/>
      <c r="BA179" s="315"/>
      <c r="BB179" s="315"/>
      <c r="BC179" s="315"/>
      <c r="BD179" s="319"/>
      <c r="BE179" s="319"/>
      <c r="BF179" s="319"/>
      <c r="BG179" s="319"/>
      <c r="BH179" s="319"/>
      <c r="BI179" s="319"/>
      <c r="BJ179" s="319"/>
      <c r="BK179" s="315"/>
      <c r="BL179" s="316"/>
      <c r="BM179" s="314"/>
      <c r="BN179" s="319"/>
      <c r="BO179" s="315"/>
      <c r="BP179" s="314"/>
      <c r="BQ179" s="316"/>
      <c r="BR179" s="314"/>
      <c r="BS179" s="262"/>
      <c r="BT179" s="262"/>
    </row>
    <row r="180" spans="1:72" ht="45.75" customHeight="1">
      <c r="A180" s="342"/>
      <c r="B180" s="342"/>
      <c r="C180" s="342"/>
      <c r="D180" s="343"/>
      <c r="E180" s="342"/>
      <c r="F180" s="342"/>
      <c r="G180" s="344"/>
      <c r="H180" s="344"/>
      <c r="I180" s="344"/>
      <c r="J180" s="334"/>
      <c r="K180" s="335"/>
      <c r="L180" s="336"/>
      <c r="M180" s="336"/>
      <c r="N180" s="337"/>
      <c r="O180" s="337"/>
      <c r="P180" s="315"/>
      <c r="Q180" s="314"/>
      <c r="R180" s="317"/>
      <c r="S180" s="315"/>
      <c r="T180" s="315"/>
      <c r="U180" s="315"/>
      <c r="V180" s="258"/>
      <c r="W180" s="322"/>
      <c r="X180" s="318"/>
      <c r="Y180" s="315"/>
      <c r="Z180" s="318"/>
      <c r="AA180" s="314"/>
      <c r="AB180" s="336"/>
      <c r="AC180" s="314"/>
      <c r="AD180" s="316"/>
      <c r="AE180" s="315"/>
      <c r="AF180" s="315"/>
      <c r="AG180" s="315"/>
      <c r="AH180" s="315"/>
      <c r="AI180" s="377"/>
      <c r="AJ180" s="407"/>
      <c r="AK180" s="377"/>
      <c r="AL180" s="314"/>
      <c r="AM180" s="314"/>
      <c r="AN180" s="314"/>
      <c r="AO180" s="315"/>
      <c r="AP180" s="257"/>
      <c r="AQ180" s="257"/>
      <c r="AR180" s="257"/>
      <c r="AS180" s="315"/>
      <c r="AT180" s="257"/>
      <c r="AU180" s="257"/>
      <c r="AV180" s="316"/>
      <c r="AW180" s="314"/>
      <c r="AX180" s="315"/>
      <c r="AY180" s="315"/>
      <c r="AZ180" s="315"/>
      <c r="BA180" s="315"/>
      <c r="BB180" s="315"/>
      <c r="BC180" s="315"/>
      <c r="BD180" s="319"/>
      <c r="BE180" s="319"/>
      <c r="BF180" s="319"/>
      <c r="BG180" s="319"/>
      <c r="BH180" s="319"/>
      <c r="BI180" s="319"/>
      <c r="BJ180" s="319"/>
      <c r="BK180" s="315"/>
      <c r="BL180" s="316"/>
      <c r="BM180" s="314"/>
      <c r="BN180" s="319"/>
      <c r="BO180" s="315"/>
      <c r="BP180" s="314"/>
      <c r="BQ180" s="316"/>
      <c r="BR180" s="314"/>
      <c r="BS180" s="262"/>
      <c r="BT180" s="262"/>
    </row>
    <row r="181" spans="1:72" ht="45.75" customHeight="1">
      <c r="A181" s="342"/>
      <c r="B181" s="342"/>
      <c r="C181" s="342"/>
      <c r="D181" s="343"/>
      <c r="E181" s="342"/>
      <c r="F181" s="342"/>
      <c r="G181" s="344"/>
      <c r="H181" s="344"/>
      <c r="I181" s="344"/>
      <c r="J181" s="334"/>
      <c r="K181" s="335"/>
      <c r="L181" s="336"/>
      <c r="M181" s="336"/>
      <c r="N181" s="337"/>
      <c r="O181" s="337"/>
      <c r="P181" s="315"/>
      <c r="Q181" s="314"/>
      <c r="R181" s="317"/>
      <c r="S181" s="315"/>
      <c r="T181" s="315"/>
      <c r="U181" s="315"/>
      <c r="V181" s="258"/>
      <c r="W181" s="322"/>
      <c r="X181" s="318"/>
      <c r="Y181" s="315"/>
      <c r="Z181" s="318"/>
      <c r="AA181" s="314"/>
      <c r="AB181" s="336"/>
      <c r="AC181" s="314"/>
      <c r="AD181" s="316"/>
      <c r="AE181" s="315"/>
      <c r="AF181" s="315"/>
      <c r="AG181" s="315"/>
      <c r="AH181" s="315"/>
      <c r="AI181" s="377"/>
      <c r="AJ181" s="407"/>
      <c r="AK181" s="377"/>
      <c r="AL181" s="314"/>
      <c r="AM181" s="314"/>
      <c r="AN181" s="314"/>
      <c r="AO181" s="315"/>
      <c r="AP181" s="257"/>
      <c r="AQ181" s="257"/>
      <c r="AR181" s="257"/>
      <c r="AS181" s="315"/>
      <c r="AT181" s="257"/>
      <c r="AU181" s="257"/>
      <c r="AV181" s="316"/>
      <c r="AW181" s="314"/>
      <c r="AX181" s="315"/>
      <c r="AY181" s="315"/>
      <c r="AZ181" s="315"/>
      <c r="BA181" s="315"/>
      <c r="BB181" s="315"/>
      <c r="BC181" s="315"/>
      <c r="BD181" s="319"/>
      <c r="BE181" s="319"/>
      <c r="BF181" s="319"/>
      <c r="BG181" s="319"/>
      <c r="BH181" s="319"/>
      <c r="BI181" s="319"/>
      <c r="BJ181" s="319"/>
      <c r="BK181" s="315"/>
      <c r="BL181" s="316"/>
      <c r="BM181" s="314"/>
      <c r="BN181" s="319"/>
      <c r="BO181" s="315"/>
      <c r="BP181" s="314"/>
      <c r="BQ181" s="316"/>
      <c r="BR181" s="314"/>
      <c r="BS181" s="262"/>
      <c r="BT181" s="262"/>
    </row>
    <row r="182" spans="1:72" ht="45.75" customHeight="1">
      <c r="A182" s="342"/>
      <c r="B182" s="342"/>
      <c r="C182" s="342"/>
      <c r="D182" s="343"/>
      <c r="E182" s="342"/>
      <c r="F182" s="342"/>
      <c r="G182" s="344"/>
      <c r="H182" s="344"/>
      <c r="I182" s="344"/>
      <c r="J182" s="334"/>
      <c r="K182" s="335"/>
      <c r="L182" s="336"/>
      <c r="M182" s="336"/>
      <c r="N182" s="337"/>
      <c r="O182" s="337"/>
      <c r="P182" s="315"/>
      <c r="Q182" s="314"/>
      <c r="R182" s="317"/>
      <c r="S182" s="315"/>
      <c r="T182" s="315"/>
      <c r="U182" s="315"/>
      <c r="V182" s="258"/>
      <c r="W182" s="322"/>
      <c r="X182" s="318"/>
      <c r="Y182" s="315"/>
      <c r="Z182" s="318"/>
      <c r="AA182" s="314"/>
      <c r="AB182" s="336"/>
      <c r="AC182" s="314"/>
      <c r="AD182" s="316"/>
      <c r="AE182" s="315"/>
      <c r="AF182" s="315"/>
      <c r="AG182" s="315"/>
      <c r="AH182" s="315"/>
      <c r="AI182" s="377"/>
      <c r="AJ182" s="407"/>
      <c r="AK182" s="377"/>
      <c r="AL182" s="314"/>
      <c r="AM182" s="314"/>
      <c r="AN182" s="314"/>
      <c r="AO182" s="315"/>
      <c r="AP182" s="257"/>
      <c r="AQ182" s="257"/>
      <c r="AR182" s="257"/>
      <c r="AS182" s="315"/>
      <c r="AT182" s="257"/>
      <c r="AU182" s="257"/>
      <c r="AV182" s="316"/>
      <c r="AW182" s="314"/>
      <c r="AX182" s="315"/>
      <c r="AY182" s="315"/>
      <c r="AZ182" s="315"/>
      <c r="BA182" s="315"/>
      <c r="BB182" s="315"/>
      <c r="BC182" s="315"/>
      <c r="BD182" s="319"/>
      <c r="BE182" s="319"/>
      <c r="BF182" s="319"/>
      <c r="BG182" s="319"/>
      <c r="BH182" s="319"/>
      <c r="BI182" s="319"/>
      <c r="BJ182" s="319"/>
      <c r="BK182" s="315"/>
      <c r="BL182" s="316"/>
      <c r="BM182" s="314"/>
      <c r="BN182" s="319"/>
      <c r="BO182" s="315"/>
      <c r="BP182" s="314"/>
      <c r="BQ182" s="316"/>
      <c r="BR182" s="314"/>
      <c r="BS182" s="262"/>
      <c r="BT182" s="262"/>
    </row>
    <row r="183" spans="1:72" ht="45.75" customHeight="1">
      <c r="A183" s="342"/>
      <c r="B183" s="342"/>
      <c r="C183" s="342"/>
      <c r="D183" s="343"/>
      <c r="E183" s="342"/>
      <c r="F183" s="342"/>
      <c r="G183" s="344"/>
      <c r="H183" s="344"/>
      <c r="I183" s="344"/>
      <c r="J183" s="334"/>
      <c r="K183" s="335"/>
      <c r="L183" s="336"/>
      <c r="M183" s="336"/>
      <c r="N183" s="337"/>
      <c r="O183" s="337"/>
      <c r="P183" s="315"/>
      <c r="Q183" s="314"/>
      <c r="R183" s="317"/>
      <c r="S183" s="315"/>
      <c r="T183" s="315"/>
      <c r="U183" s="315"/>
      <c r="V183" s="258"/>
      <c r="W183" s="322"/>
      <c r="X183" s="318"/>
      <c r="Y183" s="315"/>
      <c r="Z183" s="318"/>
      <c r="AA183" s="314"/>
      <c r="AB183" s="336"/>
      <c r="AC183" s="314"/>
      <c r="AD183" s="316"/>
      <c r="AE183" s="315"/>
      <c r="AF183" s="315"/>
      <c r="AG183" s="315"/>
      <c r="AH183" s="315"/>
      <c r="AI183" s="377"/>
      <c r="AJ183" s="407"/>
      <c r="AK183" s="377"/>
      <c r="AL183" s="314"/>
      <c r="AM183" s="314"/>
      <c r="AN183" s="314"/>
      <c r="AO183" s="315"/>
      <c r="AP183" s="257"/>
      <c r="AQ183" s="257"/>
      <c r="AR183" s="257"/>
      <c r="AS183" s="315"/>
      <c r="AT183" s="257"/>
      <c r="AU183" s="257"/>
      <c r="AV183" s="316"/>
      <c r="AW183" s="314"/>
      <c r="AX183" s="315"/>
      <c r="AY183" s="315"/>
      <c r="AZ183" s="315"/>
      <c r="BA183" s="315"/>
      <c r="BB183" s="315"/>
      <c r="BC183" s="315"/>
      <c r="BD183" s="319"/>
      <c r="BE183" s="319"/>
      <c r="BF183" s="319"/>
      <c r="BG183" s="319"/>
      <c r="BH183" s="319"/>
      <c r="BI183" s="319"/>
      <c r="BJ183" s="319"/>
      <c r="BK183" s="315"/>
      <c r="BL183" s="316"/>
      <c r="BM183" s="314"/>
      <c r="BN183" s="319"/>
      <c r="BO183" s="315"/>
      <c r="BP183" s="314"/>
      <c r="BQ183" s="316"/>
      <c r="BR183" s="314"/>
      <c r="BS183" s="262"/>
      <c r="BT183" s="262"/>
    </row>
    <row r="184" spans="1:72" ht="45.75" customHeight="1">
      <c r="A184" s="342"/>
      <c r="B184" s="342"/>
      <c r="C184" s="342"/>
      <c r="D184" s="343"/>
      <c r="E184" s="342"/>
      <c r="F184" s="342"/>
      <c r="G184" s="344"/>
      <c r="H184" s="344"/>
      <c r="I184" s="344"/>
      <c r="J184" s="334"/>
      <c r="K184" s="335"/>
      <c r="L184" s="336"/>
      <c r="M184" s="336"/>
      <c r="N184" s="337"/>
      <c r="O184" s="337"/>
      <c r="P184" s="315"/>
      <c r="Q184" s="314"/>
      <c r="R184" s="317"/>
      <c r="S184" s="315"/>
      <c r="T184" s="315"/>
      <c r="U184" s="315"/>
      <c r="V184" s="258"/>
      <c r="W184" s="322"/>
      <c r="X184" s="318"/>
      <c r="Y184" s="315"/>
      <c r="Z184" s="318"/>
      <c r="AA184" s="314"/>
      <c r="AB184" s="336"/>
      <c r="AC184" s="314"/>
      <c r="AD184" s="316"/>
      <c r="AE184" s="315"/>
      <c r="AF184" s="315"/>
      <c r="AG184" s="315"/>
      <c r="AH184" s="315"/>
      <c r="AI184" s="377"/>
      <c r="AJ184" s="407"/>
      <c r="AK184" s="377"/>
      <c r="AL184" s="314"/>
      <c r="AM184" s="314"/>
      <c r="AN184" s="314"/>
      <c r="AO184" s="315"/>
      <c r="AP184" s="257"/>
      <c r="AQ184" s="257"/>
      <c r="AR184" s="257"/>
      <c r="AS184" s="315"/>
      <c r="AT184" s="257"/>
      <c r="AU184" s="257"/>
      <c r="AV184" s="316"/>
      <c r="AW184" s="314"/>
      <c r="AX184" s="315"/>
      <c r="AY184" s="315"/>
      <c r="AZ184" s="315"/>
      <c r="BA184" s="315"/>
      <c r="BB184" s="315"/>
      <c r="BC184" s="315"/>
      <c r="BD184" s="319"/>
      <c r="BE184" s="319"/>
      <c r="BF184" s="319"/>
      <c r="BG184" s="319"/>
      <c r="BH184" s="319"/>
      <c r="BI184" s="319"/>
      <c r="BJ184" s="319"/>
      <c r="BK184" s="315"/>
      <c r="BL184" s="316"/>
      <c r="BM184" s="314"/>
      <c r="BN184" s="319"/>
      <c r="BO184" s="315"/>
      <c r="BP184" s="314"/>
      <c r="BQ184" s="316"/>
      <c r="BR184" s="314"/>
      <c r="BS184" s="262"/>
      <c r="BT184" s="262"/>
    </row>
    <row r="185" spans="1:72" ht="45.75" customHeight="1">
      <c r="A185" s="342"/>
      <c r="B185" s="342"/>
      <c r="C185" s="342"/>
      <c r="D185" s="343"/>
      <c r="E185" s="342"/>
      <c r="F185" s="342"/>
      <c r="G185" s="344"/>
      <c r="H185" s="344"/>
      <c r="I185" s="344"/>
      <c r="J185" s="334"/>
      <c r="K185" s="335"/>
      <c r="L185" s="336"/>
      <c r="M185" s="336"/>
      <c r="N185" s="337"/>
      <c r="O185" s="337"/>
      <c r="P185" s="315"/>
      <c r="Q185" s="314"/>
      <c r="R185" s="317"/>
      <c r="S185" s="315"/>
      <c r="T185" s="315"/>
      <c r="U185" s="315"/>
      <c r="V185" s="258"/>
      <c r="W185" s="322"/>
      <c r="X185" s="318"/>
      <c r="Y185" s="315"/>
      <c r="Z185" s="318"/>
      <c r="AA185" s="314"/>
      <c r="AB185" s="336"/>
      <c r="AC185" s="314"/>
      <c r="AD185" s="316"/>
      <c r="AE185" s="315"/>
      <c r="AF185" s="315"/>
      <c r="AG185" s="315"/>
      <c r="AH185" s="315"/>
      <c r="AI185" s="377"/>
      <c r="AJ185" s="407"/>
      <c r="AK185" s="377"/>
      <c r="AL185" s="314"/>
      <c r="AM185" s="314"/>
      <c r="AN185" s="314"/>
      <c r="AO185" s="315"/>
      <c r="AP185" s="257"/>
      <c r="AQ185" s="257"/>
      <c r="AR185" s="257"/>
      <c r="AS185" s="315"/>
      <c r="AT185" s="257"/>
      <c r="AU185" s="257"/>
      <c r="AV185" s="316"/>
      <c r="AW185" s="314"/>
      <c r="AX185" s="315"/>
      <c r="AY185" s="315"/>
      <c r="AZ185" s="315"/>
      <c r="BA185" s="315"/>
      <c r="BB185" s="315"/>
      <c r="BC185" s="315"/>
      <c r="BD185" s="319"/>
      <c r="BE185" s="319"/>
      <c r="BF185" s="319"/>
      <c r="BG185" s="319"/>
      <c r="BH185" s="319"/>
      <c r="BI185" s="319"/>
      <c r="BJ185" s="319"/>
      <c r="BK185" s="315"/>
      <c r="BL185" s="316"/>
      <c r="BM185" s="314"/>
      <c r="BN185" s="319"/>
      <c r="BO185" s="315"/>
      <c r="BP185" s="314"/>
      <c r="BQ185" s="316"/>
      <c r="BR185" s="314"/>
      <c r="BS185" s="262"/>
      <c r="BT185" s="262"/>
    </row>
    <row r="186" spans="1:72" ht="45.75" customHeight="1">
      <c r="A186" s="342"/>
      <c r="B186" s="342"/>
      <c r="C186" s="342"/>
      <c r="D186" s="343"/>
      <c r="E186" s="342"/>
      <c r="F186" s="342"/>
      <c r="G186" s="344"/>
      <c r="H186" s="344"/>
      <c r="I186" s="344"/>
      <c r="J186" s="334"/>
      <c r="K186" s="335"/>
      <c r="L186" s="336"/>
      <c r="M186" s="336"/>
      <c r="N186" s="337"/>
      <c r="O186" s="337"/>
      <c r="P186" s="315"/>
      <c r="Q186" s="314"/>
      <c r="R186" s="317"/>
      <c r="S186" s="315"/>
      <c r="T186" s="315"/>
      <c r="U186" s="315"/>
      <c r="V186" s="258"/>
      <c r="W186" s="322"/>
      <c r="X186" s="318"/>
      <c r="Y186" s="315"/>
      <c r="Z186" s="318"/>
      <c r="AA186" s="314"/>
      <c r="AB186" s="336"/>
      <c r="AC186" s="314"/>
      <c r="AD186" s="316"/>
      <c r="AE186" s="315"/>
      <c r="AF186" s="315"/>
      <c r="AG186" s="315"/>
      <c r="AH186" s="315"/>
      <c r="AI186" s="377"/>
      <c r="AJ186" s="407"/>
      <c r="AK186" s="377"/>
      <c r="AL186" s="314"/>
      <c r="AM186" s="314"/>
      <c r="AN186" s="314"/>
      <c r="AO186" s="315"/>
      <c r="AP186" s="257"/>
      <c r="AQ186" s="257"/>
      <c r="AR186" s="257"/>
      <c r="AS186" s="315"/>
      <c r="AT186" s="257"/>
      <c r="AU186" s="257"/>
      <c r="AV186" s="316"/>
      <c r="AW186" s="314"/>
      <c r="AX186" s="315"/>
      <c r="AY186" s="315"/>
      <c r="AZ186" s="315"/>
      <c r="BA186" s="315"/>
      <c r="BB186" s="315"/>
      <c r="BC186" s="315"/>
      <c r="BD186" s="319"/>
      <c r="BE186" s="319"/>
      <c r="BF186" s="319"/>
      <c r="BG186" s="319"/>
      <c r="BH186" s="319"/>
      <c r="BI186" s="319"/>
      <c r="BJ186" s="319"/>
      <c r="BK186" s="315"/>
      <c r="BL186" s="316"/>
      <c r="BM186" s="314"/>
      <c r="BN186" s="319"/>
      <c r="BO186" s="315"/>
      <c r="BP186" s="314"/>
      <c r="BQ186" s="316"/>
      <c r="BR186" s="314"/>
      <c r="BS186" s="262"/>
      <c r="BT186" s="262"/>
    </row>
    <row r="187" spans="1:72" ht="45.75" customHeight="1">
      <c r="A187" s="342"/>
      <c r="B187" s="342"/>
      <c r="C187" s="342"/>
      <c r="D187" s="343"/>
      <c r="E187" s="342"/>
      <c r="F187" s="342"/>
      <c r="G187" s="344"/>
      <c r="H187" s="344"/>
      <c r="I187" s="344"/>
      <c r="J187" s="334"/>
      <c r="K187" s="335"/>
      <c r="L187" s="336"/>
      <c r="M187" s="336"/>
      <c r="N187" s="337"/>
      <c r="O187" s="337"/>
      <c r="P187" s="315"/>
      <c r="Q187" s="314"/>
      <c r="R187" s="317"/>
      <c r="S187" s="315"/>
      <c r="T187" s="315"/>
      <c r="U187" s="315"/>
      <c r="V187" s="258"/>
      <c r="W187" s="322"/>
      <c r="X187" s="318"/>
      <c r="Y187" s="315"/>
      <c r="Z187" s="318"/>
      <c r="AA187" s="314"/>
      <c r="AB187" s="336"/>
      <c r="AC187" s="314"/>
      <c r="AD187" s="316"/>
      <c r="AE187" s="315"/>
      <c r="AF187" s="315"/>
      <c r="AG187" s="315"/>
      <c r="AH187" s="315"/>
      <c r="AI187" s="377"/>
      <c r="AJ187" s="407"/>
      <c r="AK187" s="377"/>
      <c r="AL187" s="314"/>
      <c r="AM187" s="314"/>
      <c r="AN187" s="314"/>
      <c r="AO187" s="315"/>
      <c r="AP187" s="257"/>
      <c r="AQ187" s="257"/>
      <c r="AR187" s="257"/>
      <c r="AS187" s="315"/>
      <c r="AT187" s="257"/>
      <c r="AU187" s="257"/>
      <c r="AV187" s="316"/>
      <c r="AW187" s="314"/>
      <c r="AX187" s="315"/>
      <c r="AY187" s="315"/>
      <c r="AZ187" s="315"/>
      <c r="BA187" s="315"/>
      <c r="BB187" s="315"/>
      <c r="BC187" s="315"/>
      <c r="BD187" s="319"/>
      <c r="BE187" s="319"/>
      <c r="BF187" s="319"/>
      <c r="BG187" s="319"/>
      <c r="BH187" s="319"/>
      <c r="BI187" s="319"/>
      <c r="BJ187" s="319"/>
      <c r="BK187" s="315"/>
      <c r="BL187" s="316"/>
      <c r="BM187" s="314"/>
      <c r="BN187" s="319"/>
      <c r="BO187" s="315"/>
      <c r="BP187" s="314"/>
      <c r="BQ187" s="316"/>
      <c r="BR187" s="314"/>
      <c r="BS187" s="262"/>
      <c r="BT187" s="262"/>
    </row>
    <row r="188" spans="1:72" ht="45.75" customHeight="1">
      <c r="A188" s="342"/>
      <c r="B188" s="342"/>
      <c r="C188" s="342"/>
      <c r="D188" s="343"/>
      <c r="E188" s="342"/>
      <c r="F188" s="342"/>
      <c r="G188" s="344"/>
      <c r="H188" s="344"/>
      <c r="I188" s="344"/>
      <c r="J188" s="334"/>
      <c r="K188" s="335"/>
      <c r="L188" s="336"/>
      <c r="M188" s="336"/>
      <c r="N188" s="337"/>
      <c r="O188" s="337"/>
      <c r="P188" s="315"/>
      <c r="Q188" s="314"/>
      <c r="R188" s="317"/>
      <c r="S188" s="315"/>
      <c r="T188" s="315"/>
      <c r="U188" s="315"/>
      <c r="V188" s="258"/>
      <c r="W188" s="322"/>
      <c r="X188" s="318"/>
      <c r="Y188" s="315"/>
      <c r="Z188" s="318"/>
      <c r="AA188" s="314"/>
      <c r="AB188" s="336"/>
      <c r="AC188" s="314"/>
      <c r="AD188" s="316"/>
      <c r="AE188" s="315"/>
      <c r="AF188" s="315"/>
      <c r="AG188" s="315"/>
      <c r="AH188" s="315"/>
      <c r="AI188" s="377"/>
      <c r="AJ188" s="407"/>
      <c r="AK188" s="377"/>
      <c r="AL188" s="314"/>
      <c r="AM188" s="314"/>
      <c r="AN188" s="314"/>
      <c r="AO188" s="315"/>
      <c r="AP188" s="257"/>
      <c r="AQ188" s="257"/>
      <c r="AR188" s="257"/>
      <c r="AS188" s="315"/>
      <c r="AT188" s="257"/>
      <c r="AU188" s="257"/>
      <c r="AV188" s="316"/>
      <c r="AW188" s="314"/>
      <c r="AX188" s="315"/>
      <c r="AY188" s="315"/>
      <c r="AZ188" s="315"/>
      <c r="BA188" s="315"/>
      <c r="BB188" s="315"/>
      <c r="BC188" s="315"/>
      <c r="BD188" s="319"/>
      <c r="BE188" s="319"/>
      <c r="BF188" s="319"/>
      <c r="BG188" s="319"/>
      <c r="BH188" s="319"/>
      <c r="BI188" s="319"/>
      <c r="BJ188" s="319"/>
      <c r="BK188" s="315"/>
      <c r="BL188" s="316"/>
      <c r="BM188" s="314"/>
      <c r="BN188" s="319"/>
      <c r="BO188" s="315"/>
      <c r="BP188" s="314"/>
      <c r="BQ188" s="316"/>
      <c r="BR188" s="314"/>
      <c r="BS188" s="262"/>
      <c r="BT188" s="262"/>
    </row>
    <row r="189" spans="1:72" ht="45.75" customHeight="1">
      <c r="A189" s="342"/>
      <c r="B189" s="342"/>
      <c r="C189" s="342"/>
      <c r="D189" s="343"/>
      <c r="E189" s="342"/>
      <c r="F189" s="342"/>
      <c r="G189" s="344"/>
      <c r="H189" s="344"/>
      <c r="I189" s="344"/>
      <c r="J189" s="334"/>
      <c r="K189" s="335"/>
      <c r="L189" s="336"/>
      <c r="M189" s="336"/>
      <c r="N189" s="337"/>
      <c r="O189" s="337"/>
      <c r="P189" s="315"/>
      <c r="Q189" s="314"/>
      <c r="R189" s="317"/>
      <c r="S189" s="315"/>
      <c r="T189" s="315"/>
      <c r="U189" s="315"/>
      <c r="V189" s="258"/>
      <c r="W189" s="322"/>
      <c r="X189" s="318"/>
      <c r="Y189" s="315"/>
      <c r="Z189" s="318"/>
      <c r="AA189" s="314"/>
      <c r="AB189" s="336"/>
      <c r="AC189" s="314"/>
      <c r="AD189" s="316"/>
      <c r="AE189" s="315"/>
      <c r="AF189" s="315"/>
      <c r="AG189" s="315"/>
      <c r="AH189" s="315"/>
      <c r="AI189" s="377"/>
      <c r="AJ189" s="407"/>
      <c r="AK189" s="377"/>
      <c r="AL189" s="314"/>
      <c r="AM189" s="314"/>
      <c r="AN189" s="314"/>
      <c r="AO189" s="315"/>
      <c r="AP189" s="257"/>
      <c r="AQ189" s="257"/>
      <c r="AR189" s="257"/>
      <c r="AS189" s="315"/>
      <c r="AT189" s="257"/>
      <c r="AU189" s="257"/>
      <c r="AV189" s="316"/>
      <c r="AW189" s="314"/>
      <c r="AX189" s="315"/>
      <c r="AY189" s="315"/>
      <c r="AZ189" s="315"/>
      <c r="BA189" s="315"/>
      <c r="BB189" s="315"/>
      <c r="BC189" s="315"/>
      <c r="BD189" s="319"/>
      <c r="BE189" s="319"/>
      <c r="BF189" s="319"/>
      <c r="BG189" s="319"/>
      <c r="BH189" s="319"/>
      <c r="BI189" s="319"/>
      <c r="BJ189" s="319"/>
      <c r="BK189" s="315"/>
      <c r="BL189" s="316"/>
      <c r="BM189" s="314"/>
      <c r="BN189" s="319"/>
      <c r="BO189" s="315"/>
      <c r="BP189" s="314"/>
      <c r="BQ189" s="316"/>
      <c r="BR189" s="314"/>
      <c r="BS189" s="262"/>
      <c r="BT189" s="262"/>
    </row>
    <row r="190" spans="1:72" ht="45.75" customHeight="1">
      <c r="A190" s="342"/>
      <c r="B190" s="342"/>
      <c r="C190" s="342"/>
      <c r="D190" s="343"/>
      <c r="E190" s="342"/>
      <c r="F190" s="342"/>
      <c r="G190" s="344"/>
      <c r="H190" s="344"/>
      <c r="I190" s="344"/>
      <c r="J190" s="334"/>
      <c r="K190" s="335"/>
      <c r="L190" s="336"/>
      <c r="M190" s="336"/>
      <c r="N190" s="337"/>
      <c r="O190" s="337"/>
      <c r="P190" s="315"/>
      <c r="Q190" s="314"/>
      <c r="R190" s="317"/>
      <c r="S190" s="315"/>
      <c r="T190" s="315"/>
      <c r="U190" s="315"/>
      <c r="V190" s="258"/>
      <c r="W190" s="322"/>
      <c r="X190" s="318"/>
      <c r="Y190" s="315"/>
      <c r="Z190" s="318"/>
      <c r="AA190" s="314"/>
      <c r="AB190" s="336"/>
      <c r="AC190" s="314"/>
      <c r="AD190" s="316"/>
      <c r="AE190" s="315"/>
      <c r="AF190" s="315"/>
      <c r="AG190" s="315"/>
      <c r="AH190" s="315"/>
      <c r="AI190" s="377"/>
      <c r="AJ190" s="407"/>
      <c r="AK190" s="377"/>
      <c r="AL190" s="314"/>
      <c r="AM190" s="314"/>
      <c r="AN190" s="314"/>
      <c r="AO190" s="315"/>
      <c r="AP190" s="257"/>
      <c r="AQ190" s="257"/>
      <c r="AR190" s="257"/>
      <c r="AS190" s="315"/>
      <c r="AT190" s="257"/>
      <c r="AU190" s="257"/>
      <c r="AV190" s="316"/>
      <c r="AW190" s="314"/>
      <c r="AX190" s="315"/>
      <c r="AY190" s="315"/>
      <c r="AZ190" s="315"/>
      <c r="BA190" s="315"/>
      <c r="BB190" s="315"/>
      <c r="BC190" s="315"/>
      <c r="BD190" s="319"/>
      <c r="BE190" s="319"/>
      <c r="BF190" s="319"/>
      <c r="BG190" s="319"/>
      <c r="BH190" s="319"/>
      <c r="BI190" s="319"/>
      <c r="BJ190" s="319"/>
      <c r="BK190" s="315"/>
      <c r="BL190" s="316"/>
      <c r="BM190" s="314"/>
      <c r="BN190" s="319"/>
      <c r="BO190" s="315"/>
      <c r="BP190" s="314"/>
      <c r="BQ190" s="316"/>
      <c r="BR190" s="314"/>
      <c r="BS190" s="262"/>
      <c r="BT190" s="262"/>
    </row>
    <row r="191" spans="1:72" ht="45.75" customHeight="1">
      <c r="A191" s="342"/>
      <c r="B191" s="342"/>
      <c r="C191" s="342"/>
      <c r="D191" s="343"/>
      <c r="E191" s="342"/>
      <c r="F191" s="342"/>
      <c r="G191" s="344"/>
      <c r="H191" s="344"/>
      <c r="I191" s="344"/>
      <c r="J191" s="334"/>
      <c r="K191" s="335"/>
      <c r="L191" s="336"/>
      <c r="M191" s="336"/>
      <c r="N191" s="337"/>
      <c r="O191" s="337"/>
      <c r="P191" s="315"/>
      <c r="Q191" s="314"/>
      <c r="R191" s="317"/>
      <c r="S191" s="315"/>
      <c r="T191" s="315"/>
      <c r="U191" s="315"/>
      <c r="V191" s="258"/>
      <c r="W191" s="322"/>
      <c r="X191" s="318"/>
      <c r="Y191" s="315"/>
      <c r="Z191" s="318"/>
      <c r="AA191" s="314"/>
      <c r="AB191" s="336"/>
      <c r="AC191" s="314"/>
      <c r="AD191" s="316"/>
      <c r="AE191" s="315"/>
      <c r="AF191" s="315"/>
      <c r="AG191" s="315"/>
      <c r="AH191" s="315"/>
      <c r="AI191" s="377"/>
      <c r="AJ191" s="407"/>
      <c r="AK191" s="377"/>
      <c r="AL191" s="314"/>
      <c r="AM191" s="314"/>
      <c r="AN191" s="314"/>
      <c r="AO191" s="315"/>
      <c r="AP191" s="257"/>
      <c r="AQ191" s="257"/>
      <c r="AR191" s="257"/>
      <c r="AS191" s="315"/>
      <c r="AT191" s="257"/>
      <c r="AU191" s="257"/>
      <c r="AV191" s="316"/>
      <c r="AW191" s="314"/>
      <c r="AX191" s="315"/>
      <c r="AY191" s="315"/>
      <c r="AZ191" s="315"/>
      <c r="BA191" s="315"/>
      <c r="BB191" s="315"/>
      <c r="BC191" s="315"/>
      <c r="BD191" s="319"/>
      <c r="BE191" s="319"/>
      <c r="BF191" s="319"/>
      <c r="BG191" s="319"/>
      <c r="BH191" s="319"/>
      <c r="BI191" s="319"/>
      <c r="BJ191" s="319"/>
      <c r="BK191" s="315"/>
      <c r="BL191" s="316"/>
      <c r="BM191" s="314"/>
      <c r="BN191" s="319"/>
      <c r="BO191" s="315"/>
      <c r="BP191" s="314"/>
      <c r="BQ191" s="316"/>
      <c r="BR191" s="314"/>
      <c r="BS191" s="262"/>
      <c r="BT191" s="262"/>
    </row>
    <row r="192" spans="1:72" ht="45.75" customHeight="1">
      <c r="A192" s="342"/>
      <c r="B192" s="342"/>
      <c r="C192" s="342"/>
      <c r="D192" s="343"/>
      <c r="E192" s="342"/>
      <c r="F192" s="342"/>
      <c r="G192" s="344"/>
      <c r="H192" s="344"/>
      <c r="I192" s="344"/>
      <c r="J192" s="334"/>
      <c r="K192" s="335"/>
      <c r="L192" s="336"/>
      <c r="M192" s="336"/>
      <c r="N192" s="337"/>
      <c r="O192" s="337"/>
      <c r="P192" s="315"/>
      <c r="Q192" s="314"/>
      <c r="R192" s="317"/>
      <c r="S192" s="315"/>
      <c r="T192" s="315"/>
      <c r="U192" s="315"/>
      <c r="V192" s="258"/>
      <c r="W192" s="322"/>
      <c r="X192" s="318"/>
      <c r="Y192" s="315"/>
      <c r="Z192" s="318"/>
      <c r="AA192" s="314"/>
      <c r="AB192" s="336"/>
      <c r="AC192" s="314"/>
      <c r="AD192" s="316"/>
      <c r="AE192" s="315"/>
      <c r="AF192" s="315"/>
      <c r="AG192" s="315"/>
      <c r="AH192" s="315"/>
      <c r="AI192" s="377"/>
      <c r="AJ192" s="407"/>
      <c r="AK192" s="377"/>
      <c r="AL192" s="314"/>
      <c r="AM192" s="314"/>
      <c r="AN192" s="314"/>
      <c r="AO192" s="315"/>
      <c r="AP192" s="257"/>
      <c r="AQ192" s="257"/>
      <c r="AR192" s="257"/>
      <c r="AS192" s="315"/>
      <c r="AT192" s="257"/>
      <c r="AU192" s="257"/>
      <c r="AV192" s="316"/>
      <c r="AW192" s="314"/>
      <c r="AX192" s="315"/>
      <c r="AY192" s="315"/>
      <c r="AZ192" s="315"/>
      <c r="BA192" s="315"/>
      <c r="BB192" s="315"/>
      <c r="BC192" s="315"/>
      <c r="BD192" s="319"/>
      <c r="BE192" s="319"/>
      <c r="BF192" s="319"/>
      <c r="BG192" s="319"/>
      <c r="BH192" s="319"/>
      <c r="BI192" s="319"/>
      <c r="BJ192" s="319"/>
      <c r="BK192" s="315"/>
      <c r="BL192" s="316"/>
      <c r="BM192" s="314"/>
      <c r="BN192" s="319"/>
      <c r="BO192" s="315"/>
      <c r="BP192" s="314"/>
      <c r="BQ192" s="316"/>
      <c r="BR192" s="314"/>
      <c r="BS192" s="262"/>
      <c r="BT192" s="262"/>
    </row>
    <row r="193" spans="1:72" ht="45.75" customHeight="1">
      <c r="A193" s="342"/>
      <c r="B193" s="342"/>
      <c r="C193" s="342"/>
      <c r="D193" s="343"/>
      <c r="E193" s="342"/>
      <c r="F193" s="342"/>
      <c r="G193" s="344"/>
      <c r="H193" s="344"/>
      <c r="I193" s="344"/>
      <c r="J193" s="334"/>
      <c r="K193" s="335"/>
      <c r="L193" s="336"/>
      <c r="M193" s="336"/>
      <c r="N193" s="337"/>
      <c r="O193" s="337"/>
      <c r="P193" s="315"/>
      <c r="Q193" s="314"/>
      <c r="R193" s="317"/>
      <c r="S193" s="315"/>
      <c r="T193" s="315"/>
      <c r="U193" s="315"/>
      <c r="V193" s="258"/>
      <c r="W193" s="322"/>
      <c r="X193" s="318"/>
      <c r="Y193" s="315"/>
      <c r="Z193" s="318"/>
      <c r="AA193" s="314"/>
      <c r="AB193" s="336"/>
      <c r="AC193" s="314"/>
      <c r="AD193" s="316"/>
      <c r="AE193" s="315"/>
      <c r="AF193" s="315"/>
      <c r="AG193" s="315"/>
      <c r="AH193" s="315"/>
      <c r="AI193" s="377"/>
      <c r="AJ193" s="407"/>
      <c r="AK193" s="377"/>
      <c r="AL193" s="314"/>
      <c r="AM193" s="314"/>
      <c r="AN193" s="314"/>
      <c r="AO193" s="315"/>
      <c r="AP193" s="257"/>
      <c r="AQ193" s="257"/>
      <c r="AR193" s="257"/>
      <c r="AS193" s="315"/>
      <c r="AT193" s="257"/>
      <c r="AU193" s="257"/>
      <c r="AV193" s="316"/>
      <c r="AW193" s="314"/>
      <c r="AX193" s="315"/>
      <c r="AY193" s="315"/>
      <c r="AZ193" s="315"/>
      <c r="BA193" s="315"/>
      <c r="BB193" s="315"/>
      <c r="BC193" s="315"/>
      <c r="BD193" s="319"/>
      <c r="BE193" s="319"/>
      <c r="BF193" s="319"/>
      <c r="BG193" s="319"/>
      <c r="BH193" s="319"/>
      <c r="BI193" s="319"/>
      <c r="BJ193" s="319"/>
      <c r="BK193" s="315"/>
      <c r="BL193" s="316"/>
      <c r="BM193" s="314"/>
      <c r="BN193" s="319"/>
      <c r="BO193" s="315"/>
      <c r="BP193" s="314"/>
      <c r="BQ193" s="316"/>
      <c r="BR193" s="314"/>
      <c r="BS193" s="262"/>
      <c r="BT193" s="262"/>
    </row>
    <row r="194" spans="1:72" ht="45.75" customHeight="1">
      <c r="A194" s="342"/>
      <c r="B194" s="342"/>
      <c r="C194" s="342"/>
      <c r="D194" s="343"/>
      <c r="E194" s="342"/>
      <c r="F194" s="342"/>
      <c r="G194" s="344"/>
      <c r="H194" s="344"/>
      <c r="I194" s="344"/>
      <c r="J194" s="334"/>
      <c r="K194" s="335"/>
      <c r="L194" s="336"/>
      <c r="M194" s="336"/>
      <c r="N194" s="337"/>
      <c r="O194" s="337"/>
      <c r="P194" s="315"/>
      <c r="Q194" s="314"/>
      <c r="R194" s="317"/>
      <c r="S194" s="315"/>
      <c r="T194" s="315"/>
      <c r="U194" s="315"/>
      <c r="V194" s="258"/>
      <c r="W194" s="322"/>
      <c r="X194" s="318"/>
      <c r="Y194" s="315"/>
      <c r="Z194" s="318"/>
      <c r="AA194" s="314"/>
      <c r="AB194" s="336"/>
      <c r="AC194" s="314"/>
      <c r="AD194" s="316"/>
      <c r="AE194" s="315"/>
      <c r="AF194" s="315"/>
      <c r="AG194" s="315"/>
      <c r="AH194" s="315"/>
      <c r="AI194" s="377"/>
      <c r="AJ194" s="407"/>
      <c r="AK194" s="377"/>
      <c r="AL194" s="314"/>
      <c r="AM194" s="314"/>
      <c r="AN194" s="314"/>
      <c r="AO194" s="315"/>
      <c r="AP194" s="257"/>
      <c r="AQ194" s="257"/>
      <c r="AR194" s="257"/>
      <c r="AS194" s="315"/>
      <c r="AT194" s="257"/>
      <c r="AU194" s="257"/>
      <c r="AV194" s="316"/>
      <c r="AW194" s="314"/>
      <c r="AX194" s="315"/>
      <c r="AY194" s="315"/>
      <c r="AZ194" s="315"/>
      <c r="BA194" s="315"/>
      <c r="BB194" s="315"/>
      <c r="BC194" s="315"/>
      <c r="BD194" s="319"/>
      <c r="BE194" s="319"/>
      <c r="BF194" s="319"/>
      <c r="BG194" s="319"/>
      <c r="BH194" s="319"/>
      <c r="BI194" s="319"/>
      <c r="BJ194" s="319"/>
      <c r="BK194" s="315"/>
      <c r="BL194" s="316"/>
      <c r="BM194" s="314"/>
      <c r="BN194" s="319"/>
      <c r="BO194" s="315"/>
      <c r="BP194" s="314"/>
      <c r="BQ194" s="316"/>
      <c r="BR194" s="314"/>
      <c r="BS194" s="262"/>
      <c r="BT194" s="262"/>
    </row>
    <row r="195" spans="1:72" ht="45.75" customHeight="1">
      <c r="A195" s="342"/>
      <c r="B195" s="342"/>
      <c r="C195" s="342"/>
      <c r="D195" s="343"/>
      <c r="E195" s="342"/>
      <c r="F195" s="342"/>
      <c r="G195" s="344"/>
      <c r="H195" s="344"/>
      <c r="I195" s="344"/>
      <c r="J195" s="334"/>
      <c r="K195" s="335"/>
      <c r="L195" s="336"/>
      <c r="M195" s="336"/>
      <c r="N195" s="337"/>
      <c r="O195" s="337"/>
      <c r="P195" s="315"/>
      <c r="Q195" s="314"/>
      <c r="R195" s="317"/>
      <c r="S195" s="315"/>
      <c r="T195" s="315"/>
      <c r="U195" s="315"/>
      <c r="V195" s="258"/>
      <c r="W195" s="322"/>
      <c r="X195" s="318"/>
      <c r="Y195" s="315"/>
      <c r="Z195" s="318"/>
      <c r="AA195" s="314"/>
      <c r="AB195" s="336"/>
      <c r="AC195" s="314"/>
      <c r="AD195" s="316"/>
      <c r="AE195" s="315"/>
      <c r="AF195" s="315"/>
      <c r="AG195" s="315"/>
      <c r="AH195" s="315"/>
      <c r="AI195" s="377"/>
      <c r="AJ195" s="407"/>
      <c r="AK195" s="377"/>
      <c r="AL195" s="314"/>
      <c r="AM195" s="314"/>
      <c r="AN195" s="314"/>
      <c r="AO195" s="315"/>
      <c r="AP195" s="257"/>
      <c r="AQ195" s="257"/>
      <c r="AR195" s="257"/>
      <c r="AS195" s="315"/>
      <c r="AT195" s="257"/>
      <c r="AU195" s="257"/>
      <c r="AV195" s="316"/>
      <c r="AW195" s="314"/>
      <c r="AX195" s="315"/>
      <c r="AY195" s="315"/>
      <c r="AZ195" s="315"/>
      <c r="BA195" s="315"/>
      <c r="BB195" s="315"/>
      <c r="BC195" s="315"/>
      <c r="BD195" s="319"/>
      <c r="BE195" s="319"/>
      <c r="BF195" s="319"/>
      <c r="BG195" s="319"/>
      <c r="BH195" s="319"/>
      <c r="BI195" s="319"/>
      <c r="BJ195" s="319"/>
      <c r="BK195" s="315"/>
      <c r="BL195" s="316"/>
      <c r="BM195" s="314"/>
      <c r="BN195" s="319"/>
      <c r="BO195" s="315"/>
      <c r="BP195" s="314"/>
      <c r="BQ195" s="316"/>
      <c r="BR195" s="314"/>
      <c r="BS195" s="262"/>
      <c r="BT195" s="262"/>
    </row>
    <row r="196" spans="1:72" ht="45.75" customHeight="1">
      <c r="A196" s="342"/>
      <c r="B196" s="342"/>
      <c r="C196" s="342"/>
      <c r="D196" s="343"/>
      <c r="E196" s="342"/>
      <c r="F196" s="342"/>
      <c r="G196" s="344"/>
      <c r="H196" s="344"/>
      <c r="I196" s="344"/>
      <c r="J196" s="334"/>
      <c r="K196" s="335"/>
      <c r="L196" s="336"/>
      <c r="M196" s="336"/>
      <c r="N196" s="337"/>
      <c r="O196" s="337"/>
      <c r="P196" s="315"/>
      <c r="Q196" s="314"/>
      <c r="R196" s="317"/>
      <c r="S196" s="315"/>
      <c r="T196" s="315"/>
      <c r="U196" s="315"/>
      <c r="V196" s="258"/>
      <c r="W196" s="322"/>
      <c r="X196" s="318"/>
      <c r="Y196" s="315"/>
      <c r="Z196" s="318"/>
      <c r="AA196" s="314"/>
      <c r="AB196" s="336"/>
      <c r="AC196" s="314"/>
      <c r="AD196" s="316"/>
      <c r="AE196" s="315"/>
      <c r="AF196" s="315"/>
      <c r="AG196" s="315"/>
      <c r="AH196" s="315"/>
      <c r="AI196" s="377"/>
      <c r="AJ196" s="407"/>
      <c r="AK196" s="377"/>
      <c r="AL196" s="314"/>
      <c r="AM196" s="314"/>
      <c r="AN196" s="314"/>
      <c r="AO196" s="315"/>
      <c r="AP196" s="257"/>
      <c r="AQ196" s="257"/>
      <c r="AR196" s="257"/>
      <c r="AS196" s="315"/>
      <c r="AT196" s="257"/>
      <c r="AU196" s="257"/>
      <c r="AV196" s="316"/>
      <c r="AW196" s="314"/>
      <c r="AX196" s="315"/>
      <c r="AY196" s="315"/>
      <c r="AZ196" s="315"/>
      <c r="BA196" s="315"/>
      <c r="BB196" s="315"/>
      <c r="BC196" s="315"/>
      <c r="BD196" s="319"/>
      <c r="BE196" s="319"/>
      <c r="BF196" s="319"/>
      <c r="BG196" s="319"/>
      <c r="BH196" s="319"/>
      <c r="BI196" s="319"/>
      <c r="BJ196" s="319"/>
      <c r="BK196" s="315"/>
      <c r="BL196" s="316"/>
      <c r="BM196" s="314"/>
      <c r="BN196" s="319"/>
      <c r="BO196" s="315"/>
      <c r="BP196" s="314"/>
      <c r="BQ196" s="316"/>
      <c r="BR196" s="314"/>
      <c r="BS196" s="262"/>
      <c r="BT196" s="262"/>
    </row>
    <row r="197" spans="1:72" ht="45.75" customHeight="1">
      <c r="A197" s="342"/>
      <c r="B197" s="342"/>
      <c r="C197" s="342"/>
      <c r="D197" s="343"/>
      <c r="E197" s="342"/>
      <c r="F197" s="342"/>
      <c r="G197" s="344"/>
      <c r="H197" s="344"/>
      <c r="I197" s="344"/>
      <c r="J197" s="334"/>
      <c r="K197" s="335"/>
      <c r="L197" s="336"/>
      <c r="M197" s="336"/>
      <c r="N197" s="337"/>
      <c r="O197" s="337"/>
      <c r="P197" s="315"/>
      <c r="Q197" s="314"/>
      <c r="R197" s="317"/>
      <c r="S197" s="315"/>
      <c r="T197" s="315"/>
      <c r="U197" s="315"/>
      <c r="V197" s="258"/>
      <c r="W197" s="322"/>
      <c r="X197" s="318"/>
      <c r="Y197" s="315"/>
      <c r="Z197" s="318"/>
      <c r="AA197" s="314"/>
      <c r="AB197" s="336"/>
      <c r="AC197" s="314"/>
      <c r="AD197" s="316"/>
      <c r="AE197" s="315"/>
      <c r="AF197" s="315"/>
      <c r="AG197" s="315"/>
      <c r="AH197" s="315"/>
      <c r="AI197" s="377"/>
      <c r="AJ197" s="407"/>
      <c r="AK197" s="377"/>
      <c r="AL197" s="314"/>
      <c r="AM197" s="314"/>
      <c r="AN197" s="314"/>
      <c r="AO197" s="315"/>
      <c r="AP197" s="257"/>
      <c r="AQ197" s="257"/>
      <c r="AR197" s="257"/>
      <c r="AS197" s="315"/>
      <c r="AT197" s="257"/>
      <c r="AU197" s="257"/>
      <c r="AV197" s="316"/>
      <c r="AW197" s="314"/>
      <c r="AX197" s="315"/>
      <c r="AY197" s="315"/>
      <c r="AZ197" s="315"/>
      <c r="BA197" s="315"/>
      <c r="BB197" s="315"/>
      <c r="BC197" s="315"/>
      <c r="BD197" s="319"/>
      <c r="BE197" s="319"/>
      <c r="BF197" s="319"/>
      <c r="BG197" s="319"/>
      <c r="BH197" s="319"/>
      <c r="BI197" s="319"/>
      <c r="BJ197" s="319"/>
      <c r="BK197" s="315"/>
      <c r="BL197" s="316"/>
      <c r="BM197" s="314"/>
      <c r="BN197" s="319"/>
      <c r="BO197" s="315"/>
      <c r="BP197" s="314"/>
      <c r="BQ197" s="316"/>
      <c r="BR197" s="314"/>
      <c r="BS197" s="262"/>
      <c r="BT197" s="262"/>
    </row>
    <row r="198" spans="1:72" ht="45.75" customHeight="1">
      <c r="A198" s="342"/>
      <c r="B198" s="342"/>
      <c r="C198" s="342"/>
      <c r="D198" s="343"/>
      <c r="E198" s="342"/>
      <c r="F198" s="342"/>
      <c r="G198" s="344"/>
      <c r="H198" s="344"/>
      <c r="I198" s="344"/>
      <c r="J198" s="334"/>
      <c r="K198" s="335"/>
      <c r="L198" s="336"/>
      <c r="M198" s="336"/>
      <c r="N198" s="337"/>
      <c r="O198" s="337"/>
      <c r="P198" s="315"/>
      <c r="Q198" s="314"/>
      <c r="R198" s="317"/>
      <c r="S198" s="315"/>
      <c r="T198" s="315"/>
      <c r="U198" s="315"/>
      <c r="V198" s="258"/>
      <c r="W198" s="322"/>
      <c r="X198" s="318"/>
      <c r="Y198" s="315"/>
      <c r="Z198" s="318"/>
      <c r="AA198" s="314"/>
      <c r="AB198" s="336"/>
      <c r="AC198" s="314"/>
      <c r="AD198" s="316"/>
      <c r="AE198" s="315"/>
      <c r="AF198" s="315"/>
      <c r="AG198" s="315"/>
      <c r="AH198" s="315"/>
      <c r="AI198" s="377"/>
      <c r="AJ198" s="407"/>
      <c r="AK198" s="377"/>
      <c r="AL198" s="314"/>
      <c r="AM198" s="314"/>
      <c r="AN198" s="314"/>
      <c r="AO198" s="315"/>
      <c r="AP198" s="257"/>
      <c r="AQ198" s="257"/>
      <c r="AR198" s="257"/>
      <c r="AS198" s="315"/>
      <c r="AT198" s="257"/>
      <c r="AU198" s="257"/>
      <c r="AV198" s="316"/>
      <c r="AW198" s="314"/>
      <c r="AX198" s="315"/>
      <c r="AY198" s="315"/>
      <c r="AZ198" s="315"/>
      <c r="BA198" s="315"/>
      <c r="BB198" s="315"/>
      <c r="BC198" s="315"/>
      <c r="BD198" s="319"/>
      <c r="BE198" s="319"/>
      <c r="BF198" s="319"/>
      <c r="BG198" s="319"/>
      <c r="BH198" s="319"/>
      <c r="BI198" s="319"/>
      <c r="BJ198" s="319"/>
      <c r="BK198" s="315"/>
      <c r="BL198" s="316"/>
      <c r="BM198" s="314"/>
      <c r="BN198" s="319"/>
      <c r="BO198" s="315"/>
      <c r="BP198" s="314"/>
      <c r="BQ198" s="316"/>
      <c r="BR198" s="314"/>
      <c r="BS198" s="262"/>
      <c r="BT198" s="262"/>
    </row>
    <row r="199" spans="1:72" ht="45.75" customHeight="1">
      <c r="A199" s="342"/>
      <c r="B199" s="342"/>
      <c r="C199" s="342"/>
      <c r="D199" s="343"/>
      <c r="E199" s="342"/>
      <c r="F199" s="342"/>
      <c r="G199" s="344"/>
      <c r="H199" s="344"/>
      <c r="I199" s="344"/>
      <c r="J199" s="334"/>
      <c r="K199" s="335"/>
      <c r="L199" s="336"/>
      <c r="M199" s="336"/>
      <c r="N199" s="337"/>
      <c r="O199" s="337"/>
      <c r="P199" s="315"/>
      <c r="Q199" s="314"/>
      <c r="R199" s="317"/>
      <c r="S199" s="315"/>
      <c r="T199" s="315"/>
      <c r="U199" s="315"/>
      <c r="V199" s="258"/>
      <c r="W199" s="322"/>
      <c r="X199" s="318"/>
      <c r="Y199" s="315"/>
      <c r="Z199" s="318"/>
      <c r="AA199" s="314"/>
      <c r="AB199" s="336"/>
      <c r="AC199" s="314"/>
      <c r="AD199" s="316"/>
      <c r="AE199" s="315"/>
      <c r="AF199" s="315"/>
      <c r="AG199" s="315"/>
      <c r="AH199" s="315"/>
      <c r="AI199" s="377"/>
      <c r="AJ199" s="407"/>
      <c r="AK199" s="377"/>
      <c r="AL199" s="314"/>
      <c r="AM199" s="314"/>
      <c r="AN199" s="314"/>
      <c r="AO199" s="315"/>
      <c r="AP199" s="257"/>
      <c r="AQ199" s="257"/>
      <c r="AR199" s="257"/>
      <c r="AS199" s="315"/>
      <c r="AT199" s="257"/>
      <c r="AU199" s="257"/>
      <c r="AV199" s="316"/>
      <c r="AW199" s="314"/>
      <c r="AX199" s="315"/>
      <c r="AY199" s="315"/>
      <c r="AZ199" s="315"/>
      <c r="BA199" s="315"/>
      <c r="BB199" s="315"/>
      <c r="BC199" s="315"/>
      <c r="BD199" s="319"/>
      <c r="BE199" s="319"/>
      <c r="BF199" s="319"/>
      <c r="BG199" s="319"/>
      <c r="BH199" s="319"/>
      <c r="BI199" s="319"/>
      <c r="BJ199" s="319"/>
      <c r="BK199" s="315"/>
      <c r="BL199" s="316"/>
      <c r="BM199" s="314"/>
      <c r="BN199" s="319"/>
      <c r="BO199" s="315"/>
      <c r="BP199" s="314"/>
      <c r="BQ199" s="316"/>
      <c r="BR199" s="314"/>
      <c r="BS199" s="262"/>
      <c r="BT199" s="262"/>
    </row>
    <row r="200" spans="1:72" ht="45.75" customHeight="1">
      <c r="A200" s="342"/>
      <c r="B200" s="342"/>
      <c r="C200" s="342"/>
      <c r="D200" s="343"/>
      <c r="E200" s="342"/>
      <c r="F200" s="342"/>
      <c r="G200" s="344"/>
      <c r="H200" s="344"/>
      <c r="I200" s="344"/>
      <c r="J200" s="334"/>
      <c r="K200" s="335"/>
      <c r="L200" s="336"/>
      <c r="M200" s="336"/>
      <c r="N200" s="337"/>
      <c r="O200" s="337"/>
      <c r="P200" s="315"/>
      <c r="Q200" s="314"/>
      <c r="R200" s="317"/>
      <c r="S200" s="315"/>
      <c r="T200" s="315"/>
      <c r="U200" s="315"/>
      <c r="V200" s="258"/>
      <c r="W200" s="322"/>
      <c r="X200" s="318"/>
      <c r="Y200" s="315"/>
      <c r="Z200" s="318"/>
      <c r="AA200" s="314"/>
      <c r="AB200" s="336"/>
      <c r="AC200" s="314"/>
      <c r="AD200" s="316"/>
      <c r="AE200" s="315"/>
      <c r="AF200" s="315"/>
      <c r="AG200" s="315"/>
      <c r="AH200" s="315"/>
      <c r="AI200" s="377"/>
      <c r="AJ200" s="407"/>
      <c r="AK200" s="377"/>
      <c r="AL200" s="314"/>
      <c r="AM200" s="314"/>
      <c r="AN200" s="314"/>
      <c r="AO200" s="315"/>
      <c r="AP200" s="257"/>
      <c r="AQ200" s="257"/>
      <c r="AR200" s="257"/>
      <c r="AS200" s="315"/>
      <c r="AT200" s="257"/>
      <c r="AU200" s="257"/>
      <c r="AV200" s="316"/>
      <c r="AW200" s="314"/>
      <c r="AX200" s="315"/>
      <c r="AY200" s="315"/>
      <c r="AZ200" s="315"/>
      <c r="BA200" s="315"/>
      <c r="BB200" s="315"/>
      <c r="BC200" s="315"/>
      <c r="BD200" s="319"/>
      <c r="BE200" s="319"/>
      <c r="BF200" s="319"/>
      <c r="BG200" s="319"/>
      <c r="BH200" s="319"/>
      <c r="BI200" s="319"/>
      <c r="BJ200" s="319"/>
      <c r="BK200" s="315"/>
      <c r="BL200" s="316"/>
      <c r="BM200" s="314"/>
      <c r="BN200" s="319"/>
      <c r="BO200" s="315"/>
      <c r="BP200" s="314"/>
      <c r="BQ200" s="316"/>
      <c r="BR200" s="314"/>
      <c r="BS200" s="262"/>
      <c r="BT200" s="262"/>
    </row>
    <row r="201" spans="1:72" ht="45.75" customHeight="1">
      <c r="A201" s="342"/>
      <c r="B201" s="342"/>
      <c r="C201" s="342"/>
      <c r="D201" s="343"/>
      <c r="E201" s="342"/>
      <c r="F201" s="342"/>
      <c r="G201" s="344"/>
      <c r="H201" s="344"/>
      <c r="I201" s="344"/>
      <c r="J201" s="334"/>
      <c r="K201" s="335"/>
      <c r="L201" s="336"/>
      <c r="M201" s="336"/>
      <c r="N201" s="337"/>
      <c r="O201" s="337"/>
      <c r="P201" s="315"/>
      <c r="Q201" s="314"/>
      <c r="R201" s="317"/>
      <c r="S201" s="315"/>
      <c r="T201" s="315"/>
      <c r="U201" s="315"/>
      <c r="V201" s="258"/>
      <c r="W201" s="322"/>
      <c r="X201" s="318"/>
      <c r="Y201" s="315"/>
      <c r="Z201" s="318"/>
      <c r="AA201" s="314"/>
      <c r="AB201" s="336"/>
      <c r="AC201" s="314"/>
      <c r="AD201" s="316"/>
      <c r="AE201" s="315"/>
      <c r="AF201" s="315"/>
      <c r="AG201" s="315"/>
      <c r="AH201" s="315"/>
      <c r="AI201" s="377"/>
      <c r="AJ201" s="407"/>
      <c r="AK201" s="377"/>
      <c r="AL201" s="314"/>
      <c r="AM201" s="314"/>
      <c r="AN201" s="314"/>
      <c r="AO201" s="315"/>
      <c r="AP201" s="257"/>
      <c r="AQ201" s="257"/>
      <c r="AR201" s="257"/>
      <c r="AS201" s="315"/>
      <c r="AT201" s="257"/>
      <c r="AU201" s="257"/>
      <c r="AV201" s="316"/>
      <c r="AW201" s="314"/>
      <c r="AX201" s="315"/>
      <c r="AY201" s="315"/>
      <c r="AZ201" s="315"/>
      <c r="BA201" s="315"/>
      <c r="BB201" s="315"/>
      <c r="BC201" s="315"/>
      <c r="BD201" s="319"/>
      <c r="BE201" s="319"/>
      <c r="BF201" s="319"/>
      <c r="BG201" s="319"/>
      <c r="BH201" s="319"/>
      <c r="BI201" s="319"/>
      <c r="BJ201" s="319"/>
      <c r="BK201" s="315"/>
      <c r="BL201" s="316"/>
      <c r="BM201" s="314"/>
      <c r="BN201" s="319"/>
      <c r="BO201" s="315"/>
      <c r="BP201" s="314"/>
      <c r="BQ201" s="316"/>
      <c r="BR201" s="314"/>
      <c r="BS201" s="262"/>
      <c r="BT201" s="262"/>
    </row>
    <row r="202" spans="1:72" ht="45.75" customHeight="1">
      <c r="A202" s="342"/>
      <c r="B202" s="342"/>
      <c r="C202" s="342"/>
      <c r="D202" s="343"/>
      <c r="E202" s="342"/>
      <c r="F202" s="342"/>
      <c r="G202" s="344"/>
      <c r="H202" s="344"/>
      <c r="I202" s="344"/>
      <c r="J202" s="334"/>
      <c r="K202" s="335"/>
      <c r="L202" s="336"/>
      <c r="M202" s="336"/>
      <c r="N202" s="337"/>
      <c r="O202" s="337"/>
      <c r="P202" s="315"/>
      <c r="Q202" s="314"/>
      <c r="R202" s="317"/>
      <c r="S202" s="315"/>
      <c r="T202" s="315"/>
      <c r="U202" s="315"/>
      <c r="V202" s="258"/>
      <c r="W202" s="322"/>
      <c r="X202" s="318"/>
      <c r="Y202" s="315"/>
      <c r="Z202" s="318"/>
      <c r="AA202" s="314"/>
      <c r="AB202" s="336"/>
      <c r="AC202" s="314"/>
      <c r="AD202" s="316"/>
      <c r="AE202" s="315"/>
      <c r="AF202" s="315"/>
      <c r="AG202" s="315"/>
      <c r="AH202" s="315"/>
      <c r="AI202" s="377"/>
      <c r="AJ202" s="407"/>
      <c r="AK202" s="377"/>
      <c r="AL202" s="314"/>
      <c r="AM202" s="314"/>
      <c r="AN202" s="314"/>
      <c r="AO202" s="315"/>
      <c r="AP202" s="257"/>
      <c r="AQ202" s="257"/>
      <c r="AR202" s="257"/>
      <c r="AS202" s="315"/>
      <c r="AT202" s="257"/>
      <c r="AU202" s="257"/>
      <c r="AV202" s="316"/>
      <c r="AW202" s="314"/>
      <c r="AX202" s="315"/>
      <c r="AY202" s="315"/>
      <c r="AZ202" s="315"/>
      <c r="BA202" s="315"/>
      <c r="BB202" s="315"/>
      <c r="BC202" s="315"/>
      <c r="BD202" s="319"/>
      <c r="BE202" s="319"/>
      <c r="BF202" s="319"/>
      <c r="BG202" s="319"/>
      <c r="BH202" s="319"/>
      <c r="BI202" s="319"/>
      <c r="BJ202" s="319"/>
      <c r="BK202" s="315"/>
      <c r="BL202" s="316"/>
      <c r="BM202" s="314"/>
      <c r="BN202" s="319"/>
      <c r="BO202" s="315"/>
      <c r="BP202" s="314"/>
      <c r="BQ202" s="316"/>
      <c r="BR202" s="314"/>
      <c r="BS202" s="262"/>
      <c r="BT202" s="262"/>
    </row>
    <row r="203" spans="1:72" ht="45.75" customHeight="1">
      <c r="A203" s="342"/>
      <c r="B203" s="342"/>
      <c r="C203" s="342"/>
      <c r="D203" s="343"/>
      <c r="E203" s="342"/>
      <c r="F203" s="342"/>
      <c r="G203" s="344"/>
      <c r="H203" s="344"/>
      <c r="I203" s="344"/>
      <c r="J203" s="334"/>
      <c r="K203" s="335"/>
      <c r="L203" s="336"/>
      <c r="M203" s="336"/>
      <c r="N203" s="337"/>
      <c r="O203" s="337"/>
      <c r="P203" s="315"/>
      <c r="Q203" s="314"/>
      <c r="R203" s="317"/>
      <c r="S203" s="315"/>
      <c r="T203" s="315"/>
      <c r="U203" s="315"/>
      <c r="V203" s="258"/>
      <c r="W203" s="322"/>
      <c r="X203" s="318"/>
      <c r="Y203" s="315"/>
      <c r="Z203" s="318"/>
      <c r="AA203" s="314"/>
      <c r="AB203" s="336"/>
      <c r="AC203" s="314"/>
      <c r="AD203" s="316"/>
      <c r="AE203" s="315"/>
      <c r="AF203" s="315"/>
      <c r="AG203" s="315"/>
      <c r="AH203" s="315"/>
      <c r="AI203" s="377"/>
      <c r="AJ203" s="407"/>
      <c r="AK203" s="377"/>
      <c r="AL203" s="314"/>
      <c r="AM203" s="314"/>
      <c r="AN203" s="314"/>
      <c r="AO203" s="315"/>
      <c r="AP203" s="257"/>
      <c r="AQ203" s="257"/>
      <c r="AR203" s="257"/>
      <c r="AS203" s="315"/>
      <c r="AT203" s="257"/>
      <c r="AU203" s="257"/>
      <c r="AV203" s="316"/>
      <c r="AW203" s="314"/>
      <c r="AX203" s="315"/>
      <c r="AY203" s="315"/>
      <c r="AZ203" s="315"/>
      <c r="BA203" s="315"/>
      <c r="BB203" s="315"/>
      <c r="BC203" s="315"/>
      <c r="BD203" s="319"/>
      <c r="BE203" s="319"/>
      <c r="BF203" s="319"/>
      <c r="BG203" s="319"/>
      <c r="BH203" s="319"/>
      <c r="BI203" s="319"/>
      <c r="BJ203" s="319"/>
      <c r="BK203" s="315"/>
      <c r="BL203" s="316"/>
      <c r="BM203" s="314"/>
      <c r="BN203" s="319"/>
      <c r="BO203" s="315"/>
      <c r="BP203" s="314"/>
      <c r="BQ203" s="316"/>
      <c r="BR203" s="314"/>
      <c r="BS203" s="262"/>
      <c r="BT203" s="262"/>
    </row>
    <row r="204" spans="1:72" ht="45.75" customHeight="1">
      <c r="A204" s="342"/>
      <c r="B204" s="342"/>
      <c r="C204" s="342"/>
      <c r="D204" s="343"/>
      <c r="E204" s="342"/>
      <c r="F204" s="342"/>
      <c r="G204" s="344"/>
      <c r="H204" s="344"/>
      <c r="I204" s="344"/>
      <c r="J204" s="334"/>
      <c r="K204" s="335"/>
      <c r="L204" s="336"/>
      <c r="M204" s="336"/>
      <c r="N204" s="337"/>
      <c r="O204" s="337"/>
      <c r="P204" s="315"/>
      <c r="Q204" s="314"/>
      <c r="R204" s="317"/>
      <c r="S204" s="315"/>
      <c r="T204" s="315"/>
      <c r="U204" s="315"/>
      <c r="V204" s="258"/>
      <c r="W204" s="322"/>
      <c r="X204" s="318"/>
      <c r="Y204" s="315"/>
      <c r="Z204" s="318"/>
      <c r="AA204" s="314"/>
      <c r="AB204" s="336"/>
      <c r="AC204" s="314"/>
      <c r="AD204" s="316"/>
      <c r="AE204" s="315"/>
      <c r="AF204" s="315"/>
      <c r="AG204" s="315"/>
      <c r="AH204" s="315"/>
      <c r="AI204" s="377"/>
      <c r="AJ204" s="407"/>
      <c r="AK204" s="377"/>
      <c r="AL204" s="314"/>
      <c r="AM204" s="314"/>
      <c r="AN204" s="314"/>
      <c r="AO204" s="315"/>
      <c r="AP204" s="257"/>
      <c r="AQ204" s="257"/>
      <c r="AR204" s="257"/>
      <c r="AS204" s="315"/>
      <c r="AT204" s="257"/>
      <c r="AU204" s="257"/>
      <c r="AV204" s="316"/>
      <c r="AW204" s="314"/>
      <c r="AX204" s="315"/>
      <c r="AY204" s="315"/>
      <c r="AZ204" s="315"/>
      <c r="BA204" s="315"/>
      <c r="BB204" s="315"/>
      <c r="BC204" s="315"/>
      <c r="BD204" s="319"/>
      <c r="BE204" s="319"/>
      <c r="BF204" s="319"/>
      <c r="BG204" s="319"/>
      <c r="BH204" s="319"/>
      <c r="BI204" s="319"/>
      <c r="BJ204" s="319"/>
      <c r="BK204" s="315"/>
      <c r="BL204" s="316"/>
      <c r="BM204" s="314"/>
      <c r="BN204" s="319"/>
      <c r="BO204" s="315"/>
      <c r="BP204" s="314"/>
      <c r="BQ204" s="316"/>
      <c r="BR204" s="314"/>
      <c r="BS204" s="262"/>
      <c r="BT204" s="262"/>
    </row>
    <row r="205" spans="1:72" ht="45.75" customHeight="1">
      <c r="A205" s="342"/>
      <c r="B205" s="342"/>
      <c r="C205" s="342"/>
      <c r="D205" s="343"/>
      <c r="E205" s="342"/>
      <c r="F205" s="342"/>
      <c r="G205" s="344"/>
      <c r="H205" s="344"/>
      <c r="I205" s="344"/>
      <c r="J205" s="334"/>
      <c r="K205" s="335"/>
      <c r="L205" s="336"/>
      <c r="M205" s="336"/>
      <c r="N205" s="337"/>
      <c r="O205" s="337"/>
      <c r="P205" s="315"/>
      <c r="Q205" s="314"/>
      <c r="R205" s="317"/>
      <c r="S205" s="315"/>
      <c r="T205" s="315"/>
      <c r="U205" s="315"/>
      <c r="V205" s="258"/>
      <c r="W205" s="322"/>
      <c r="X205" s="318"/>
      <c r="Y205" s="315"/>
      <c r="Z205" s="318"/>
      <c r="AA205" s="314"/>
      <c r="AB205" s="336"/>
      <c r="AC205" s="314"/>
      <c r="AD205" s="316"/>
      <c r="AE205" s="315"/>
      <c r="AF205" s="315"/>
      <c r="AG205" s="315"/>
      <c r="AH205" s="315"/>
      <c r="AI205" s="377"/>
      <c r="AJ205" s="407"/>
      <c r="AK205" s="377"/>
      <c r="AL205" s="314"/>
      <c r="AM205" s="314"/>
      <c r="AN205" s="314"/>
      <c r="AO205" s="315"/>
      <c r="AP205" s="257"/>
      <c r="AQ205" s="257"/>
      <c r="AR205" s="257"/>
      <c r="AS205" s="315"/>
      <c r="AT205" s="257"/>
      <c r="AU205" s="257"/>
      <c r="AV205" s="316"/>
      <c r="AW205" s="314"/>
      <c r="AX205" s="315"/>
      <c r="AY205" s="315"/>
      <c r="AZ205" s="315"/>
      <c r="BA205" s="315"/>
      <c r="BB205" s="315"/>
      <c r="BC205" s="315"/>
      <c r="BD205" s="319"/>
      <c r="BE205" s="319"/>
      <c r="BF205" s="319"/>
      <c r="BG205" s="319"/>
      <c r="BH205" s="319"/>
      <c r="BI205" s="319"/>
      <c r="BJ205" s="319"/>
      <c r="BK205" s="315"/>
      <c r="BL205" s="316"/>
      <c r="BM205" s="314"/>
      <c r="BN205" s="319"/>
      <c r="BO205" s="315"/>
      <c r="BP205" s="314"/>
      <c r="BQ205" s="316"/>
      <c r="BR205" s="314"/>
      <c r="BS205" s="262"/>
      <c r="BT205" s="262"/>
    </row>
    <row r="206" spans="1:72" ht="45.75" customHeight="1">
      <c r="A206" s="342"/>
      <c r="B206" s="342"/>
      <c r="C206" s="342"/>
      <c r="D206" s="343"/>
      <c r="E206" s="342"/>
      <c r="F206" s="342"/>
      <c r="G206" s="344"/>
      <c r="H206" s="344"/>
      <c r="I206" s="344"/>
      <c r="J206" s="334"/>
      <c r="K206" s="335"/>
      <c r="L206" s="336"/>
      <c r="M206" s="336"/>
      <c r="N206" s="337"/>
      <c r="O206" s="337"/>
      <c r="P206" s="315"/>
      <c r="Q206" s="314"/>
      <c r="R206" s="317"/>
      <c r="S206" s="315"/>
      <c r="T206" s="315"/>
      <c r="U206" s="315"/>
      <c r="V206" s="258"/>
      <c r="W206" s="322"/>
      <c r="X206" s="318"/>
      <c r="Y206" s="315"/>
      <c r="Z206" s="318"/>
      <c r="AA206" s="314"/>
      <c r="AB206" s="336"/>
      <c r="AC206" s="314"/>
      <c r="AD206" s="316"/>
      <c r="AE206" s="315"/>
      <c r="AF206" s="315"/>
      <c r="AG206" s="315"/>
      <c r="AH206" s="315"/>
      <c r="AI206" s="377"/>
      <c r="AJ206" s="407"/>
      <c r="AK206" s="377"/>
      <c r="AL206" s="314"/>
      <c r="AM206" s="314"/>
      <c r="AN206" s="314"/>
      <c r="AO206" s="315"/>
      <c r="AP206" s="257"/>
      <c r="AQ206" s="257"/>
      <c r="AR206" s="257"/>
      <c r="AS206" s="315"/>
      <c r="AT206" s="257"/>
      <c r="AU206" s="257"/>
      <c r="AV206" s="316"/>
      <c r="AW206" s="314"/>
      <c r="AX206" s="315"/>
      <c r="AY206" s="315"/>
      <c r="AZ206" s="315"/>
      <c r="BA206" s="315"/>
      <c r="BB206" s="315"/>
      <c r="BC206" s="315"/>
      <c r="BD206" s="319"/>
      <c r="BE206" s="319"/>
      <c r="BF206" s="319"/>
      <c r="BG206" s="319"/>
      <c r="BH206" s="319"/>
      <c r="BI206" s="319"/>
      <c r="BJ206" s="319"/>
      <c r="BK206" s="315"/>
      <c r="BL206" s="316"/>
      <c r="BM206" s="314"/>
      <c r="BN206" s="319"/>
      <c r="BO206" s="315"/>
      <c r="BP206" s="314"/>
      <c r="BQ206" s="316"/>
      <c r="BR206" s="314"/>
      <c r="BS206" s="262"/>
      <c r="BT206" s="262"/>
    </row>
    <row r="207" spans="1:72" ht="45.75" customHeight="1">
      <c r="A207" s="342"/>
      <c r="B207" s="342"/>
      <c r="C207" s="342"/>
      <c r="D207" s="343"/>
      <c r="E207" s="342"/>
      <c r="F207" s="342"/>
      <c r="G207" s="344"/>
      <c r="H207" s="344"/>
      <c r="I207" s="344"/>
      <c r="J207" s="334"/>
      <c r="K207" s="335"/>
      <c r="L207" s="336"/>
      <c r="M207" s="336"/>
      <c r="N207" s="337"/>
      <c r="O207" s="337"/>
      <c r="P207" s="315"/>
      <c r="Q207" s="314"/>
      <c r="R207" s="317"/>
      <c r="S207" s="315"/>
      <c r="T207" s="315"/>
      <c r="U207" s="315"/>
      <c r="V207" s="258"/>
      <c r="W207" s="322"/>
      <c r="X207" s="318"/>
      <c r="Y207" s="315"/>
      <c r="Z207" s="318"/>
      <c r="AA207" s="314"/>
      <c r="AB207" s="336"/>
      <c r="AC207" s="314"/>
      <c r="AD207" s="316"/>
      <c r="AE207" s="315"/>
      <c r="AF207" s="315"/>
      <c r="AG207" s="315"/>
      <c r="AH207" s="315"/>
      <c r="AI207" s="377"/>
      <c r="AJ207" s="407"/>
      <c r="AK207" s="377"/>
      <c r="AL207" s="314"/>
      <c r="AM207" s="314"/>
      <c r="AN207" s="314"/>
      <c r="AO207" s="315"/>
      <c r="AP207" s="257"/>
      <c r="AQ207" s="257"/>
      <c r="AR207" s="257"/>
      <c r="AS207" s="315"/>
      <c r="AT207" s="257"/>
      <c r="AU207" s="257"/>
      <c r="AV207" s="316"/>
      <c r="AW207" s="314"/>
      <c r="AX207" s="315"/>
      <c r="AY207" s="315"/>
      <c r="AZ207" s="315"/>
      <c r="BA207" s="315"/>
      <c r="BB207" s="315"/>
      <c r="BC207" s="315"/>
      <c r="BD207" s="319"/>
      <c r="BE207" s="319"/>
      <c r="BF207" s="319"/>
      <c r="BG207" s="319"/>
      <c r="BH207" s="319"/>
      <c r="BI207" s="319"/>
      <c r="BJ207" s="319"/>
      <c r="BK207" s="315"/>
      <c r="BL207" s="316"/>
      <c r="BM207" s="314"/>
      <c r="BN207" s="319"/>
      <c r="BO207" s="315"/>
      <c r="BP207" s="314"/>
      <c r="BQ207" s="316"/>
      <c r="BR207" s="314"/>
      <c r="BS207" s="262"/>
      <c r="BT207" s="262"/>
    </row>
    <row r="208" spans="1:72" ht="45.75" customHeight="1">
      <c r="A208" s="342"/>
      <c r="B208" s="342"/>
      <c r="C208" s="342"/>
      <c r="D208" s="343"/>
      <c r="E208" s="342"/>
      <c r="F208" s="342"/>
      <c r="G208" s="344"/>
      <c r="H208" s="344"/>
      <c r="I208" s="344"/>
      <c r="J208" s="334"/>
      <c r="K208" s="335"/>
      <c r="L208" s="336"/>
      <c r="M208" s="336"/>
      <c r="N208" s="337"/>
      <c r="O208" s="337"/>
      <c r="P208" s="315"/>
      <c r="Q208" s="314"/>
      <c r="R208" s="317"/>
      <c r="S208" s="315"/>
      <c r="T208" s="315"/>
      <c r="U208" s="315"/>
      <c r="V208" s="258"/>
      <c r="W208" s="322"/>
      <c r="X208" s="318"/>
      <c r="Y208" s="315"/>
      <c r="Z208" s="318"/>
      <c r="AA208" s="314"/>
      <c r="AB208" s="336"/>
      <c r="AC208" s="314"/>
      <c r="AD208" s="316"/>
      <c r="AE208" s="315"/>
      <c r="AF208" s="315"/>
      <c r="AG208" s="315"/>
      <c r="AH208" s="315"/>
      <c r="AI208" s="377"/>
      <c r="AJ208" s="407"/>
      <c r="AK208" s="377"/>
      <c r="AL208" s="314"/>
      <c r="AM208" s="314"/>
      <c r="AN208" s="314"/>
      <c r="AO208" s="315"/>
      <c r="AP208" s="257"/>
      <c r="AQ208" s="257"/>
      <c r="AR208" s="257"/>
      <c r="AS208" s="315"/>
      <c r="AT208" s="257"/>
      <c r="AU208" s="257"/>
      <c r="AV208" s="316"/>
      <c r="AW208" s="314"/>
      <c r="AX208" s="315"/>
      <c r="AY208" s="315"/>
      <c r="AZ208" s="315"/>
      <c r="BA208" s="315"/>
      <c r="BB208" s="315"/>
      <c r="BC208" s="315"/>
      <c r="BD208" s="319"/>
      <c r="BE208" s="319"/>
      <c r="BF208" s="319"/>
      <c r="BG208" s="319"/>
      <c r="BH208" s="319"/>
      <c r="BI208" s="319"/>
      <c r="BJ208" s="319"/>
      <c r="BK208" s="315"/>
      <c r="BL208" s="316"/>
      <c r="BM208" s="314"/>
      <c r="BN208" s="319"/>
      <c r="BO208" s="315"/>
      <c r="BP208" s="314"/>
      <c r="BQ208" s="316"/>
      <c r="BR208" s="314"/>
      <c r="BS208" s="262"/>
      <c r="BT208" s="262"/>
    </row>
    <row r="209" spans="1:72" ht="45.75" customHeight="1">
      <c r="A209" s="342"/>
      <c r="B209" s="342"/>
      <c r="C209" s="342"/>
      <c r="D209" s="343"/>
      <c r="E209" s="342"/>
      <c r="F209" s="342"/>
      <c r="G209" s="344"/>
      <c r="H209" s="344"/>
      <c r="I209" s="344"/>
      <c r="J209" s="334"/>
      <c r="K209" s="335"/>
      <c r="L209" s="336"/>
      <c r="M209" s="336"/>
      <c r="N209" s="337"/>
      <c r="O209" s="337"/>
      <c r="P209" s="315"/>
      <c r="Q209" s="314"/>
      <c r="R209" s="317"/>
      <c r="S209" s="315"/>
      <c r="T209" s="315"/>
      <c r="U209" s="315"/>
      <c r="V209" s="258"/>
      <c r="W209" s="322"/>
      <c r="X209" s="318"/>
      <c r="Y209" s="315"/>
      <c r="Z209" s="318"/>
      <c r="AA209" s="314"/>
      <c r="AB209" s="336"/>
      <c r="AC209" s="314"/>
      <c r="AD209" s="316"/>
      <c r="AE209" s="315"/>
      <c r="AF209" s="315"/>
      <c r="AG209" s="315"/>
      <c r="AH209" s="315"/>
      <c r="AI209" s="377"/>
      <c r="AJ209" s="407"/>
      <c r="AK209" s="377"/>
      <c r="AL209" s="314"/>
      <c r="AM209" s="314"/>
      <c r="AN209" s="314"/>
      <c r="AO209" s="315"/>
      <c r="AP209" s="257"/>
      <c r="AQ209" s="257"/>
      <c r="AR209" s="257"/>
      <c r="AS209" s="315"/>
      <c r="AT209" s="257"/>
      <c r="AU209" s="257"/>
      <c r="AV209" s="316"/>
      <c r="AW209" s="314"/>
      <c r="AX209" s="315"/>
      <c r="AY209" s="315"/>
      <c r="AZ209" s="315"/>
      <c r="BA209" s="315"/>
      <c r="BB209" s="315"/>
      <c r="BC209" s="315"/>
      <c r="BD209" s="319"/>
      <c r="BE209" s="319"/>
      <c r="BF209" s="319"/>
      <c r="BG209" s="319"/>
      <c r="BH209" s="319"/>
      <c r="BI209" s="319"/>
      <c r="BJ209" s="319"/>
      <c r="BK209" s="315"/>
      <c r="BL209" s="316"/>
      <c r="BM209" s="314"/>
      <c r="BN209" s="319"/>
      <c r="BO209" s="315"/>
      <c r="BP209" s="314"/>
      <c r="BQ209" s="316"/>
      <c r="BR209" s="314"/>
      <c r="BS209" s="262"/>
      <c r="BT209" s="262"/>
    </row>
    <row r="210" spans="1:72" ht="45.75" customHeight="1">
      <c r="A210" s="342"/>
      <c r="B210" s="342"/>
      <c r="C210" s="342"/>
      <c r="D210" s="343"/>
      <c r="E210" s="342"/>
      <c r="F210" s="342"/>
      <c r="G210" s="344"/>
      <c r="H210" s="344"/>
      <c r="I210" s="344"/>
      <c r="J210" s="334"/>
      <c r="K210" s="335"/>
      <c r="L210" s="336"/>
      <c r="M210" s="336"/>
      <c r="N210" s="337"/>
      <c r="O210" s="337"/>
      <c r="P210" s="315"/>
      <c r="Q210" s="314"/>
      <c r="R210" s="317"/>
      <c r="S210" s="315"/>
      <c r="T210" s="315"/>
      <c r="U210" s="315"/>
      <c r="V210" s="258"/>
      <c r="W210" s="322"/>
      <c r="X210" s="318"/>
      <c r="Y210" s="315"/>
      <c r="Z210" s="318"/>
      <c r="AA210" s="314"/>
      <c r="AB210" s="336"/>
      <c r="AC210" s="314"/>
      <c r="AD210" s="316"/>
      <c r="AE210" s="315"/>
      <c r="AF210" s="315"/>
      <c r="AG210" s="315"/>
      <c r="AH210" s="315"/>
      <c r="AI210" s="377"/>
      <c r="AJ210" s="407"/>
      <c r="AK210" s="377"/>
      <c r="AL210" s="314"/>
      <c r="AM210" s="314"/>
      <c r="AN210" s="314"/>
      <c r="AO210" s="315"/>
      <c r="AP210" s="257"/>
      <c r="AQ210" s="257"/>
      <c r="AR210" s="257"/>
      <c r="AS210" s="315"/>
      <c r="AT210" s="257"/>
      <c r="AU210" s="257"/>
      <c r="AV210" s="316"/>
      <c r="AW210" s="314"/>
      <c r="AX210" s="315"/>
      <c r="AY210" s="315"/>
      <c r="AZ210" s="315"/>
      <c r="BA210" s="315"/>
      <c r="BB210" s="315"/>
      <c r="BC210" s="315"/>
      <c r="BD210" s="319"/>
      <c r="BE210" s="319"/>
      <c r="BF210" s="319"/>
      <c r="BG210" s="319"/>
      <c r="BH210" s="319"/>
      <c r="BI210" s="319"/>
      <c r="BJ210" s="319"/>
      <c r="BK210" s="315"/>
      <c r="BL210" s="316"/>
      <c r="BM210" s="314"/>
      <c r="BN210" s="319"/>
      <c r="BO210" s="315"/>
      <c r="BP210" s="314"/>
      <c r="BQ210" s="316"/>
      <c r="BR210" s="314"/>
      <c r="BS210" s="262"/>
      <c r="BT210" s="262"/>
    </row>
    <row r="211" spans="1:72" ht="45.75" customHeight="1">
      <c r="A211" s="342"/>
      <c r="B211" s="342"/>
      <c r="C211" s="342"/>
      <c r="D211" s="343"/>
      <c r="E211" s="342"/>
      <c r="F211" s="342"/>
      <c r="G211" s="344"/>
      <c r="H211" s="344"/>
      <c r="I211" s="344"/>
      <c r="J211" s="334"/>
      <c r="K211" s="335"/>
      <c r="L211" s="336"/>
      <c r="M211" s="336"/>
      <c r="N211" s="337"/>
      <c r="O211" s="337"/>
      <c r="P211" s="315"/>
      <c r="Q211" s="314"/>
      <c r="R211" s="317"/>
      <c r="S211" s="315"/>
      <c r="T211" s="315"/>
      <c r="U211" s="315"/>
      <c r="V211" s="258"/>
      <c r="W211" s="322"/>
      <c r="X211" s="318"/>
      <c r="Y211" s="315"/>
      <c r="Z211" s="318"/>
      <c r="AA211" s="314"/>
      <c r="AB211" s="336"/>
      <c r="AC211" s="314"/>
      <c r="AD211" s="316"/>
      <c r="AE211" s="315"/>
      <c r="AF211" s="315"/>
      <c r="AG211" s="315"/>
      <c r="AH211" s="315"/>
      <c r="AI211" s="377"/>
      <c r="AJ211" s="407"/>
      <c r="AK211" s="377"/>
      <c r="AL211" s="314"/>
      <c r="AM211" s="314"/>
      <c r="AN211" s="314"/>
      <c r="AO211" s="315"/>
      <c r="AP211" s="257"/>
      <c r="AQ211" s="257"/>
      <c r="AR211" s="257"/>
      <c r="AS211" s="315"/>
      <c r="AT211" s="257"/>
      <c r="AU211" s="257"/>
      <c r="AV211" s="316"/>
      <c r="AW211" s="314"/>
      <c r="AX211" s="315"/>
      <c r="AY211" s="315"/>
      <c r="AZ211" s="315"/>
      <c r="BA211" s="315"/>
      <c r="BB211" s="315"/>
      <c r="BC211" s="315"/>
      <c r="BD211" s="319"/>
      <c r="BE211" s="319"/>
      <c r="BF211" s="319"/>
      <c r="BG211" s="319"/>
      <c r="BH211" s="319"/>
      <c r="BI211" s="319"/>
      <c r="BJ211" s="319"/>
      <c r="BK211" s="315"/>
      <c r="BL211" s="316"/>
      <c r="BM211" s="314"/>
      <c r="BN211" s="319"/>
      <c r="BO211" s="315"/>
      <c r="BP211" s="314"/>
      <c r="BQ211" s="316"/>
      <c r="BR211" s="314"/>
      <c r="BS211" s="262"/>
      <c r="BT211" s="262"/>
    </row>
    <row r="212" spans="1:72" ht="45.75" customHeight="1">
      <c r="A212" s="342"/>
      <c r="B212" s="342"/>
      <c r="C212" s="342"/>
      <c r="D212" s="343"/>
      <c r="E212" s="342"/>
      <c r="F212" s="342"/>
      <c r="G212" s="344"/>
      <c r="H212" s="344"/>
      <c r="I212" s="344"/>
      <c r="J212" s="334"/>
      <c r="K212" s="335"/>
      <c r="L212" s="336"/>
      <c r="M212" s="336"/>
      <c r="N212" s="337"/>
      <c r="O212" s="337"/>
      <c r="P212" s="315"/>
      <c r="Q212" s="314"/>
      <c r="R212" s="317"/>
      <c r="S212" s="315"/>
      <c r="T212" s="315"/>
      <c r="U212" s="315"/>
      <c r="V212" s="258"/>
      <c r="W212" s="322"/>
      <c r="X212" s="318"/>
      <c r="Y212" s="315"/>
      <c r="Z212" s="318"/>
      <c r="AA212" s="314"/>
      <c r="AB212" s="336"/>
      <c r="AC212" s="314"/>
      <c r="AD212" s="316"/>
      <c r="AE212" s="315"/>
      <c r="AF212" s="315"/>
      <c r="AG212" s="315"/>
      <c r="AH212" s="315"/>
      <c r="AI212" s="377"/>
      <c r="AJ212" s="407"/>
      <c r="AK212" s="377"/>
      <c r="AL212" s="314"/>
      <c r="AM212" s="314"/>
      <c r="AN212" s="314"/>
      <c r="AO212" s="315"/>
      <c r="AP212" s="257"/>
      <c r="AQ212" s="257"/>
      <c r="AR212" s="257"/>
      <c r="AS212" s="315"/>
      <c r="AT212" s="257"/>
      <c r="AU212" s="257"/>
      <c r="AV212" s="316"/>
      <c r="AW212" s="314"/>
      <c r="AX212" s="315"/>
      <c r="AY212" s="315"/>
      <c r="AZ212" s="315"/>
      <c r="BA212" s="315"/>
      <c r="BB212" s="315"/>
      <c r="BC212" s="315"/>
      <c r="BD212" s="319"/>
      <c r="BE212" s="319"/>
      <c r="BF212" s="319"/>
      <c r="BG212" s="319"/>
      <c r="BH212" s="319"/>
      <c r="BI212" s="319"/>
      <c r="BJ212" s="319"/>
      <c r="BK212" s="315"/>
      <c r="BL212" s="316"/>
      <c r="BM212" s="314"/>
      <c r="BN212" s="319"/>
      <c r="BO212" s="315"/>
      <c r="BP212" s="314"/>
      <c r="BQ212" s="316"/>
      <c r="BR212" s="314"/>
      <c r="BS212" s="262"/>
      <c r="BT212" s="262"/>
    </row>
    <row r="213" spans="1:72" ht="45.75" customHeight="1">
      <c r="A213" s="342"/>
      <c r="B213" s="342"/>
      <c r="C213" s="342"/>
      <c r="D213" s="343"/>
      <c r="E213" s="342"/>
      <c r="F213" s="342"/>
      <c r="G213" s="344"/>
      <c r="H213" s="344"/>
      <c r="I213" s="344"/>
      <c r="J213" s="334"/>
      <c r="K213" s="335"/>
      <c r="L213" s="336"/>
      <c r="M213" s="336"/>
      <c r="N213" s="337"/>
      <c r="O213" s="337"/>
      <c r="P213" s="315"/>
      <c r="Q213" s="314"/>
      <c r="R213" s="317"/>
      <c r="S213" s="315"/>
      <c r="T213" s="315"/>
      <c r="U213" s="315"/>
      <c r="V213" s="258"/>
      <c r="W213" s="322"/>
      <c r="X213" s="318"/>
      <c r="Y213" s="315"/>
      <c r="Z213" s="318"/>
      <c r="AA213" s="314"/>
      <c r="AB213" s="336"/>
      <c r="AC213" s="314"/>
      <c r="AD213" s="316"/>
      <c r="AE213" s="315"/>
      <c r="AF213" s="315"/>
      <c r="AG213" s="315"/>
      <c r="AH213" s="315"/>
      <c r="AI213" s="377"/>
      <c r="AJ213" s="407"/>
      <c r="AK213" s="377"/>
      <c r="AL213" s="314"/>
      <c r="AM213" s="314"/>
      <c r="AN213" s="314"/>
      <c r="AO213" s="315"/>
      <c r="AP213" s="257"/>
      <c r="AQ213" s="257"/>
      <c r="AR213" s="257"/>
      <c r="AS213" s="315"/>
      <c r="AT213" s="257"/>
      <c r="AU213" s="257"/>
      <c r="AV213" s="316"/>
      <c r="AW213" s="314"/>
      <c r="AX213" s="315"/>
      <c r="AY213" s="315"/>
      <c r="AZ213" s="315"/>
      <c r="BA213" s="315"/>
      <c r="BB213" s="315"/>
      <c r="BC213" s="315"/>
      <c r="BD213" s="319"/>
      <c r="BE213" s="319"/>
      <c r="BF213" s="319"/>
      <c r="BG213" s="319"/>
      <c r="BH213" s="319"/>
      <c r="BI213" s="319"/>
      <c r="BJ213" s="319"/>
      <c r="BK213" s="315"/>
      <c r="BL213" s="316"/>
      <c r="BM213" s="314"/>
      <c r="BN213" s="319"/>
      <c r="BO213" s="315"/>
      <c r="BP213" s="314"/>
      <c r="BQ213" s="316"/>
      <c r="BR213" s="314"/>
      <c r="BS213" s="262"/>
      <c r="BT213" s="262"/>
    </row>
    <row r="214" spans="1:72" ht="45.75" customHeight="1">
      <c r="A214" s="342"/>
      <c r="B214" s="342"/>
      <c r="C214" s="342"/>
      <c r="D214" s="343"/>
      <c r="E214" s="342"/>
      <c r="F214" s="342"/>
      <c r="G214" s="344"/>
      <c r="H214" s="344"/>
      <c r="I214" s="344"/>
      <c r="J214" s="334"/>
      <c r="K214" s="335"/>
      <c r="L214" s="336"/>
      <c r="M214" s="336"/>
      <c r="N214" s="337"/>
      <c r="O214" s="337"/>
      <c r="P214" s="315"/>
      <c r="Q214" s="314"/>
      <c r="R214" s="317"/>
      <c r="S214" s="315"/>
      <c r="T214" s="315"/>
      <c r="U214" s="315"/>
      <c r="V214" s="258"/>
      <c r="W214" s="322"/>
      <c r="X214" s="318"/>
      <c r="Y214" s="315"/>
      <c r="Z214" s="318"/>
      <c r="AA214" s="314"/>
      <c r="AB214" s="336"/>
      <c r="AC214" s="314"/>
      <c r="AD214" s="316"/>
      <c r="AE214" s="315"/>
      <c r="AF214" s="315"/>
      <c r="AG214" s="315"/>
      <c r="AH214" s="315"/>
      <c r="AI214" s="377"/>
      <c r="AJ214" s="407"/>
      <c r="AK214" s="377"/>
      <c r="AL214" s="314"/>
      <c r="AM214" s="314"/>
      <c r="AN214" s="314"/>
      <c r="AO214" s="315"/>
      <c r="AP214" s="257"/>
      <c r="AQ214" s="257"/>
      <c r="AR214" s="257"/>
      <c r="AS214" s="315"/>
      <c r="AT214" s="257"/>
      <c r="AU214" s="257"/>
      <c r="AV214" s="316"/>
      <c r="AW214" s="314"/>
      <c r="AX214" s="315"/>
      <c r="AY214" s="315"/>
      <c r="AZ214" s="315"/>
      <c r="BA214" s="315"/>
      <c r="BB214" s="315"/>
      <c r="BC214" s="315"/>
      <c r="BD214" s="319"/>
      <c r="BE214" s="319"/>
      <c r="BF214" s="319"/>
      <c r="BG214" s="319"/>
      <c r="BH214" s="319"/>
      <c r="BI214" s="319"/>
      <c r="BJ214" s="319"/>
      <c r="BK214" s="315"/>
      <c r="BL214" s="316"/>
      <c r="BM214" s="314"/>
      <c r="BN214" s="319"/>
      <c r="BO214" s="315"/>
      <c r="BP214" s="314"/>
      <c r="BQ214" s="316"/>
      <c r="BR214" s="314"/>
      <c r="BS214" s="262"/>
      <c r="BT214" s="262"/>
    </row>
    <row r="215" spans="1:72" ht="45.75" customHeight="1">
      <c r="A215" s="342"/>
      <c r="B215" s="342"/>
      <c r="C215" s="342"/>
      <c r="D215" s="343"/>
      <c r="E215" s="342"/>
      <c r="F215" s="342"/>
      <c r="G215" s="344"/>
      <c r="H215" s="344"/>
      <c r="I215" s="344"/>
      <c r="J215" s="334"/>
      <c r="K215" s="335"/>
      <c r="L215" s="336"/>
      <c r="M215" s="336"/>
      <c r="N215" s="337"/>
      <c r="O215" s="337"/>
      <c r="P215" s="315"/>
      <c r="Q215" s="314"/>
      <c r="R215" s="317"/>
      <c r="S215" s="315"/>
      <c r="T215" s="315"/>
      <c r="U215" s="315"/>
      <c r="V215" s="258"/>
      <c r="W215" s="322"/>
      <c r="X215" s="318"/>
      <c r="Y215" s="315"/>
      <c r="Z215" s="318"/>
      <c r="AA215" s="314"/>
      <c r="AB215" s="336"/>
      <c r="AC215" s="314"/>
      <c r="AD215" s="316"/>
      <c r="AE215" s="315"/>
      <c r="AF215" s="315"/>
      <c r="AG215" s="315"/>
      <c r="AH215" s="315"/>
      <c r="AI215" s="377"/>
      <c r="AJ215" s="407"/>
      <c r="AK215" s="377"/>
      <c r="AL215" s="314"/>
      <c r="AM215" s="314"/>
      <c r="AN215" s="314"/>
      <c r="AO215" s="315"/>
      <c r="AP215" s="257"/>
      <c r="AQ215" s="257"/>
      <c r="AR215" s="257"/>
      <c r="AS215" s="315"/>
      <c r="AT215" s="257"/>
      <c r="AU215" s="257"/>
      <c r="AV215" s="316"/>
      <c r="AW215" s="314"/>
      <c r="AX215" s="315"/>
      <c r="AY215" s="315"/>
      <c r="AZ215" s="315"/>
      <c r="BA215" s="315"/>
      <c r="BB215" s="315"/>
      <c r="BC215" s="315"/>
      <c r="BD215" s="319"/>
      <c r="BE215" s="319"/>
      <c r="BF215" s="319"/>
      <c r="BG215" s="319"/>
      <c r="BH215" s="319"/>
      <c r="BI215" s="319"/>
      <c r="BJ215" s="319"/>
      <c r="BK215" s="315"/>
      <c r="BL215" s="316"/>
      <c r="BM215" s="314"/>
      <c r="BN215" s="319"/>
      <c r="BO215" s="315"/>
      <c r="BP215" s="314"/>
      <c r="BQ215" s="316"/>
      <c r="BR215" s="314"/>
      <c r="BS215" s="262"/>
      <c r="BT215" s="262"/>
    </row>
    <row r="216" spans="1:72" ht="45.75" customHeight="1">
      <c r="A216" s="342"/>
      <c r="B216" s="342"/>
      <c r="C216" s="342"/>
      <c r="D216" s="343"/>
      <c r="E216" s="342"/>
      <c r="F216" s="342"/>
      <c r="G216" s="344"/>
      <c r="H216" s="344"/>
      <c r="I216" s="344"/>
      <c r="J216" s="334"/>
      <c r="K216" s="335"/>
      <c r="L216" s="336"/>
      <c r="M216" s="336"/>
      <c r="N216" s="337"/>
      <c r="O216" s="337"/>
      <c r="P216" s="315"/>
      <c r="Q216" s="314"/>
      <c r="R216" s="317"/>
      <c r="S216" s="315"/>
      <c r="T216" s="315"/>
      <c r="U216" s="315"/>
      <c r="V216" s="258"/>
      <c r="W216" s="322"/>
      <c r="X216" s="318"/>
      <c r="Y216" s="315"/>
      <c r="Z216" s="318"/>
      <c r="AA216" s="314"/>
      <c r="AB216" s="336"/>
      <c r="AC216" s="314"/>
      <c r="AD216" s="316"/>
      <c r="AE216" s="315"/>
      <c r="AF216" s="315"/>
      <c r="AG216" s="315"/>
      <c r="AH216" s="315"/>
      <c r="AI216" s="377"/>
      <c r="AJ216" s="407"/>
      <c r="AK216" s="377"/>
      <c r="AL216" s="314"/>
      <c r="AM216" s="314"/>
      <c r="AN216" s="314"/>
      <c r="AO216" s="315"/>
      <c r="AP216" s="257"/>
      <c r="AQ216" s="257"/>
      <c r="AR216" s="257"/>
      <c r="AS216" s="315"/>
      <c r="AT216" s="257"/>
      <c r="AU216" s="257"/>
      <c r="AV216" s="316"/>
      <c r="AW216" s="314"/>
      <c r="AX216" s="315"/>
      <c r="AY216" s="315"/>
      <c r="AZ216" s="315"/>
      <c r="BA216" s="315"/>
      <c r="BB216" s="315"/>
      <c r="BC216" s="315"/>
      <c r="BD216" s="319"/>
      <c r="BE216" s="319"/>
      <c r="BF216" s="319"/>
      <c r="BG216" s="319"/>
      <c r="BH216" s="319"/>
      <c r="BI216" s="319"/>
      <c r="BJ216" s="319"/>
      <c r="BK216" s="315"/>
      <c r="BL216" s="316"/>
      <c r="BM216" s="314"/>
      <c r="BN216" s="319"/>
      <c r="BO216" s="315"/>
      <c r="BP216" s="314"/>
      <c r="BQ216" s="316"/>
      <c r="BR216" s="314"/>
      <c r="BS216" s="262"/>
      <c r="BT216" s="262"/>
    </row>
    <row r="217" spans="1:72" ht="45.75" customHeight="1">
      <c r="A217" s="342"/>
      <c r="B217" s="342"/>
      <c r="C217" s="342"/>
      <c r="D217" s="343"/>
      <c r="E217" s="342"/>
      <c r="F217" s="342"/>
      <c r="G217" s="344"/>
      <c r="H217" s="344"/>
      <c r="I217" s="344"/>
      <c r="J217" s="334"/>
      <c r="K217" s="335"/>
      <c r="L217" s="336"/>
      <c r="M217" s="336"/>
      <c r="N217" s="337"/>
      <c r="O217" s="337"/>
      <c r="P217" s="315"/>
      <c r="Q217" s="314"/>
      <c r="R217" s="317"/>
      <c r="S217" s="315"/>
      <c r="T217" s="315"/>
      <c r="U217" s="315"/>
      <c r="V217" s="258"/>
      <c r="W217" s="322"/>
      <c r="X217" s="318"/>
      <c r="Y217" s="315"/>
      <c r="Z217" s="318"/>
      <c r="AA217" s="314"/>
      <c r="AB217" s="336"/>
      <c r="AC217" s="314"/>
      <c r="AD217" s="316"/>
      <c r="AE217" s="315"/>
      <c r="AF217" s="315"/>
      <c r="AG217" s="315"/>
      <c r="AH217" s="315"/>
      <c r="AI217" s="377"/>
      <c r="AJ217" s="407"/>
      <c r="AK217" s="377"/>
      <c r="AL217" s="314"/>
      <c r="AM217" s="314"/>
      <c r="AN217" s="314"/>
      <c r="AO217" s="315"/>
      <c r="AP217" s="257"/>
      <c r="AQ217" s="257"/>
      <c r="AR217" s="257"/>
      <c r="AS217" s="315"/>
      <c r="AT217" s="257"/>
      <c r="AU217" s="257"/>
      <c r="AV217" s="316"/>
      <c r="AW217" s="314"/>
      <c r="AX217" s="315"/>
      <c r="AY217" s="315"/>
      <c r="AZ217" s="315"/>
      <c r="BA217" s="315"/>
      <c r="BB217" s="315"/>
      <c r="BC217" s="315"/>
      <c r="BD217" s="319"/>
      <c r="BE217" s="319"/>
      <c r="BF217" s="319"/>
      <c r="BG217" s="319"/>
      <c r="BH217" s="319"/>
      <c r="BI217" s="319"/>
      <c r="BJ217" s="319"/>
      <c r="BK217" s="315"/>
      <c r="BL217" s="316"/>
      <c r="BM217" s="314"/>
      <c r="BN217" s="319"/>
      <c r="BO217" s="315"/>
      <c r="BP217" s="314"/>
      <c r="BQ217" s="316"/>
      <c r="BR217" s="314"/>
      <c r="BS217" s="262"/>
      <c r="BT217" s="262"/>
    </row>
    <row r="218" spans="1:72" ht="45.75" customHeight="1">
      <c r="A218" s="342"/>
      <c r="B218" s="342"/>
      <c r="C218" s="342"/>
      <c r="D218" s="343"/>
      <c r="E218" s="342"/>
      <c r="F218" s="342"/>
      <c r="G218" s="344"/>
      <c r="H218" s="344"/>
      <c r="I218" s="344"/>
      <c r="J218" s="334"/>
      <c r="K218" s="335"/>
      <c r="L218" s="336"/>
      <c r="M218" s="336"/>
      <c r="N218" s="337"/>
      <c r="O218" s="337"/>
      <c r="P218" s="315"/>
      <c r="Q218" s="314"/>
      <c r="R218" s="317"/>
      <c r="S218" s="315"/>
      <c r="T218" s="315"/>
      <c r="U218" s="315"/>
      <c r="V218" s="258"/>
      <c r="W218" s="322"/>
      <c r="X218" s="318"/>
      <c r="Y218" s="315"/>
      <c r="Z218" s="318"/>
      <c r="AA218" s="314"/>
      <c r="AB218" s="336"/>
      <c r="AC218" s="314"/>
      <c r="AD218" s="316"/>
      <c r="AE218" s="315"/>
      <c r="AF218" s="315"/>
      <c r="AG218" s="315"/>
      <c r="AH218" s="315"/>
      <c r="AI218" s="377"/>
      <c r="AJ218" s="407"/>
      <c r="AK218" s="377"/>
      <c r="AL218" s="314"/>
      <c r="AM218" s="314"/>
      <c r="AN218" s="314"/>
      <c r="AO218" s="315"/>
      <c r="AP218" s="257"/>
      <c r="AQ218" s="257"/>
      <c r="AR218" s="257"/>
      <c r="AS218" s="315"/>
      <c r="AT218" s="257"/>
      <c r="AU218" s="257"/>
      <c r="AV218" s="316"/>
      <c r="AW218" s="314"/>
      <c r="AX218" s="315"/>
      <c r="AY218" s="315"/>
      <c r="AZ218" s="315"/>
      <c r="BA218" s="315"/>
      <c r="BB218" s="315"/>
      <c r="BC218" s="315"/>
      <c r="BD218" s="319"/>
      <c r="BE218" s="319"/>
      <c r="BF218" s="319"/>
      <c r="BG218" s="319"/>
      <c r="BH218" s="319"/>
      <c r="BI218" s="319"/>
      <c r="BJ218" s="319"/>
      <c r="BK218" s="315"/>
      <c r="BL218" s="316"/>
      <c r="BM218" s="314"/>
      <c r="BN218" s="319"/>
      <c r="BO218" s="315"/>
      <c r="BP218" s="314"/>
      <c r="BQ218" s="316"/>
      <c r="BR218" s="314"/>
      <c r="BS218" s="262"/>
      <c r="BT218" s="262"/>
    </row>
    <row r="219" spans="1:72" ht="45.75" customHeight="1">
      <c r="A219" s="342"/>
      <c r="B219" s="342"/>
      <c r="C219" s="342"/>
      <c r="D219" s="343"/>
      <c r="E219" s="342"/>
      <c r="F219" s="342"/>
      <c r="G219" s="344"/>
      <c r="H219" s="344"/>
      <c r="I219" s="344"/>
      <c r="J219" s="334"/>
      <c r="K219" s="335"/>
      <c r="L219" s="336"/>
      <c r="M219" s="336"/>
      <c r="N219" s="337"/>
      <c r="O219" s="337"/>
      <c r="P219" s="315"/>
      <c r="Q219" s="314"/>
      <c r="R219" s="317"/>
      <c r="S219" s="315"/>
      <c r="T219" s="315"/>
      <c r="U219" s="315"/>
      <c r="V219" s="258"/>
      <c r="W219" s="322"/>
      <c r="X219" s="318"/>
      <c r="Y219" s="315"/>
      <c r="Z219" s="318"/>
      <c r="AA219" s="314"/>
      <c r="AB219" s="336"/>
      <c r="AC219" s="314"/>
      <c r="AD219" s="316"/>
      <c r="AE219" s="315"/>
      <c r="AF219" s="315"/>
      <c r="AG219" s="315"/>
      <c r="AH219" s="315"/>
      <c r="AI219" s="377"/>
      <c r="AJ219" s="407"/>
      <c r="AK219" s="377"/>
      <c r="AL219" s="314"/>
      <c r="AM219" s="314"/>
      <c r="AN219" s="314"/>
      <c r="AO219" s="315"/>
      <c r="AP219" s="257"/>
      <c r="AQ219" s="257"/>
      <c r="AR219" s="257"/>
      <c r="AS219" s="315"/>
      <c r="AT219" s="257"/>
      <c r="AU219" s="257"/>
      <c r="AV219" s="316"/>
      <c r="AW219" s="314"/>
      <c r="AX219" s="315"/>
      <c r="AY219" s="315"/>
      <c r="AZ219" s="315"/>
      <c r="BA219" s="315"/>
      <c r="BB219" s="315"/>
      <c r="BC219" s="315"/>
      <c r="BD219" s="319"/>
      <c r="BE219" s="319"/>
      <c r="BF219" s="319"/>
      <c r="BG219" s="319"/>
      <c r="BH219" s="319"/>
      <c r="BI219" s="319"/>
      <c r="BJ219" s="319"/>
      <c r="BK219" s="315"/>
      <c r="BL219" s="316"/>
      <c r="BM219" s="314"/>
      <c r="BN219" s="319"/>
      <c r="BO219" s="315"/>
      <c r="BP219" s="314"/>
      <c r="BQ219" s="316"/>
      <c r="BR219" s="314"/>
      <c r="BS219" s="262"/>
      <c r="BT219" s="262"/>
    </row>
    <row r="220" spans="1:72" ht="45.75" customHeight="1">
      <c r="A220" s="342"/>
      <c r="B220" s="342"/>
      <c r="C220" s="342"/>
      <c r="D220" s="343"/>
      <c r="E220" s="342"/>
      <c r="F220" s="342"/>
      <c r="G220" s="344"/>
      <c r="H220" s="344"/>
      <c r="I220" s="344"/>
      <c r="J220" s="334"/>
      <c r="K220" s="335"/>
      <c r="L220" s="336"/>
      <c r="M220" s="336"/>
      <c r="N220" s="337"/>
      <c r="O220" s="337"/>
      <c r="P220" s="315"/>
      <c r="Q220" s="314"/>
      <c r="R220" s="317"/>
      <c r="S220" s="315"/>
      <c r="T220" s="315"/>
      <c r="U220" s="315"/>
      <c r="V220" s="258"/>
      <c r="W220" s="322"/>
      <c r="X220" s="318"/>
      <c r="Y220" s="315"/>
      <c r="Z220" s="318"/>
      <c r="AA220" s="314"/>
      <c r="AB220" s="336"/>
      <c r="AC220" s="314"/>
      <c r="AD220" s="316"/>
      <c r="AE220" s="315"/>
      <c r="AF220" s="315"/>
      <c r="AG220" s="315"/>
      <c r="AH220" s="315"/>
      <c r="AI220" s="377"/>
      <c r="AJ220" s="407"/>
      <c r="AK220" s="377"/>
      <c r="AL220" s="314"/>
      <c r="AM220" s="314"/>
      <c r="AN220" s="314"/>
      <c r="AO220" s="315"/>
      <c r="AP220" s="257"/>
      <c r="AQ220" s="257"/>
      <c r="AR220" s="257"/>
      <c r="AS220" s="315"/>
      <c r="AT220" s="257"/>
      <c r="AU220" s="257"/>
      <c r="AV220" s="316"/>
      <c r="AW220" s="314"/>
      <c r="AX220" s="315"/>
      <c r="AY220" s="315"/>
      <c r="AZ220" s="315"/>
      <c r="BA220" s="315"/>
      <c r="BB220" s="315"/>
      <c r="BC220" s="315"/>
      <c r="BD220" s="319"/>
      <c r="BE220" s="319"/>
      <c r="BF220" s="319"/>
      <c r="BG220" s="319"/>
      <c r="BH220" s="319"/>
      <c r="BI220" s="319"/>
      <c r="BJ220" s="319"/>
      <c r="BK220" s="315"/>
      <c r="BL220" s="316"/>
      <c r="BM220" s="314"/>
      <c r="BN220" s="319"/>
      <c r="BO220" s="315"/>
      <c r="BP220" s="314"/>
      <c r="BQ220" s="316"/>
      <c r="BR220" s="314"/>
      <c r="BS220" s="262"/>
      <c r="BT220" s="262"/>
    </row>
    <row r="221" spans="1:72" ht="45.75" customHeight="1">
      <c r="A221" s="342"/>
      <c r="B221" s="342"/>
      <c r="C221" s="342"/>
      <c r="D221" s="343"/>
      <c r="E221" s="342"/>
      <c r="F221" s="342"/>
      <c r="G221" s="344"/>
      <c r="H221" s="344"/>
      <c r="I221" s="344"/>
      <c r="J221" s="334"/>
      <c r="K221" s="335"/>
      <c r="L221" s="336"/>
      <c r="M221" s="336"/>
      <c r="N221" s="337"/>
      <c r="O221" s="337"/>
      <c r="P221" s="315"/>
      <c r="Q221" s="314"/>
      <c r="R221" s="317"/>
      <c r="S221" s="315"/>
      <c r="T221" s="315"/>
      <c r="U221" s="315"/>
      <c r="V221" s="258"/>
      <c r="W221" s="322"/>
      <c r="X221" s="318"/>
      <c r="Y221" s="315"/>
      <c r="Z221" s="318"/>
      <c r="AA221" s="314"/>
      <c r="AB221" s="336"/>
      <c r="AC221" s="314"/>
      <c r="AD221" s="316"/>
      <c r="AE221" s="315"/>
      <c r="AF221" s="315"/>
      <c r="AG221" s="315"/>
      <c r="AH221" s="315"/>
      <c r="AI221" s="377"/>
      <c r="AJ221" s="407"/>
      <c r="AK221" s="377"/>
      <c r="AL221" s="314"/>
      <c r="AM221" s="314"/>
      <c r="AN221" s="314"/>
      <c r="AO221" s="315"/>
      <c r="AP221" s="257"/>
      <c r="AQ221" s="257"/>
      <c r="AR221" s="257"/>
      <c r="AS221" s="315"/>
      <c r="AT221" s="257"/>
      <c r="AU221" s="257"/>
      <c r="AV221" s="316"/>
      <c r="AW221" s="314"/>
      <c r="AX221" s="315"/>
      <c r="AY221" s="315"/>
      <c r="AZ221" s="315"/>
      <c r="BA221" s="315"/>
      <c r="BB221" s="315"/>
      <c r="BC221" s="315"/>
      <c r="BD221" s="319"/>
      <c r="BE221" s="319"/>
      <c r="BF221" s="319"/>
      <c r="BG221" s="319"/>
      <c r="BH221" s="319"/>
      <c r="BI221" s="319"/>
      <c r="BJ221" s="319"/>
      <c r="BK221" s="315"/>
      <c r="BL221" s="316"/>
      <c r="BM221" s="314"/>
      <c r="BN221" s="319"/>
      <c r="BO221" s="315"/>
      <c r="BP221" s="314"/>
      <c r="BQ221" s="316"/>
      <c r="BR221" s="314"/>
      <c r="BS221" s="262"/>
      <c r="BT221" s="262"/>
    </row>
    <row r="222" spans="1:72" ht="45.75" customHeight="1">
      <c r="A222" s="342"/>
      <c r="B222" s="342"/>
      <c r="C222" s="342"/>
      <c r="D222" s="343"/>
      <c r="E222" s="342"/>
      <c r="F222" s="342"/>
      <c r="G222" s="344"/>
      <c r="H222" s="344"/>
      <c r="I222" s="344"/>
      <c r="J222" s="334"/>
      <c r="K222" s="335"/>
      <c r="L222" s="336"/>
      <c r="M222" s="336"/>
      <c r="N222" s="337"/>
      <c r="O222" s="337"/>
      <c r="P222" s="315"/>
      <c r="Q222" s="314"/>
      <c r="R222" s="317"/>
      <c r="S222" s="315"/>
      <c r="T222" s="315"/>
      <c r="U222" s="315"/>
      <c r="V222" s="258"/>
      <c r="W222" s="322"/>
      <c r="X222" s="318"/>
      <c r="Y222" s="315"/>
      <c r="Z222" s="318"/>
      <c r="AA222" s="314"/>
      <c r="AB222" s="336"/>
      <c r="AC222" s="314"/>
      <c r="AD222" s="316"/>
      <c r="AE222" s="315"/>
      <c r="AF222" s="315"/>
      <c r="AG222" s="315"/>
      <c r="AH222" s="315"/>
      <c r="AI222" s="377"/>
      <c r="AJ222" s="407"/>
      <c r="AK222" s="377"/>
      <c r="AL222" s="314"/>
      <c r="AM222" s="314"/>
      <c r="AN222" s="314"/>
      <c r="AO222" s="315"/>
      <c r="AP222" s="257"/>
      <c r="AQ222" s="257"/>
      <c r="AR222" s="257"/>
      <c r="AS222" s="315"/>
      <c r="AT222" s="257"/>
      <c r="AU222" s="257"/>
      <c r="AV222" s="316"/>
      <c r="AW222" s="314"/>
      <c r="AX222" s="315"/>
      <c r="AY222" s="315"/>
      <c r="AZ222" s="315"/>
      <c r="BA222" s="315"/>
      <c r="BB222" s="315"/>
      <c r="BC222" s="315"/>
      <c r="BD222" s="319"/>
      <c r="BE222" s="319"/>
      <c r="BF222" s="319"/>
      <c r="BG222" s="319"/>
      <c r="BH222" s="319"/>
      <c r="BI222" s="319"/>
      <c r="BJ222" s="319"/>
      <c r="BK222" s="315"/>
      <c r="BL222" s="316"/>
      <c r="BM222" s="314"/>
      <c r="BN222" s="319"/>
      <c r="BO222" s="315"/>
      <c r="BP222" s="314"/>
      <c r="BQ222" s="316"/>
      <c r="BR222" s="314"/>
      <c r="BS222" s="262"/>
      <c r="BT222" s="262"/>
    </row>
    <row r="223" spans="1:72" ht="45.75" customHeight="1">
      <c r="A223" s="342"/>
      <c r="B223" s="342"/>
      <c r="C223" s="342"/>
      <c r="D223" s="343"/>
      <c r="E223" s="342"/>
      <c r="F223" s="342"/>
      <c r="G223" s="344"/>
      <c r="H223" s="344"/>
      <c r="I223" s="344"/>
      <c r="J223" s="334"/>
      <c r="K223" s="335"/>
      <c r="L223" s="336"/>
      <c r="M223" s="336"/>
      <c r="N223" s="337"/>
      <c r="O223" s="337"/>
      <c r="P223" s="315"/>
      <c r="Q223" s="314"/>
      <c r="R223" s="317"/>
      <c r="S223" s="315"/>
      <c r="T223" s="315"/>
      <c r="U223" s="315"/>
      <c r="V223" s="258"/>
      <c r="W223" s="322"/>
      <c r="X223" s="318"/>
      <c r="Y223" s="315"/>
      <c r="Z223" s="318"/>
      <c r="AA223" s="314"/>
      <c r="AB223" s="336"/>
      <c r="AC223" s="314"/>
      <c r="AD223" s="316"/>
      <c r="AE223" s="315"/>
      <c r="AF223" s="315"/>
      <c r="AG223" s="315"/>
      <c r="AH223" s="315"/>
      <c r="AI223" s="377"/>
      <c r="AJ223" s="407"/>
      <c r="AK223" s="377"/>
      <c r="AL223" s="314"/>
      <c r="AM223" s="314"/>
      <c r="AN223" s="314"/>
      <c r="AO223" s="315"/>
      <c r="AP223" s="257"/>
      <c r="AQ223" s="257"/>
      <c r="AR223" s="257"/>
      <c r="AS223" s="315"/>
      <c r="AT223" s="257"/>
      <c r="AU223" s="257"/>
      <c r="AV223" s="316"/>
      <c r="AW223" s="314"/>
      <c r="AX223" s="315"/>
      <c r="AY223" s="315"/>
      <c r="AZ223" s="315"/>
      <c r="BA223" s="315"/>
      <c r="BB223" s="315"/>
      <c r="BC223" s="315"/>
      <c r="BD223" s="319"/>
      <c r="BE223" s="319"/>
      <c r="BF223" s="319"/>
      <c r="BG223" s="319"/>
      <c r="BH223" s="319"/>
      <c r="BI223" s="319"/>
      <c r="BJ223" s="319"/>
      <c r="BK223" s="315"/>
      <c r="BL223" s="316"/>
      <c r="BM223" s="314"/>
      <c r="BN223" s="319"/>
      <c r="BO223" s="315"/>
      <c r="BP223" s="314"/>
      <c r="BQ223" s="316"/>
      <c r="BR223" s="314"/>
      <c r="BS223" s="262"/>
      <c r="BT223" s="262"/>
    </row>
    <row r="224" spans="1:72" ht="45.75" customHeight="1">
      <c r="A224" s="342"/>
      <c r="B224" s="342"/>
      <c r="C224" s="342"/>
      <c r="D224" s="343"/>
      <c r="E224" s="342"/>
      <c r="F224" s="342"/>
      <c r="G224" s="344"/>
      <c r="H224" s="344"/>
      <c r="I224" s="344"/>
      <c r="J224" s="334"/>
      <c r="K224" s="335"/>
      <c r="L224" s="336"/>
      <c r="M224" s="336"/>
      <c r="N224" s="337"/>
      <c r="O224" s="337"/>
      <c r="P224" s="315"/>
      <c r="Q224" s="314"/>
      <c r="R224" s="317"/>
      <c r="S224" s="315"/>
      <c r="T224" s="315"/>
      <c r="U224" s="315"/>
      <c r="V224" s="258"/>
      <c r="W224" s="322"/>
      <c r="X224" s="318"/>
      <c r="Y224" s="315"/>
      <c r="Z224" s="318"/>
      <c r="AA224" s="314"/>
      <c r="AB224" s="336"/>
      <c r="AC224" s="314"/>
      <c r="AD224" s="316"/>
      <c r="AE224" s="315"/>
      <c r="AF224" s="315"/>
      <c r="AG224" s="315"/>
      <c r="AH224" s="315"/>
      <c r="AI224" s="377"/>
      <c r="AJ224" s="407"/>
      <c r="AK224" s="377"/>
      <c r="AL224" s="314"/>
      <c r="AM224" s="314"/>
      <c r="AN224" s="314"/>
      <c r="AO224" s="315"/>
      <c r="AP224" s="257"/>
      <c r="AQ224" s="257"/>
      <c r="AR224" s="257"/>
      <c r="AS224" s="315"/>
      <c r="AT224" s="257"/>
      <c r="AU224" s="257"/>
      <c r="AV224" s="316"/>
      <c r="AW224" s="314"/>
      <c r="AX224" s="315"/>
      <c r="AY224" s="315"/>
      <c r="AZ224" s="315"/>
      <c r="BA224" s="315"/>
      <c r="BB224" s="315"/>
      <c r="BC224" s="315"/>
      <c r="BD224" s="319"/>
      <c r="BE224" s="319"/>
      <c r="BF224" s="319"/>
      <c r="BG224" s="319"/>
      <c r="BH224" s="319"/>
      <c r="BI224" s="319"/>
      <c r="BJ224" s="319"/>
      <c r="BK224" s="315"/>
      <c r="BL224" s="316"/>
      <c r="BM224" s="314"/>
      <c r="BN224" s="319"/>
      <c r="BO224" s="315"/>
      <c r="BP224" s="314"/>
      <c r="BQ224" s="316"/>
      <c r="BR224" s="314"/>
      <c r="BS224" s="262"/>
      <c r="BT224" s="262"/>
    </row>
    <row r="225" spans="1:72" ht="45.75" customHeight="1">
      <c r="A225" s="342"/>
      <c r="B225" s="342"/>
      <c r="C225" s="342"/>
      <c r="D225" s="343"/>
      <c r="E225" s="342"/>
      <c r="F225" s="342"/>
      <c r="G225" s="344"/>
      <c r="H225" s="344"/>
      <c r="I225" s="344"/>
      <c r="J225" s="334"/>
      <c r="K225" s="335"/>
      <c r="L225" s="336"/>
      <c r="M225" s="336"/>
      <c r="N225" s="337"/>
      <c r="O225" s="337"/>
      <c r="P225" s="315"/>
      <c r="Q225" s="314"/>
      <c r="R225" s="317"/>
      <c r="S225" s="315"/>
      <c r="T225" s="315"/>
      <c r="U225" s="315"/>
      <c r="V225" s="258"/>
      <c r="W225" s="322"/>
      <c r="X225" s="318"/>
      <c r="Y225" s="315"/>
      <c r="Z225" s="318"/>
      <c r="AA225" s="314"/>
      <c r="AB225" s="336"/>
      <c r="AC225" s="314"/>
      <c r="AD225" s="316"/>
      <c r="AE225" s="315"/>
      <c r="AF225" s="315"/>
      <c r="AG225" s="315"/>
      <c r="AH225" s="315"/>
      <c r="AI225" s="377"/>
      <c r="AJ225" s="407"/>
      <c r="AK225" s="377"/>
      <c r="AL225" s="314"/>
      <c r="AM225" s="314"/>
      <c r="AN225" s="314"/>
      <c r="AO225" s="315"/>
      <c r="AP225" s="257"/>
      <c r="AQ225" s="257"/>
      <c r="AR225" s="257"/>
      <c r="AS225" s="315"/>
      <c r="AT225" s="257"/>
      <c r="AU225" s="257"/>
      <c r="AV225" s="316"/>
      <c r="AW225" s="314"/>
      <c r="AX225" s="315"/>
      <c r="AY225" s="315"/>
      <c r="AZ225" s="315"/>
      <c r="BA225" s="315"/>
      <c r="BB225" s="315"/>
      <c r="BC225" s="315"/>
      <c r="BD225" s="319"/>
      <c r="BE225" s="319"/>
      <c r="BF225" s="319"/>
      <c r="BG225" s="319"/>
      <c r="BH225" s="319"/>
      <c r="BI225" s="319"/>
      <c r="BJ225" s="319"/>
      <c r="BK225" s="315"/>
      <c r="BL225" s="316"/>
      <c r="BM225" s="314"/>
      <c r="BN225" s="319"/>
      <c r="BO225" s="315"/>
      <c r="BP225" s="314"/>
      <c r="BQ225" s="316"/>
      <c r="BR225" s="314"/>
      <c r="BS225" s="262"/>
      <c r="BT225" s="262"/>
    </row>
    <row r="226" spans="1:72" ht="45.75" customHeight="1">
      <c r="A226" s="342"/>
      <c r="B226" s="342"/>
      <c r="C226" s="342"/>
      <c r="D226" s="343"/>
      <c r="E226" s="342"/>
      <c r="F226" s="342"/>
      <c r="G226" s="344"/>
      <c r="H226" s="344"/>
      <c r="I226" s="344"/>
      <c r="J226" s="334"/>
      <c r="K226" s="335"/>
      <c r="L226" s="336"/>
      <c r="M226" s="336"/>
      <c r="N226" s="337"/>
      <c r="O226" s="337"/>
      <c r="P226" s="315"/>
      <c r="Q226" s="314"/>
      <c r="R226" s="317"/>
      <c r="S226" s="315"/>
      <c r="T226" s="315"/>
      <c r="U226" s="315"/>
      <c r="V226" s="258"/>
      <c r="W226" s="322"/>
      <c r="X226" s="318"/>
      <c r="Y226" s="315"/>
      <c r="Z226" s="318"/>
      <c r="AA226" s="314"/>
      <c r="AB226" s="336"/>
      <c r="AC226" s="314"/>
      <c r="AD226" s="316"/>
      <c r="AE226" s="315"/>
      <c r="AF226" s="315"/>
      <c r="AG226" s="315"/>
      <c r="AH226" s="315"/>
      <c r="AI226" s="377"/>
      <c r="AJ226" s="407"/>
      <c r="AK226" s="377"/>
      <c r="AL226" s="314"/>
      <c r="AM226" s="314"/>
      <c r="AN226" s="314"/>
      <c r="AO226" s="315"/>
      <c r="AP226" s="257"/>
      <c r="AQ226" s="257"/>
      <c r="AR226" s="257"/>
      <c r="AS226" s="315"/>
      <c r="AT226" s="257"/>
      <c r="AU226" s="257"/>
      <c r="AV226" s="316"/>
      <c r="AW226" s="314"/>
      <c r="AX226" s="315"/>
      <c r="AY226" s="315"/>
      <c r="AZ226" s="315"/>
      <c r="BA226" s="315"/>
      <c r="BB226" s="315"/>
      <c r="BC226" s="315"/>
      <c r="BD226" s="319"/>
      <c r="BE226" s="319"/>
      <c r="BF226" s="319"/>
      <c r="BG226" s="319"/>
      <c r="BH226" s="319"/>
      <c r="BI226" s="319"/>
      <c r="BJ226" s="319"/>
      <c r="BK226" s="315"/>
      <c r="BL226" s="316"/>
      <c r="BM226" s="314"/>
      <c r="BN226" s="319"/>
      <c r="BO226" s="315"/>
      <c r="BP226" s="314"/>
      <c r="BQ226" s="316"/>
      <c r="BR226" s="314"/>
      <c r="BS226" s="262"/>
      <c r="BT226" s="262"/>
    </row>
    <row r="227" spans="1:72" ht="45.75" customHeight="1">
      <c r="A227" s="342"/>
      <c r="B227" s="342"/>
      <c r="C227" s="342"/>
      <c r="D227" s="343"/>
      <c r="E227" s="342"/>
      <c r="F227" s="342"/>
      <c r="G227" s="344"/>
      <c r="H227" s="344"/>
      <c r="I227" s="344"/>
      <c r="J227" s="334"/>
      <c r="K227" s="335"/>
      <c r="L227" s="336"/>
      <c r="M227" s="336"/>
      <c r="N227" s="337"/>
      <c r="O227" s="337"/>
      <c r="P227" s="315"/>
      <c r="Q227" s="314"/>
      <c r="R227" s="317"/>
      <c r="S227" s="315"/>
      <c r="T227" s="315"/>
      <c r="U227" s="315"/>
      <c r="V227" s="258"/>
      <c r="W227" s="322"/>
      <c r="X227" s="318"/>
      <c r="Y227" s="315"/>
      <c r="Z227" s="318"/>
      <c r="AA227" s="314"/>
      <c r="AB227" s="336"/>
      <c r="AC227" s="314"/>
      <c r="AD227" s="316"/>
      <c r="AE227" s="315"/>
      <c r="AF227" s="315"/>
      <c r="AG227" s="315"/>
      <c r="AH227" s="315"/>
      <c r="AI227" s="377"/>
      <c r="AJ227" s="407"/>
      <c r="AK227" s="377"/>
      <c r="AL227" s="314"/>
      <c r="AM227" s="314"/>
      <c r="AN227" s="314"/>
      <c r="AO227" s="315"/>
      <c r="AP227" s="257"/>
      <c r="AQ227" s="257"/>
      <c r="AR227" s="257"/>
      <c r="AS227" s="315"/>
      <c r="AT227" s="257"/>
      <c r="AU227" s="257"/>
      <c r="AV227" s="316"/>
      <c r="AW227" s="314"/>
      <c r="AX227" s="315"/>
      <c r="AY227" s="315"/>
      <c r="AZ227" s="315"/>
      <c r="BA227" s="315"/>
      <c r="BB227" s="315"/>
      <c r="BC227" s="315"/>
      <c r="BD227" s="319"/>
      <c r="BE227" s="319"/>
      <c r="BF227" s="319"/>
      <c r="BG227" s="319"/>
      <c r="BH227" s="319"/>
      <c r="BI227" s="319"/>
      <c r="BJ227" s="319"/>
      <c r="BK227" s="315"/>
      <c r="BL227" s="316"/>
      <c r="BM227" s="314"/>
      <c r="BN227" s="319"/>
      <c r="BO227" s="315"/>
      <c r="BP227" s="314"/>
      <c r="BQ227" s="316"/>
      <c r="BR227" s="314"/>
      <c r="BS227" s="262"/>
      <c r="BT227" s="262"/>
    </row>
    <row r="228" spans="1:72" ht="45.75" customHeight="1">
      <c r="A228" s="342"/>
      <c r="B228" s="342"/>
      <c r="C228" s="342"/>
      <c r="D228" s="343"/>
      <c r="E228" s="342"/>
      <c r="F228" s="342"/>
      <c r="G228" s="344"/>
      <c r="H228" s="344"/>
      <c r="I228" s="344"/>
      <c r="J228" s="334"/>
      <c r="K228" s="335"/>
      <c r="L228" s="336"/>
      <c r="M228" s="336"/>
      <c r="N228" s="337"/>
      <c r="O228" s="337"/>
      <c r="P228" s="315"/>
      <c r="Q228" s="314"/>
      <c r="R228" s="317"/>
      <c r="S228" s="315"/>
      <c r="T228" s="315"/>
      <c r="U228" s="315"/>
      <c r="V228" s="258"/>
      <c r="W228" s="322"/>
      <c r="X228" s="318"/>
      <c r="Y228" s="315"/>
      <c r="Z228" s="318"/>
      <c r="AA228" s="314"/>
      <c r="AB228" s="336"/>
      <c r="AC228" s="314"/>
      <c r="AD228" s="316"/>
      <c r="AE228" s="315"/>
      <c r="AF228" s="315"/>
      <c r="AG228" s="315"/>
      <c r="AH228" s="315"/>
      <c r="AI228" s="377"/>
      <c r="AJ228" s="407"/>
      <c r="AK228" s="377"/>
      <c r="AL228" s="314"/>
      <c r="AM228" s="314"/>
      <c r="AN228" s="314"/>
      <c r="AO228" s="315"/>
      <c r="AP228" s="257"/>
      <c r="AQ228" s="257"/>
      <c r="AR228" s="257"/>
      <c r="AS228" s="315"/>
      <c r="AT228" s="257"/>
      <c r="AU228" s="257"/>
      <c r="AV228" s="316"/>
      <c r="AW228" s="314"/>
      <c r="AX228" s="315"/>
      <c r="AY228" s="315"/>
      <c r="AZ228" s="315"/>
      <c r="BA228" s="315"/>
      <c r="BB228" s="315"/>
      <c r="BC228" s="315"/>
      <c r="BD228" s="319"/>
      <c r="BE228" s="319"/>
      <c r="BF228" s="319"/>
      <c r="BG228" s="319"/>
      <c r="BH228" s="319"/>
      <c r="BI228" s="319"/>
      <c r="BJ228" s="319"/>
      <c r="BK228" s="315"/>
      <c r="BL228" s="316"/>
      <c r="BM228" s="314"/>
      <c r="BN228" s="319"/>
      <c r="BO228" s="315"/>
      <c r="BP228" s="314"/>
      <c r="BQ228" s="316"/>
      <c r="BR228" s="314"/>
      <c r="BS228" s="262"/>
      <c r="BT228" s="262"/>
    </row>
    <row r="229" spans="1:72" ht="45.75" customHeight="1">
      <c r="A229" s="342"/>
      <c r="B229" s="342"/>
      <c r="C229" s="342"/>
      <c r="D229" s="343"/>
      <c r="E229" s="342"/>
      <c r="F229" s="342"/>
      <c r="G229" s="344"/>
      <c r="H229" s="344"/>
      <c r="I229" s="344"/>
      <c r="J229" s="334"/>
      <c r="K229" s="335"/>
      <c r="L229" s="336"/>
      <c r="M229" s="336"/>
      <c r="N229" s="337"/>
      <c r="O229" s="337"/>
      <c r="P229" s="315"/>
      <c r="Q229" s="314"/>
      <c r="R229" s="317"/>
      <c r="S229" s="315"/>
      <c r="T229" s="315"/>
      <c r="U229" s="315"/>
      <c r="V229" s="258"/>
      <c r="W229" s="322"/>
      <c r="X229" s="318"/>
      <c r="Y229" s="315"/>
      <c r="Z229" s="318"/>
      <c r="AA229" s="314"/>
      <c r="AB229" s="336"/>
      <c r="AC229" s="314"/>
      <c r="AD229" s="316"/>
      <c r="AE229" s="315"/>
      <c r="AF229" s="315"/>
      <c r="AG229" s="315"/>
      <c r="AH229" s="315"/>
      <c r="AI229" s="377"/>
      <c r="AJ229" s="407"/>
      <c r="AK229" s="377"/>
      <c r="AL229" s="314"/>
      <c r="AM229" s="314"/>
      <c r="AN229" s="314"/>
      <c r="AO229" s="315"/>
      <c r="AP229" s="257"/>
      <c r="AQ229" s="257"/>
      <c r="AR229" s="257"/>
      <c r="AS229" s="315"/>
      <c r="AT229" s="257"/>
      <c r="AU229" s="257"/>
      <c r="AV229" s="316"/>
      <c r="AW229" s="314"/>
      <c r="AX229" s="315"/>
      <c r="AY229" s="315"/>
      <c r="AZ229" s="315"/>
      <c r="BA229" s="315"/>
      <c r="BB229" s="315"/>
      <c r="BC229" s="315"/>
      <c r="BD229" s="319"/>
      <c r="BE229" s="319"/>
      <c r="BF229" s="319"/>
      <c r="BG229" s="319"/>
      <c r="BH229" s="319"/>
      <c r="BI229" s="319"/>
      <c r="BJ229" s="319"/>
      <c r="BK229" s="315"/>
      <c r="BL229" s="316"/>
      <c r="BM229" s="314"/>
      <c r="BN229" s="319"/>
      <c r="BO229" s="315"/>
      <c r="BP229" s="314"/>
      <c r="BQ229" s="316"/>
      <c r="BR229" s="314"/>
      <c r="BS229" s="262"/>
      <c r="BT229" s="262"/>
    </row>
    <row r="230" spans="1:72" ht="45.75" customHeight="1">
      <c r="A230" s="342"/>
      <c r="B230" s="342"/>
      <c r="C230" s="342"/>
      <c r="D230" s="343"/>
      <c r="E230" s="342"/>
      <c r="F230" s="342"/>
      <c r="G230" s="344"/>
      <c r="H230" s="344"/>
      <c r="I230" s="344"/>
      <c r="J230" s="334"/>
      <c r="K230" s="335"/>
      <c r="L230" s="336"/>
      <c r="M230" s="336"/>
      <c r="N230" s="337"/>
      <c r="O230" s="337"/>
      <c r="P230" s="315"/>
      <c r="Q230" s="314"/>
      <c r="R230" s="317"/>
      <c r="S230" s="315"/>
      <c r="T230" s="315"/>
      <c r="U230" s="315"/>
      <c r="V230" s="258"/>
      <c r="W230" s="322"/>
      <c r="X230" s="318"/>
      <c r="Y230" s="315"/>
      <c r="Z230" s="318"/>
      <c r="AA230" s="314"/>
      <c r="AB230" s="336"/>
      <c r="AC230" s="314"/>
      <c r="AD230" s="316"/>
      <c r="AE230" s="315"/>
      <c r="AF230" s="315"/>
      <c r="AG230" s="315"/>
      <c r="AH230" s="315"/>
      <c r="AI230" s="377"/>
      <c r="AJ230" s="407"/>
      <c r="AK230" s="377"/>
      <c r="AL230" s="314"/>
      <c r="AM230" s="314"/>
      <c r="AN230" s="314"/>
      <c r="AO230" s="315"/>
      <c r="AP230" s="257"/>
      <c r="AQ230" s="257"/>
      <c r="AR230" s="257"/>
      <c r="AS230" s="315"/>
      <c r="AT230" s="257"/>
      <c r="AU230" s="257"/>
      <c r="AV230" s="316"/>
      <c r="AW230" s="314"/>
      <c r="AX230" s="315"/>
      <c r="AY230" s="315"/>
      <c r="AZ230" s="315"/>
      <c r="BA230" s="315"/>
      <c r="BB230" s="315"/>
      <c r="BC230" s="315"/>
      <c r="BD230" s="319"/>
      <c r="BE230" s="319"/>
      <c r="BF230" s="319"/>
      <c r="BG230" s="319"/>
      <c r="BH230" s="319"/>
      <c r="BI230" s="319"/>
      <c r="BJ230" s="319"/>
      <c r="BK230" s="315"/>
      <c r="BL230" s="316"/>
      <c r="BM230" s="314"/>
      <c r="BN230" s="319"/>
      <c r="BO230" s="315"/>
      <c r="BP230" s="314"/>
      <c r="BQ230" s="316"/>
      <c r="BR230" s="314"/>
      <c r="BS230" s="262"/>
      <c r="BT230" s="262"/>
    </row>
    <row r="231" spans="1:72" ht="45.75" customHeight="1">
      <c r="A231" s="342"/>
      <c r="B231" s="342"/>
      <c r="C231" s="342"/>
      <c r="D231" s="343"/>
      <c r="E231" s="342"/>
      <c r="F231" s="342"/>
      <c r="G231" s="344"/>
      <c r="H231" s="344"/>
      <c r="I231" s="344"/>
      <c r="J231" s="334"/>
      <c r="K231" s="335"/>
      <c r="L231" s="336"/>
      <c r="M231" s="336"/>
      <c r="N231" s="337"/>
      <c r="O231" s="337"/>
      <c r="P231" s="315"/>
      <c r="Q231" s="314"/>
      <c r="R231" s="317"/>
      <c r="S231" s="315"/>
      <c r="T231" s="315"/>
      <c r="U231" s="315"/>
      <c r="V231" s="258"/>
      <c r="W231" s="322"/>
      <c r="X231" s="318"/>
      <c r="Y231" s="315"/>
      <c r="Z231" s="318"/>
      <c r="AA231" s="314"/>
      <c r="AB231" s="336"/>
      <c r="AC231" s="314"/>
      <c r="AD231" s="316"/>
      <c r="AE231" s="315"/>
      <c r="AF231" s="315"/>
      <c r="AG231" s="315"/>
      <c r="AH231" s="315"/>
      <c r="AI231" s="377"/>
      <c r="AJ231" s="407"/>
      <c r="AK231" s="377"/>
      <c r="AL231" s="314"/>
      <c r="AM231" s="314"/>
      <c r="AN231" s="314"/>
      <c r="AO231" s="315"/>
      <c r="AP231" s="257"/>
      <c r="AQ231" s="257"/>
      <c r="AR231" s="257"/>
      <c r="AS231" s="315"/>
      <c r="AT231" s="257"/>
      <c r="AU231" s="257"/>
      <c r="AV231" s="316"/>
      <c r="AW231" s="314"/>
      <c r="AX231" s="315"/>
      <c r="AY231" s="315"/>
      <c r="AZ231" s="315"/>
      <c r="BA231" s="315"/>
      <c r="BB231" s="315"/>
      <c r="BC231" s="315"/>
      <c r="BD231" s="319"/>
      <c r="BE231" s="319"/>
      <c r="BF231" s="319"/>
      <c r="BG231" s="319"/>
      <c r="BH231" s="319"/>
      <c r="BI231" s="319"/>
      <c r="BJ231" s="319"/>
      <c r="BK231" s="315"/>
      <c r="BL231" s="316"/>
      <c r="BM231" s="314"/>
      <c r="BN231" s="319"/>
      <c r="BO231" s="315"/>
      <c r="BP231" s="314"/>
      <c r="BQ231" s="316"/>
      <c r="BR231" s="314"/>
      <c r="BS231" s="262"/>
      <c r="BT231" s="262"/>
    </row>
    <row r="232" spans="1:72" ht="45.75" customHeight="1">
      <c r="A232" s="342"/>
      <c r="B232" s="342"/>
      <c r="C232" s="342"/>
      <c r="D232" s="343"/>
      <c r="E232" s="342"/>
      <c r="F232" s="342"/>
      <c r="G232" s="344"/>
      <c r="H232" s="344"/>
      <c r="I232" s="344"/>
      <c r="J232" s="334"/>
      <c r="K232" s="335"/>
      <c r="L232" s="336"/>
      <c r="M232" s="336"/>
      <c r="N232" s="337"/>
      <c r="O232" s="337"/>
      <c r="P232" s="315"/>
      <c r="Q232" s="314"/>
      <c r="R232" s="317"/>
      <c r="S232" s="315"/>
      <c r="T232" s="315"/>
      <c r="U232" s="315"/>
      <c r="V232" s="258"/>
      <c r="W232" s="322"/>
      <c r="X232" s="318"/>
      <c r="Y232" s="315"/>
      <c r="Z232" s="318"/>
      <c r="AA232" s="314"/>
      <c r="AB232" s="336"/>
      <c r="AC232" s="314"/>
      <c r="AD232" s="316"/>
      <c r="AE232" s="315"/>
      <c r="AF232" s="315"/>
      <c r="AG232" s="315"/>
      <c r="AH232" s="315"/>
      <c r="AI232" s="377"/>
      <c r="AJ232" s="407"/>
      <c r="AK232" s="377"/>
      <c r="AL232" s="314"/>
      <c r="AM232" s="314"/>
      <c r="AN232" s="314"/>
      <c r="AO232" s="315"/>
      <c r="AP232" s="257"/>
      <c r="AQ232" s="257"/>
      <c r="AR232" s="257"/>
      <c r="AS232" s="315"/>
      <c r="AT232" s="257"/>
      <c r="AU232" s="257"/>
      <c r="AV232" s="316"/>
      <c r="AW232" s="314"/>
      <c r="AX232" s="315"/>
      <c r="AY232" s="315"/>
      <c r="AZ232" s="315"/>
      <c r="BA232" s="315"/>
      <c r="BB232" s="315"/>
      <c r="BC232" s="315"/>
      <c r="BD232" s="319"/>
      <c r="BE232" s="319"/>
      <c r="BF232" s="319"/>
      <c r="BG232" s="319"/>
      <c r="BH232" s="319"/>
      <c r="BI232" s="319"/>
      <c r="BJ232" s="319"/>
      <c r="BK232" s="315"/>
      <c r="BL232" s="316"/>
      <c r="BM232" s="314"/>
      <c r="BN232" s="319"/>
      <c r="BO232" s="315"/>
      <c r="BP232" s="314"/>
      <c r="BQ232" s="316"/>
      <c r="BR232" s="314"/>
      <c r="BS232" s="262"/>
      <c r="BT232" s="262"/>
    </row>
    <row r="233" spans="1:72" ht="45.75" customHeight="1">
      <c r="A233" s="342"/>
      <c r="B233" s="342"/>
      <c r="C233" s="342"/>
      <c r="D233" s="343"/>
      <c r="E233" s="342"/>
      <c r="F233" s="342"/>
      <c r="G233" s="344"/>
      <c r="H233" s="344"/>
      <c r="I233" s="344"/>
      <c r="J233" s="334"/>
      <c r="K233" s="335"/>
      <c r="L233" s="336"/>
      <c r="M233" s="336"/>
      <c r="N233" s="337"/>
      <c r="O233" s="337"/>
      <c r="P233" s="315"/>
      <c r="Q233" s="314"/>
      <c r="R233" s="317"/>
      <c r="S233" s="315"/>
      <c r="T233" s="315"/>
      <c r="U233" s="315"/>
      <c r="V233" s="258"/>
      <c r="W233" s="322"/>
      <c r="X233" s="318"/>
      <c r="Y233" s="315"/>
      <c r="Z233" s="318"/>
      <c r="AA233" s="314"/>
      <c r="AB233" s="336"/>
      <c r="AC233" s="314"/>
      <c r="AD233" s="316"/>
      <c r="AE233" s="315"/>
      <c r="AF233" s="315"/>
      <c r="AG233" s="315"/>
      <c r="AH233" s="315"/>
      <c r="AI233" s="377"/>
      <c r="AJ233" s="407"/>
      <c r="AK233" s="377"/>
      <c r="AL233" s="314"/>
      <c r="AM233" s="314"/>
      <c r="AN233" s="314"/>
      <c r="AO233" s="315"/>
      <c r="AP233" s="257"/>
      <c r="AQ233" s="257"/>
      <c r="AR233" s="257"/>
      <c r="AS233" s="315"/>
      <c r="AT233" s="257"/>
      <c r="AU233" s="257"/>
      <c r="AV233" s="316"/>
      <c r="AW233" s="314"/>
      <c r="AX233" s="315"/>
      <c r="AY233" s="315"/>
      <c r="AZ233" s="315"/>
      <c r="BA233" s="315"/>
      <c r="BB233" s="315"/>
      <c r="BC233" s="315"/>
      <c r="BD233" s="319"/>
      <c r="BE233" s="319"/>
      <c r="BF233" s="319"/>
      <c r="BG233" s="319"/>
      <c r="BH233" s="319"/>
      <c r="BI233" s="319"/>
      <c r="BJ233" s="319"/>
      <c r="BK233" s="315"/>
      <c r="BL233" s="316"/>
      <c r="BM233" s="314"/>
      <c r="BN233" s="319"/>
      <c r="BO233" s="315"/>
      <c r="BP233" s="314"/>
      <c r="BQ233" s="316"/>
      <c r="BR233" s="314"/>
      <c r="BS233" s="262"/>
      <c r="BT233" s="262"/>
    </row>
    <row r="234" spans="1:72" ht="45.75" customHeight="1">
      <c r="A234" s="342"/>
      <c r="B234" s="342"/>
      <c r="C234" s="342"/>
      <c r="D234" s="343"/>
      <c r="E234" s="342"/>
      <c r="F234" s="342"/>
      <c r="G234" s="344"/>
      <c r="H234" s="344"/>
      <c r="I234" s="344"/>
      <c r="J234" s="334"/>
      <c r="K234" s="335"/>
      <c r="L234" s="336"/>
      <c r="M234" s="336"/>
      <c r="N234" s="337"/>
      <c r="O234" s="337"/>
      <c r="P234" s="315"/>
      <c r="Q234" s="314"/>
      <c r="R234" s="317"/>
      <c r="S234" s="315"/>
      <c r="T234" s="315"/>
      <c r="U234" s="315"/>
      <c r="V234" s="258"/>
      <c r="W234" s="322"/>
      <c r="X234" s="318"/>
      <c r="Y234" s="315"/>
      <c r="Z234" s="318"/>
      <c r="AA234" s="314"/>
      <c r="AB234" s="336"/>
      <c r="AC234" s="314"/>
      <c r="AD234" s="316"/>
      <c r="AE234" s="315"/>
      <c r="AF234" s="315"/>
      <c r="AG234" s="315"/>
      <c r="AH234" s="315"/>
      <c r="AI234" s="377"/>
      <c r="AJ234" s="407"/>
      <c r="AK234" s="377"/>
      <c r="AL234" s="314"/>
      <c r="AM234" s="314"/>
      <c r="AN234" s="314"/>
      <c r="AO234" s="315"/>
      <c r="AP234" s="257"/>
      <c r="AQ234" s="257"/>
      <c r="AR234" s="257"/>
      <c r="AS234" s="315"/>
      <c r="AT234" s="257"/>
      <c r="AU234" s="257"/>
      <c r="AV234" s="316"/>
      <c r="AW234" s="314"/>
      <c r="AX234" s="315"/>
      <c r="AY234" s="315"/>
      <c r="AZ234" s="315"/>
      <c r="BA234" s="315"/>
      <c r="BB234" s="315"/>
      <c r="BC234" s="315"/>
      <c r="BD234" s="319"/>
      <c r="BE234" s="319"/>
      <c r="BF234" s="319"/>
      <c r="BG234" s="319"/>
      <c r="BH234" s="319"/>
      <c r="BI234" s="319"/>
      <c r="BJ234" s="319"/>
      <c r="BK234" s="315"/>
      <c r="BL234" s="316"/>
      <c r="BM234" s="314"/>
      <c r="BN234" s="319"/>
      <c r="BO234" s="315"/>
      <c r="BP234" s="314"/>
      <c r="BQ234" s="316"/>
      <c r="BR234" s="314"/>
      <c r="BS234" s="262"/>
      <c r="BT234" s="262"/>
    </row>
    <row r="235" spans="1:72" ht="45.75" customHeight="1">
      <c r="A235" s="342"/>
      <c r="B235" s="342"/>
      <c r="C235" s="342"/>
      <c r="D235" s="343"/>
      <c r="E235" s="342"/>
      <c r="F235" s="342"/>
      <c r="G235" s="344"/>
      <c r="H235" s="344"/>
      <c r="I235" s="344"/>
      <c r="J235" s="334"/>
      <c r="K235" s="335"/>
      <c r="L235" s="336"/>
      <c r="M235" s="336"/>
      <c r="N235" s="337"/>
      <c r="O235" s="337"/>
      <c r="P235" s="315"/>
      <c r="Q235" s="314"/>
      <c r="R235" s="317"/>
      <c r="S235" s="315"/>
      <c r="T235" s="315"/>
      <c r="U235" s="315"/>
      <c r="V235" s="258"/>
      <c r="W235" s="322"/>
      <c r="X235" s="318"/>
      <c r="Y235" s="315"/>
      <c r="Z235" s="318"/>
      <c r="AA235" s="314"/>
      <c r="AB235" s="336"/>
      <c r="AC235" s="314"/>
      <c r="AD235" s="316"/>
      <c r="AE235" s="315"/>
      <c r="AF235" s="315"/>
      <c r="AG235" s="315"/>
      <c r="AH235" s="315"/>
      <c r="AI235" s="377"/>
      <c r="AJ235" s="407"/>
      <c r="AK235" s="377"/>
      <c r="AL235" s="314"/>
      <c r="AM235" s="314"/>
      <c r="AN235" s="314"/>
      <c r="AO235" s="315"/>
      <c r="AP235" s="257"/>
      <c r="AQ235" s="257"/>
      <c r="AR235" s="257"/>
      <c r="AS235" s="315"/>
      <c r="AT235" s="257"/>
      <c r="AU235" s="257"/>
      <c r="AV235" s="316"/>
      <c r="AW235" s="314"/>
      <c r="AX235" s="315"/>
      <c r="AY235" s="315"/>
      <c r="AZ235" s="315"/>
      <c r="BA235" s="315"/>
      <c r="BB235" s="315"/>
      <c r="BC235" s="315"/>
      <c r="BD235" s="319"/>
      <c r="BE235" s="319"/>
      <c r="BF235" s="319"/>
      <c r="BG235" s="319"/>
      <c r="BH235" s="319"/>
      <c r="BI235" s="319"/>
      <c r="BJ235" s="319"/>
      <c r="BK235" s="315"/>
      <c r="BL235" s="316"/>
      <c r="BM235" s="314"/>
      <c r="BN235" s="319"/>
      <c r="BO235" s="315"/>
      <c r="BP235" s="314"/>
      <c r="BQ235" s="316"/>
      <c r="BR235" s="314"/>
      <c r="BS235" s="262"/>
      <c r="BT235" s="262"/>
    </row>
    <row r="236" spans="1:72" ht="45.75" customHeight="1">
      <c r="A236" s="342"/>
      <c r="B236" s="342"/>
      <c r="C236" s="342"/>
      <c r="D236" s="343"/>
      <c r="E236" s="342"/>
      <c r="F236" s="342"/>
      <c r="G236" s="344"/>
      <c r="H236" s="344"/>
      <c r="I236" s="344"/>
      <c r="J236" s="334"/>
      <c r="K236" s="335"/>
      <c r="L236" s="336"/>
      <c r="M236" s="336"/>
      <c r="N236" s="337"/>
      <c r="O236" s="337"/>
      <c r="P236" s="315"/>
      <c r="Q236" s="314"/>
      <c r="R236" s="317"/>
      <c r="S236" s="315"/>
      <c r="T236" s="315"/>
      <c r="U236" s="315"/>
      <c r="V236" s="258"/>
      <c r="W236" s="322"/>
      <c r="X236" s="318"/>
      <c r="Y236" s="315"/>
      <c r="Z236" s="318"/>
      <c r="AA236" s="314"/>
      <c r="AB236" s="336"/>
      <c r="AC236" s="314"/>
      <c r="AD236" s="316"/>
      <c r="AE236" s="315"/>
      <c r="AF236" s="315"/>
      <c r="AG236" s="315"/>
      <c r="AH236" s="315"/>
      <c r="AI236" s="377"/>
      <c r="AJ236" s="407"/>
      <c r="AK236" s="377"/>
      <c r="AL236" s="314"/>
      <c r="AM236" s="314"/>
      <c r="AN236" s="314"/>
      <c r="AO236" s="315"/>
      <c r="AP236" s="257"/>
      <c r="AQ236" s="257"/>
      <c r="AR236" s="257"/>
      <c r="AS236" s="315"/>
      <c r="AT236" s="257"/>
      <c r="AU236" s="257"/>
      <c r="AV236" s="316"/>
      <c r="AW236" s="314"/>
      <c r="AX236" s="315"/>
      <c r="AY236" s="315"/>
      <c r="AZ236" s="315"/>
      <c r="BA236" s="315"/>
      <c r="BB236" s="315"/>
      <c r="BC236" s="315"/>
      <c r="BD236" s="319"/>
      <c r="BE236" s="319"/>
      <c r="BF236" s="319"/>
      <c r="BG236" s="319"/>
      <c r="BH236" s="319"/>
      <c r="BI236" s="319"/>
      <c r="BJ236" s="319"/>
      <c r="BK236" s="315"/>
      <c r="BL236" s="316"/>
      <c r="BM236" s="314"/>
      <c r="BN236" s="319"/>
      <c r="BO236" s="315"/>
      <c r="BP236" s="314"/>
      <c r="BQ236" s="316"/>
      <c r="BR236" s="314"/>
      <c r="BS236" s="262"/>
      <c r="BT236" s="262"/>
    </row>
    <row r="237" spans="1:72" ht="45.75" customHeight="1">
      <c r="A237" s="342"/>
      <c r="B237" s="342"/>
      <c r="C237" s="342"/>
      <c r="D237" s="343"/>
      <c r="E237" s="342"/>
      <c r="F237" s="342"/>
      <c r="G237" s="344"/>
      <c r="H237" s="344"/>
      <c r="I237" s="344"/>
      <c r="J237" s="334"/>
      <c r="K237" s="335"/>
      <c r="L237" s="336"/>
      <c r="M237" s="336"/>
      <c r="N237" s="337"/>
      <c r="O237" s="337"/>
      <c r="P237" s="315"/>
      <c r="Q237" s="314"/>
      <c r="R237" s="317"/>
      <c r="S237" s="315"/>
      <c r="T237" s="315"/>
      <c r="U237" s="315"/>
      <c r="V237" s="258"/>
      <c r="W237" s="322"/>
      <c r="X237" s="318"/>
      <c r="Y237" s="315"/>
      <c r="Z237" s="318"/>
      <c r="AA237" s="314"/>
      <c r="AB237" s="336"/>
      <c r="AC237" s="314"/>
      <c r="AD237" s="316"/>
      <c r="AE237" s="315"/>
      <c r="AF237" s="315"/>
      <c r="AG237" s="315"/>
      <c r="AH237" s="315"/>
      <c r="AI237" s="377"/>
      <c r="AJ237" s="407"/>
      <c r="AK237" s="377"/>
      <c r="AL237" s="314"/>
      <c r="AM237" s="314"/>
      <c r="AN237" s="314"/>
      <c r="AO237" s="315"/>
      <c r="AP237" s="257"/>
      <c r="AQ237" s="257"/>
      <c r="AR237" s="257"/>
      <c r="AS237" s="315"/>
      <c r="AT237" s="257"/>
      <c r="AU237" s="257"/>
      <c r="AV237" s="316"/>
      <c r="AW237" s="314"/>
      <c r="AX237" s="315"/>
      <c r="AY237" s="315"/>
      <c r="AZ237" s="315"/>
      <c r="BA237" s="315"/>
      <c r="BB237" s="315"/>
      <c r="BC237" s="315"/>
      <c r="BD237" s="319"/>
      <c r="BE237" s="319"/>
      <c r="BF237" s="319"/>
      <c r="BG237" s="319"/>
      <c r="BH237" s="319"/>
      <c r="BI237" s="319"/>
      <c r="BJ237" s="319"/>
      <c r="BK237" s="315"/>
      <c r="BL237" s="316"/>
      <c r="BM237" s="314"/>
      <c r="BN237" s="319"/>
      <c r="BO237" s="315"/>
      <c r="BP237" s="314"/>
      <c r="BQ237" s="316"/>
      <c r="BR237" s="314"/>
      <c r="BS237" s="262"/>
      <c r="BT237" s="262"/>
    </row>
    <row r="238" spans="1:72" ht="45.75" customHeight="1">
      <c r="A238" s="342"/>
      <c r="B238" s="342"/>
      <c r="C238" s="342"/>
      <c r="D238" s="343"/>
      <c r="E238" s="342"/>
      <c r="F238" s="342"/>
      <c r="G238" s="344"/>
      <c r="H238" s="344"/>
      <c r="I238" s="344"/>
      <c r="J238" s="334"/>
      <c r="K238" s="335"/>
      <c r="L238" s="336"/>
      <c r="M238" s="336"/>
      <c r="N238" s="337"/>
      <c r="O238" s="337"/>
      <c r="P238" s="315"/>
      <c r="Q238" s="314"/>
      <c r="R238" s="317"/>
      <c r="S238" s="315"/>
      <c r="T238" s="315"/>
      <c r="U238" s="315"/>
      <c r="V238" s="258"/>
      <c r="W238" s="322"/>
      <c r="X238" s="318"/>
      <c r="Y238" s="315"/>
      <c r="Z238" s="318"/>
      <c r="AA238" s="314"/>
      <c r="AB238" s="336"/>
      <c r="AC238" s="314"/>
      <c r="AD238" s="316"/>
      <c r="AE238" s="315"/>
      <c r="AF238" s="315"/>
      <c r="AG238" s="315"/>
      <c r="AH238" s="315"/>
      <c r="AI238" s="377"/>
      <c r="AJ238" s="407"/>
      <c r="AK238" s="377"/>
      <c r="AL238" s="314"/>
      <c r="AM238" s="314"/>
      <c r="AN238" s="314"/>
      <c r="AO238" s="315"/>
      <c r="AP238" s="257"/>
      <c r="AQ238" s="257"/>
      <c r="AR238" s="257"/>
      <c r="AS238" s="315"/>
      <c r="AT238" s="257"/>
      <c r="AU238" s="257"/>
      <c r="AV238" s="316"/>
      <c r="AW238" s="314"/>
      <c r="AX238" s="315"/>
      <c r="AY238" s="315"/>
      <c r="AZ238" s="315"/>
      <c r="BA238" s="315"/>
      <c r="BB238" s="315"/>
      <c r="BC238" s="315"/>
      <c r="BD238" s="319"/>
      <c r="BE238" s="319"/>
      <c r="BF238" s="319"/>
      <c r="BG238" s="319"/>
      <c r="BH238" s="319"/>
      <c r="BI238" s="319"/>
      <c r="BJ238" s="319"/>
      <c r="BK238" s="315"/>
      <c r="BL238" s="316"/>
      <c r="BM238" s="314"/>
      <c r="BN238" s="319"/>
      <c r="BO238" s="315"/>
      <c r="BP238" s="314"/>
      <c r="BQ238" s="316"/>
      <c r="BR238" s="314"/>
      <c r="BS238" s="262"/>
      <c r="BT238" s="262"/>
    </row>
    <row r="239" spans="1:72" ht="45.75" customHeight="1">
      <c r="A239" s="342"/>
      <c r="B239" s="342"/>
      <c r="C239" s="342"/>
      <c r="D239" s="343"/>
      <c r="E239" s="342"/>
      <c r="F239" s="342"/>
      <c r="G239" s="344"/>
      <c r="H239" s="344"/>
      <c r="I239" s="344"/>
      <c r="J239" s="334"/>
      <c r="K239" s="335"/>
      <c r="L239" s="336"/>
      <c r="M239" s="336"/>
      <c r="N239" s="337"/>
      <c r="O239" s="337"/>
      <c r="P239" s="315"/>
      <c r="Q239" s="314"/>
      <c r="R239" s="317"/>
      <c r="S239" s="315"/>
      <c r="T239" s="315"/>
      <c r="U239" s="315"/>
      <c r="V239" s="258"/>
      <c r="W239" s="322"/>
      <c r="X239" s="318"/>
      <c r="Y239" s="315"/>
      <c r="Z239" s="318"/>
      <c r="AA239" s="314"/>
      <c r="AB239" s="336"/>
      <c r="AC239" s="314"/>
      <c r="AD239" s="316"/>
      <c r="AE239" s="315"/>
      <c r="AF239" s="315"/>
      <c r="AG239" s="315"/>
      <c r="AH239" s="315"/>
      <c r="AI239" s="377"/>
      <c r="AJ239" s="407"/>
      <c r="AK239" s="377"/>
      <c r="AL239" s="314"/>
      <c r="AM239" s="314"/>
      <c r="AN239" s="314"/>
      <c r="AO239" s="315"/>
      <c r="AP239" s="257"/>
      <c r="AQ239" s="257"/>
      <c r="AR239" s="257"/>
      <c r="AS239" s="315"/>
      <c r="AT239" s="257"/>
      <c r="AU239" s="257"/>
      <c r="AV239" s="316"/>
      <c r="AW239" s="314"/>
      <c r="AX239" s="315"/>
      <c r="AY239" s="315"/>
      <c r="AZ239" s="315"/>
      <c r="BA239" s="315"/>
      <c r="BB239" s="315"/>
      <c r="BC239" s="315"/>
      <c r="BD239" s="319"/>
      <c r="BE239" s="319"/>
      <c r="BF239" s="319"/>
      <c r="BG239" s="319"/>
      <c r="BH239" s="319"/>
      <c r="BI239" s="319"/>
      <c r="BJ239" s="319"/>
      <c r="BK239" s="315"/>
      <c r="BL239" s="316"/>
      <c r="BM239" s="314"/>
      <c r="BN239" s="319"/>
      <c r="BO239" s="315"/>
      <c r="BP239" s="314"/>
      <c r="BQ239" s="316"/>
      <c r="BR239" s="314"/>
      <c r="BS239" s="262"/>
      <c r="BT239" s="262"/>
    </row>
    <row r="240" spans="1:72" ht="45.75" customHeight="1">
      <c r="A240" s="342"/>
      <c r="B240" s="342"/>
      <c r="C240" s="342"/>
      <c r="D240" s="343"/>
      <c r="E240" s="342"/>
      <c r="F240" s="342"/>
      <c r="G240" s="344"/>
      <c r="H240" s="344"/>
      <c r="I240" s="344"/>
      <c r="J240" s="334"/>
      <c r="K240" s="335"/>
      <c r="L240" s="336"/>
      <c r="M240" s="336"/>
      <c r="N240" s="337"/>
      <c r="O240" s="337"/>
      <c r="P240" s="315"/>
      <c r="Q240" s="314"/>
      <c r="R240" s="317"/>
      <c r="S240" s="315"/>
      <c r="T240" s="315"/>
      <c r="U240" s="315"/>
      <c r="V240" s="258"/>
      <c r="W240" s="322"/>
      <c r="X240" s="318"/>
      <c r="Y240" s="315"/>
      <c r="Z240" s="318"/>
      <c r="AA240" s="314"/>
      <c r="AB240" s="336"/>
      <c r="AC240" s="314"/>
      <c r="AD240" s="316"/>
      <c r="AE240" s="315"/>
      <c r="AF240" s="315"/>
      <c r="AG240" s="315"/>
      <c r="AH240" s="315"/>
      <c r="AI240" s="377"/>
      <c r="AJ240" s="407"/>
      <c r="AK240" s="377"/>
      <c r="AL240" s="314"/>
      <c r="AM240" s="314"/>
      <c r="AN240" s="314"/>
      <c r="AO240" s="315"/>
      <c r="AP240" s="257"/>
      <c r="AQ240" s="257"/>
      <c r="AR240" s="257"/>
      <c r="AS240" s="315"/>
      <c r="AT240" s="257"/>
      <c r="AU240" s="257"/>
      <c r="AV240" s="316"/>
      <c r="AW240" s="314"/>
      <c r="AX240" s="315"/>
      <c r="AY240" s="315"/>
      <c r="AZ240" s="315"/>
      <c r="BA240" s="315"/>
      <c r="BB240" s="315"/>
      <c r="BC240" s="315"/>
      <c r="BD240" s="319"/>
      <c r="BE240" s="319"/>
      <c r="BF240" s="319"/>
      <c r="BG240" s="319"/>
      <c r="BH240" s="319"/>
      <c r="BI240" s="319"/>
      <c r="BJ240" s="319"/>
      <c r="BK240" s="315"/>
      <c r="BL240" s="316"/>
      <c r="BM240" s="314"/>
      <c r="BN240" s="319"/>
      <c r="BO240" s="315"/>
      <c r="BP240" s="314"/>
      <c r="BQ240" s="316"/>
      <c r="BR240" s="314"/>
      <c r="BS240" s="262"/>
      <c r="BT240" s="262"/>
    </row>
    <row r="241" spans="1:72" ht="45.75" customHeight="1">
      <c r="A241" s="342"/>
      <c r="B241" s="342"/>
      <c r="C241" s="342"/>
      <c r="D241" s="343"/>
      <c r="E241" s="342"/>
      <c r="F241" s="342"/>
      <c r="G241" s="344"/>
      <c r="H241" s="344"/>
      <c r="I241" s="344"/>
      <c r="J241" s="334"/>
      <c r="K241" s="335"/>
      <c r="L241" s="336"/>
      <c r="M241" s="336"/>
      <c r="N241" s="337"/>
      <c r="O241" s="337"/>
      <c r="P241" s="315"/>
      <c r="Q241" s="314"/>
      <c r="R241" s="317"/>
      <c r="S241" s="315"/>
      <c r="T241" s="315"/>
      <c r="U241" s="315"/>
      <c r="V241" s="258"/>
      <c r="W241" s="322"/>
      <c r="X241" s="318"/>
      <c r="Y241" s="315"/>
      <c r="Z241" s="318"/>
      <c r="AA241" s="314"/>
      <c r="AB241" s="336"/>
      <c r="AC241" s="314"/>
      <c r="AD241" s="316"/>
      <c r="AE241" s="315"/>
      <c r="AF241" s="315"/>
      <c r="AG241" s="315"/>
      <c r="AH241" s="315"/>
      <c r="AI241" s="377"/>
      <c r="AJ241" s="407"/>
      <c r="AK241" s="377"/>
      <c r="AL241" s="314"/>
      <c r="AM241" s="314"/>
      <c r="AN241" s="314"/>
      <c r="AO241" s="315"/>
      <c r="AP241" s="257"/>
      <c r="AQ241" s="257"/>
      <c r="AR241" s="257"/>
      <c r="AS241" s="315"/>
      <c r="AT241" s="257"/>
      <c r="AU241" s="257"/>
      <c r="AV241" s="316"/>
      <c r="AW241" s="314"/>
      <c r="AX241" s="315"/>
      <c r="AY241" s="315"/>
      <c r="AZ241" s="315"/>
      <c r="BA241" s="315"/>
      <c r="BB241" s="315"/>
      <c r="BC241" s="315"/>
      <c r="BD241" s="319"/>
      <c r="BE241" s="319"/>
      <c r="BF241" s="319"/>
      <c r="BG241" s="319"/>
      <c r="BH241" s="319"/>
      <c r="BI241" s="319"/>
      <c r="BJ241" s="319"/>
      <c r="BK241" s="315"/>
      <c r="BL241" s="316"/>
      <c r="BM241" s="314"/>
      <c r="BN241" s="319"/>
      <c r="BO241" s="315"/>
      <c r="BP241" s="314"/>
      <c r="BQ241" s="316"/>
      <c r="BR241" s="314"/>
      <c r="BS241" s="262"/>
      <c r="BT241" s="262"/>
    </row>
    <row r="242" spans="1:72" ht="45.75" customHeight="1">
      <c r="A242" s="342"/>
      <c r="B242" s="342"/>
      <c r="C242" s="342"/>
      <c r="D242" s="343"/>
      <c r="E242" s="342"/>
      <c r="F242" s="342"/>
      <c r="G242" s="344"/>
      <c r="H242" s="344"/>
      <c r="I242" s="344"/>
      <c r="J242" s="334"/>
      <c r="K242" s="335"/>
      <c r="L242" s="336"/>
      <c r="M242" s="336"/>
      <c r="N242" s="337"/>
      <c r="O242" s="337"/>
      <c r="P242" s="315"/>
      <c r="Q242" s="314"/>
      <c r="R242" s="317"/>
      <c r="S242" s="315"/>
      <c r="T242" s="315"/>
      <c r="U242" s="315"/>
      <c r="V242" s="258"/>
      <c r="W242" s="322"/>
      <c r="X242" s="318"/>
      <c r="Y242" s="315"/>
      <c r="Z242" s="318"/>
      <c r="AA242" s="314"/>
      <c r="AB242" s="336"/>
      <c r="AC242" s="314"/>
      <c r="AD242" s="316"/>
      <c r="AE242" s="315"/>
      <c r="AF242" s="315"/>
      <c r="AG242" s="315"/>
      <c r="AH242" s="315"/>
      <c r="AI242" s="377"/>
      <c r="AJ242" s="407"/>
      <c r="AK242" s="377"/>
      <c r="AL242" s="314"/>
      <c r="AM242" s="314"/>
      <c r="AN242" s="314"/>
      <c r="AO242" s="315"/>
      <c r="AP242" s="257"/>
      <c r="AQ242" s="257"/>
      <c r="AR242" s="257"/>
      <c r="AS242" s="315"/>
      <c r="AT242" s="257"/>
      <c r="AU242" s="257"/>
      <c r="AV242" s="316"/>
      <c r="AW242" s="314"/>
      <c r="AX242" s="315"/>
      <c r="AY242" s="315"/>
      <c r="AZ242" s="315"/>
      <c r="BA242" s="315"/>
      <c r="BB242" s="315"/>
      <c r="BC242" s="315"/>
      <c r="BD242" s="319"/>
      <c r="BE242" s="319"/>
      <c r="BF242" s="319"/>
      <c r="BG242" s="319"/>
      <c r="BH242" s="319"/>
      <c r="BI242" s="319"/>
      <c r="BJ242" s="319"/>
      <c r="BK242" s="315"/>
      <c r="BL242" s="316"/>
      <c r="BM242" s="314"/>
      <c r="BN242" s="319"/>
      <c r="BO242" s="315"/>
      <c r="BP242" s="314"/>
      <c r="BQ242" s="316"/>
      <c r="BR242" s="314"/>
      <c r="BS242" s="262"/>
      <c r="BT242" s="262"/>
    </row>
    <row r="243" spans="1:72" ht="45.75" customHeight="1">
      <c r="A243" s="342"/>
      <c r="B243" s="342"/>
      <c r="C243" s="342"/>
      <c r="D243" s="343"/>
      <c r="E243" s="342"/>
      <c r="F243" s="342"/>
      <c r="G243" s="344"/>
      <c r="H243" s="344"/>
      <c r="I243" s="344"/>
      <c r="J243" s="334"/>
      <c r="K243" s="335"/>
      <c r="L243" s="336"/>
      <c r="M243" s="336"/>
      <c r="N243" s="337"/>
      <c r="O243" s="337"/>
      <c r="P243" s="315"/>
      <c r="Q243" s="314"/>
      <c r="R243" s="317"/>
      <c r="S243" s="315"/>
      <c r="T243" s="315"/>
      <c r="U243" s="315"/>
      <c r="V243" s="258"/>
      <c r="W243" s="322"/>
      <c r="X243" s="318"/>
      <c r="Y243" s="315"/>
      <c r="Z243" s="318"/>
      <c r="AA243" s="314"/>
      <c r="AB243" s="336"/>
      <c r="AC243" s="314"/>
      <c r="AD243" s="316"/>
      <c r="AE243" s="315"/>
      <c r="AF243" s="315"/>
      <c r="AG243" s="315"/>
      <c r="AH243" s="315"/>
      <c r="AI243" s="377"/>
      <c r="AJ243" s="407"/>
      <c r="AK243" s="377"/>
      <c r="AL243" s="314"/>
      <c r="AM243" s="314"/>
      <c r="AN243" s="314"/>
      <c r="AO243" s="315"/>
      <c r="AP243" s="257"/>
      <c r="AQ243" s="257"/>
      <c r="AR243" s="257"/>
      <c r="AS243" s="315"/>
      <c r="AT243" s="257"/>
      <c r="AU243" s="257"/>
      <c r="AV243" s="316"/>
      <c r="AW243" s="314"/>
      <c r="AX243" s="315"/>
      <c r="AY243" s="315"/>
      <c r="AZ243" s="315"/>
      <c r="BA243" s="315"/>
      <c r="BB243" s="315"/>
      <c r="BC243" s="315"/>
      <c r="BD243" s="319"/>
      <c r="BE243" s="319"/>
      <c r="BF243" s="319"/>
      <c r="BG243" s="319"/>
      <c r="BH243" s="319"/>
      <c r="BI243" s="319"/>
      <c r="BJ243" s="319"/>
      <c r="BK243" s="315"/>
      <c r="BL243" s="316"/>
      <c r="BM243" s="314"/>
      <c r="BN243" s="319"/>
      <c r="BO243" s="315"/>
      <c r="BP243" s="314"/>
      <c r="BQ243" s="316"/>
      <c r="BR243" s="314"/>
      <c r="BS243" s="262"/>
      <c r="BT243" s="262"/>
    </row>
    <row r="244" spans="1:72" ht="45.75" customHeight="1">
      <c r="A244" s="342"/>
      <c r="B244" s="342"/>
      <c r="C244" s="342"/>
      <c r="D244" s="343"/>
      <c r="E244" s="342"/>
      <c r="F244" s="342"/>
      <c r="G244" s="344"/>
      <c r="H244" s="344"/>
      <c r="I244" s="344"/>
      <c r="J244" s="334"/>
      <c r="K244" s="335"/>
      <c r="L244" s="336"/>
      <c r="M244" s="336"/>
      <c r="N244" s="337"/>
      <c r="O244" s="337"/>
      <c r="P244" s="315"/>
      <c r="Q244" s="314"/>
      <c r="R244" s="317"/>
      <c r="S244" s="315"/>
      <c r="T244" s="315"/>
      <c r="U244" s="315"/>
      <c r="V244" s="258"/>
      <c r="W244" s="322"/>
      <c r="X244" s="318"/>
      <c r="Y244" s="315"/>
      <c r="Z244" s="318"/>
      <c r="AA244" s="314"/>
      <c r="AB244" s="336"/>
      <c r="AC244" s="314"/>
      <c r="AD244" s="316"/>
      <c r="AE244" s="315"/>
      <c r="AF244" s="315"/>
      <c r="AG244" s="315"/>
      <c r="AH244" s="315"/>
      <c r="AI244" s="377"/>
      <c r="AJ244" s="407"/>
      <c r="AK244" s="377"/>
      <c r="AL244" s="314"/>
      <c r="AM244" s="314"/>
      <c r="AN244" s="314"/>
      <c r="AO244" s="315"/>
      <c r="AP244" s="257"/>
      <c r="AQ244" s="257"/>
      <c r="AR244" s="257"/>
      <c r="AS244" s="315"/>
      <c r="AT244" s="257"/>
      <c r="AU244" s="257"/>
      <c r="AV244" s="316"/>
      <c r="AW244" s="314"/>
      <c r="AX244" s="315"/>
      <c r="AY244" s="315"/>
      <c r="AZ244" s="315"/>
      <c r="BA244" s="315"/>
      <c r="BB244" s="315"/>
      <c r="BC244" s="315"/>
      <c r="BD244" s="319"/>
      <c r="BE244" s="319"/>
      <c r="BF244" s="319"/>
      <c r="BG244" s="319"/>
      <c r="BH244" s="319"/>
      <c r="BI244" s="319"/>
      <c r="BJ244" s="319"/>
      <c r="BK244" s="315"/>
      <c r="BL244" s="316"/>
      <c r="BM244" s="314"/>
      <c r="BN244" s="319"/>
      <c r="BO244" s="315"/>
      <c r="BP244" s="314"/>
      <c r="BQ244" s="316"/>
      <c r="BR244" s="314"/>
      <c r="BS244" s="262"/>
      <c r="BT244" s="262"/>
    </row>
    <row r="245" spans="1:72" ht="45.75" customHeight="1">
      <c r="A245" s="342"/>
      <c r="B245" s="342"/>
      <c r="C245" s="342"/>
      <c r="D245" s="343"/>
      <c r="E245" s="342"/>
      <c r="F245" s="342"/>
      <c r="G245" s="344"/>
      <c r="H245" s="344"/>
      <c r="I245" s="344"/>
      <c r="J245" s="334"/>
      <c r="K245" s="335"/>
      <c r="L245" s="336"/>
      <c r="M245" s="336"/>
      <c r="N245" s="337"/>
      <c r="O245" s="337"/>
      <c r="P245" s="315"/>
      <c r="Q245" s="314"/>
      <c r="R245" s="317"/>
      <c r="S245" s="315"/>
      <c r="T245" s="315"/>
      <c r="U245" s="315"/>
      <c r="V245" s="258"/>
      <c r="W245" s="322"/>
      <c r="X245" s="318"/>
      <c r="Y245" s="315"/>
      <c r="Z245" s="318"/>
      <c r="AA245" s="314"/>
      <c r="AB245" s="336"/>
      <c r="AC245" s="314"/>
      <c r="AD245" s="316"/>
      <c r="AE245" s="315"/>
      <c r="AF245" s="315"/>
      <c r="AG245" s="315"/>
      <c r="AH245" s="315"/>
      <c r="AI245" s="377"/>
      <c r="AJ245" s="407"/>
      <c r="AK245" s="377"/>
      <c r="AL245" s="314"/>
      <c r="AM245" s="314"/>
      <c r="AN245" s="314"/>
      <c r="AO245" s="315"/>
      <c r="AP245" s="257"/>
      <c r="AQ245" s="257"/>
      <c r="AR245" s="257"/>
      <c r="AS245" s="315"/>
      <c r="AT245" s="257"/>
      <c r="AU245" s="257"/>
      <c r="AV245" s="316"/>
      <c r="AW245" s="314"/>
      <c r="AX245" s="315"/>
      <c r="AY245" s="315"/>
      <c r="AZ245" s="315"/>
      <c r="BA245" s="315"/>
      <c r="BB245" s="315"/>
      <c r="BC245" s="315"/>
      <c r="BD245" s="319"/>
      <c r="BE245" s="319"/>
      <c r="BF245" s="319"/>
      <c r="BG245" s="319"/>
      <c r="BH245" s="319"/>
      <c r="BI245" s="319"/>
      <c r="BJ245" s="319"/>
      <c r="BK245" s="315"/>
      <c r="BL245" s="316"/>
      <c r="BM245" s="314"/>
      <c r="BN245" s="319"/>
      <c r="BO245" s="315"/>
      <c r="BP245" s="314"/>
      <c r="BQ245" s="316"/>
      <c r="BR245" s="314"/>
      <c r="BS245" s="262"/>
      <c r="BT245" s="262"/>
    </row>
    <row r="246" spans="1:72" ht="45.75" customHeight="1">
      <c r="A246" s="342"/>
      <c r="B246" s="342"/>
      <c r="C246" s="342"/>
      <c r="D246" s="343"/>
      <c r="E246" s="342"/>
      <c r="F246" s="342"/>
      <c r="G246" s="344"/>
      <c r="H246" s="344"/>
      <c r="I246" s="344"/>
      <c r="J246" s="334"/>
      <c r="K246" s="335"/>
      <c r="L246" s="336"/>
      <c r="M246" s="336"/>
      <c r="N246" s="337"/>
      <c r="O246" s="337"/>
      <c r="P246" s="315"/>
      <c r="Q246" s="314"/>
      <c r="R246" s="317"/>
      <c r="S246" s="315"/>
      <c r="T246" s="315"/>
      <c r="U246" s="315"/>
      <c r="V246" s="258"/>
      <c r="W246" s="322"/>
      <c r="X246" s="318"/>
      <c r="Y246" s="315"/>
      <c r="Z246" s="318"/>
      <c r="AA246" s="314"/>
      <c r="AB246" s="336"/>
      <c r="AC246" s="314"/>
      <c r="AD246" s="316"/>
      <c r="AE246" s="315"/>
      <c r="AF246" s="315"/>
      <c r="AG246" s="315"/>
      <c r="AH246" s="315"/>
      <c r="AI246" s="377"/>
      <c r="AJ246" s="407"/>
      <c r="AK246" s="377"/>
      <c r="AL246" s="314"/>
      <c r="AM246" s="314"/>
      <c r="AN246" s="314"/>
      <c r="AO246" s="315"/>
      <c r="AP246" s="257"/>
      <c r="AQ246" s="257"/>
      <c r="AR246" s="257"/>
      <c r="AS246" s="315"/>
      <c r="AT246" s="257"/>
      <c r="AU246" s="257"/>
      <c r="AV246" s="316"/>
      <c r="AW246" s="314"/>
      <c r="AX246" s="315"/>
      <c r="AY246" s="315"/>
      <c r="AZ246" s="315"/>
      <c r="BA246" s="315"/>
      <c r="BB246" s="315"/>
      <c r="BC246" s="315"/>
      <c r="BD246" s="319"/>
      <c r="BE246" s="319"/>
      <c r="BF246" s="319"/>
      <c r="BG246" s="319"/>
      <c r="BH246" s="319"/>
      <c r="BI246" s="319"/>
      <c r="BJ246" s="319"/>
      <c r="BK246" s="315"/>
      <c r="BL246" s="316"/>
      <c r="BM246" s="314"/>
      <c r="BN246" s="319"/>
      <c r="BO246" s="315"/>
      <c r="BP246" s="314"/>
      <c r="BQ246" s="316"/>
      <c r="BR246" s="314"/>
      <c r="BS246" s="262"/>
      <c r="BT246" s="262"/>
    </row>
    <row r="247" spans="1:72" ht="45.75" customHeight="1">
      <c r="A247" s="342"/>
      <c r="B247" s="342"/>
      <c r="C247" s="342"/>
      <c r="D247" s="343"/>
      <c r="E247" s="342"/>
      <c r="F247" s="342"/>
      <c r="G247" s="344"/>
      <c r="H247" s="344"/>
      <c r="I247" s="344"/>
      <c r="J247" s="334"/>
      <c r="K247" s="335"/>
      <c r="L247" s="336"/>
      <c r="M247" s="336"/>
      <c r="N247" s="337"/>
      <c r="O247" s="337"/>
      <c r="P247" s="315"/>
      <c r="Q247" s="314"/>
      <c r="R247" s="317"/>
      <c r="S247" s="315"/>
      <c r="T247" s="315"/>
      <c r="U247" s="315"/>
      <c r="V247" s="258"/>
      <c r="W247" s="322"/>
      <c r="X247" s="318"/>
      <c r="Y247" s="315"/>
      <c r="Z247" s="318"/>
      <c r="AA247" s="314"/>
      <c r="AB247" s="336"/>
      <c r="AC247" s="314"/>
      <c r="AD247" s="316"/>
      <c r="AE247" s="315"/>
      <c r="AF247" s="315"/>
      <c r="AG247" s="315"/>
      <c r="AH247" s="315"/>
      <c r="AI247" s="377"/>
      <c r="AJ247" s="407"/>
      <c r="AK247" s="377"/>
      <c r="AL247" s="314"/>
      <c r="AM247" s="314"/>
      <c r="AN247" s="314"/>
      <c r="AO247" s="315"/>
      <c r="AP247" s="257"/>
      <c r="AQ247" s="257"/>
      <c r="AR247" s="257"/>
      <c r="AS247" s="315"/>
      <c r="AT247" s="257"/>
      <c r="AU247" s="257"/>
      <c r="AV247" s="316"/>
      <c r="AW247" s="314"/>
      <c r="AX247" s="315"/>
      <c r="AY247" s="315"/>
      <c r="AZ247" s="315"/>
      <c r="BA247" s="315"/>
      <c r="BB247" s="315"/>
      <c r="BC247" s="315"/>
      <c r="BD247" s="319"/>
      <c r="BE247" s="319"/>
      <c r="BF247" s="319"/>
      <c r="BG247" s="319"/>
      <c r="BH247" s="319"/>
      <c r="BI247" s="319"/>
      <c r="BJ247" s="319"/>
      <c r="BK247" s="315"/>
      <c r="BL247" s="316"/>
      <c r="BM247" s="314"/>
      <c r="BN247" s="319"/>
      <c r="BO247" s="315"/>
      <c r="BP247" s="314"/>
      <c r="BQ247" s="316"/>
      <c r="BR247" s="314"/>
      <c r="BS247" s="262"/>
      <c r="BT247" s="262"/>
    </row>
    <row r="248" spans="1:72" ht="45.75" customHeight="1">
      <c r="A248" s="342"/>
      <c r="B248" s="342"/>
      <c r="C248" s="342"/>
      <c r="D248" s="343"/>
      <c r="E248" s="342"/>
      <c r="F248" s="342"/>
      <c r="G248" s="344"/>
      <c r="H248" s="344"/>
      <c r="I248" s="344"/>
      <c r="J248" s="334"/>
      <c r="K248" s="335"/>
      <c r="L248" s="336"/>
      <c r="M248" s="336"/>
      <c r="N248" s="337"/>
      <c r="O248" s="337"/>
      <c r="P248" s="315"/>
      <c r="Q248" s="314"/>
      <c r="R248" s="317"/>
      <c r="S248" s="315"/>
      <c r="T248" s="315"/>
      <c r="U248" s="315"/>
      <c r="V248" s="258"/>
      <c r="W248" s="322"/>
      <c r="X248" s="318"/>
      <c r="Y248" s="315"/>
      <c r="Z248" s="318"/>
      <c r="AA248" s="314"/>
      <c r="AB248" s="336"/>
      <c r="AC248" s="314"/>
      <c r="AD248" s="316"/>
      <c r="AE248" s="315"/>
      <c r="AF248" s="315"/>
      <c r="AG248" s="315"/>
      <c r="AH248" s="315"/>
      <c r="AI248" s="377"/>
      <c r="AJ248" s="407"/>
      <c r="AK248" s="377"/>
      <c r="AL248" s="314"/>
      <c r="AM248" s="314"/>
      <c r="AN248" s="314"/>
      <c r="AO248" s="315"/>
      <c r="AP248" s="257"/>
      <c r="AQ248" s="257"/>
      <c r="AR248" s="257"/>
      <c r="AS248" s="315"/>
      <c r="AT248" s="257"/>
      <c r="AU248" s="257"/>
      <c r="AV248" s="316"/>
      <c r="AW248" s="314"/>
      <c r="AX248" s="315"/>
      <c r="AY248" s="315"/>
      <c r="AZ248" s="315"/>
      <c r="BA248" s="315"/>
      <c r="BB248" s="315"/>
      <c r="BC248" s="315"/>
      <c r="BD248" s="319"/>
      <c r="BE248" s="319"/>
      <c r="BF248" s="319"/>
      <c r="BG248" s="319"/>
      <c r="BH248" s="319"/>
      <c r="BI248" s="319"/>
      <c r="BJ248" s="319"/>
      <c r="BK248" s="315"/>
      <c r="BL248" s="316"/>
      <c r="BM248" s="314"/>
      <c r="BN248" s="319"/>
      <c r="BO248" s="315"/>
      <c r="BP248" s="314"/>
      <c r="BQ248" s="316"/>
      <c r="BR248" s="314"/>
      <c r="BS248" s="262"/>
      <c r="BT248" s="262"/>
    </row>
    <row r="249" spans="1:72" ht="45.75" customHeight="1">
      <c r="A249" s="342"/>
      <c r="B249" s="342"/>
      <c r="C249" s="342"/>
      <c r="D249" s="343"/>
      <c r="E249" s="342"/>
      <c r="F249" s="342"/>
      <c r="G249" s="344"/>
      <c r="H249" s="344"/>
      <c r="I249" s="344"/>
      <c r="J249" s="334"/>
      <c r="K249" s="335"/>
      <c r="L249" s="336"/>
      <c r="M249" s="336"/>
      <c r="N249" s="337"/>
      <c r="O249" s="337"/>
      <c r="P249" s="315"/>
      <c r="Q249" s="314"/>
      <c r="R249" s="317"/>
      <c r="S249" s="315"/>
      <c r="T249" s="315"/>
      <c r="U249" s="315"/>
      <c r="V249" s="258"/>
      <c r="W249" s="322"/>
      <c r="X249" s="318"/>
      <c r="Y249" s="315"/>
      <c r="Z249" s="318"/>
      <c r="AA249" s="314"/>
      <c r="AB249" s="336"/>
      <c r="AC249" s="314"/>
      <c r="AD249" s="316"/>
      <c r="AE249" s="315"/>
      <c r="AF249" s="315"/>
      <c r="AG249" s="315"/>
      <c r="AH249" s="315"/>
      <c r="AI249" s="377"/>
      <c r="AJ249" s="407"/>
      <c r="AK249" s="377"/>
      <c r="AL249" s="314"/>
      <c r="AM249" s="314"/>
      <c r="AN249" s="314"/>
      <c r="AO249" s="315"/>
      <c r="AP249" s="257"/>
      <c r="AQ249" s="257"/>
      <c r="AR249" s="257"/>
      <c r="AS249" s="315"/>
      <c r="AT249" s="257"/>
      <c r="AU249" s="257"/>
      <c r="AV249" s="316"/>
      <c r="AW249" s="314"/>
      <c r="AX249" s="315"/>
      <c r="AY249" s="315"/>
      <c r="AZ249" s="315"/>
      <c r="BA249" s="315"/>
      <c r="BB249" s="315"/>
      <c r="BC249" s="315"/>
      <c r="BD249" s="319"/>
      <c r="BE249" s="319"/>
      <c r="BF249" s="319"/>
      <c r="BG249" s="319"/>
      <c r="BH249" s="319"/>
      <c r="BI249" s="319"/>
      <c r="BJ249" s="319"/>
      <c r="BK249" s="315"/>
      <c r="BL249" s="316"/>
      <c r="BM249" s="314"/>
      <c r="BN249" s="319"/>
      <c r="BO249" s="315"/>
      <c r="BP249" s="314"/>
      <c r="BQ249" s="316"/>
      <c r="BR249" s="314"/>
      <c r="BS249" s="262"/>
      <c r="BT249" s="262"/>
    </row>
    <row r="250" spans="1:72" ht="45.75" customHeight="1">
      <c r="A250" s="342"/>
      <c r="B250" s="342"/>
      <c r="C250" s="342"/>
      <c r="D250" s="343"/>
      <c r="E250" s="342"/>
      <c r="F250" s="342"/>
      <c r="G250" s="344"/>
      <c r="H250" s="344"/>
      <c r="I250" s="344"/>
      <c r="J250" s="334"/>
      <c r="K250" s="335"/>
      <c r="L250" s="336"/>
      <c r="M250" s="336"/>
      <c r="N250" s="337"/>
      <c r="O250" s="337"/>
      <c r="P250" s="315"/>
      <c r="Q250" s="314"/>
      <c r="R250" s="317"/>
      <c r="S250" s="315"/>
      <c r="T250" s="315"/>
      <c r="U250" s="315"/>
      <c r="V250" s="258"/>
      <c r="W250" s="322"/>
      <c r="X250" s="318"/>
      <c r="Y250" s="315"/>
      <c r="Z250" s="318"/>
      <c r="AA250" s="314"/>
      <c r="AB250" s="336"/>
      <c r="AC250" s="314"/>
      <c r="AD250" s="316"/>
      <c r="AE250" s="315"/>
      <c r="AF250" s="315"/>
      <c r="AG250" s="315"/>
      <c r="AH250" s="315"/>
      <c r="AI250" s="377"/>
      <c r="AJ250" s="407"/>
      <c r="AK250" s="377"/>
      <c r="AL250" s="314"/>
      <c r="AM250" s="314"/>
      <c r="AN250" s="314"/>
      <c r="AO250" s="315"/>
      <c r="AP250" s="257"/>
      <c r="AQ250" s="257"/>
      <c r="AR250" s="257"/>
      <c r="AS250" s="315"/>
      <c r="AT250" s="257"/>
      <c r="AU250" s="257"/>
      <c r="AV250" s="316"/>
      <c r="AW250" s="314"/>
      <c r="AX250" s="315"/>
      <c r="AY250" s="315"/>
      <c r="AZ250" s="315"/>
      <c r="BA250" s="315"/>
      <c r="BB250" s="315"/>
      <c r="BC250" s="315"/>
      <c r="BD250" s="319"/>
      <c r="BE250" s="319"/>
      <c r="BF250" s="319"/>
      <c r="BG250" s="319"/>
      <c r="BH250" s="319"/>
      <c r="BI250" s="319"/>
      <c r="BJ250" s="319"/>
      <c r="BK250" s="315"/>
      <c r="BL250" s="316"/>
      <c r="BM250" s="314"/>
      <c r="BN250" s="319"/>
      <c r="BO250" s="315"/>
      <c r="BP250" s="314"/>
      <c r="BQ250" s="316"/>
      <c r="BR250" s="314"/>
      <c r="BS250" s="262"/>
      <c r="BT250" s="262"/>
    </row>
    <row r="251" spans="1:72" ht="45.75" customHeight="1">
      <c r="A251" s="342"/>
      <c r="B251" s="342"/>
      <c r="C251" s="342"/>
      <c r="D251" s="343"/>
      <c r="E251" s="342"/>
      <c r="F251" s="342"/>
      <c r="G251" s="344"/>
      <c r="H251" s="344"/>
      <c r="I251" s="344"/>
      <c r="J251" s="334"/>
      <c r="K251" s="335"/>
      <c r="L251" s="336"/>
      <c r="M251" s="336"/>
      <c r="N251" s="337"/>
      <c r="O251" s="337"/>
      <c r="P251" s="315"/>
      <c r="Q251" s="314"/>
      <c r="R251" s="317"/>
      <c r="S251" s="315"/>
      <c r="T251" s="315"/>
      <c r="U251" s="315"/>
      <c r="V251" s="258"/>
      <c r="W251" s="322"/>
      <c r="X251" s="318"/>
      <c r="Y251" s="315"/>
      <c r="Z251" s="318"/>
      <c r="AA251" s="314"/>
      <c r="AB251" s="336"/>
      <c r="AC251" s="314"/>
      <c r="AD251" s="316"/>
      <c r="AE251" s="315"/>
      <c r="AF251" s="315"/>
      <c r="AG251" s="315"/>
      <c r="AH251" s="315"/>
      <c r="AI251" s="377"/>
      <c r="AJ251" s="407"/>
      <c r="AK251" s="377"/>
      <c r="AL251" s="314"/>
      <c r="AM251" s="314"/>
      <c r="AN251" s="314"/>
      <c r="AO251" s="315"/>
      <c r="AP251" s="257"/>
      <c r="AQ251" s="257"/>
      <c r="AR251" s="257"/>
      <c r="AS251" s="315"/>
      <c r="AT251" s="257"/>
      <c r="AU251" s="257"/>
      <c r="AV251" s="316"/>
      <c r="AW251" s="314"/>
      <c r="AX251" s="315"/>
      <c r="AY251" s="315"/>
      <c r="AZ251" s="315"/>
      <c r="BA251" s="315"/>
      <c r="BB251" s="315"/>
      <c r="BC251" s="315"/>
      <c r="BD251" s="319"/>
      <c r="BE251" s="319"/>
      <c r="BF251" s="319"/>
      <c r="BG251" s="319"/>
      <c r="BH251" s="319"/>
      <c r="BI251" s="319"/>
      <c r="BJ251" s="319"/>
      <c r="BK251" s="315"/>
      <c r="BL251" s="316"/>
      <c r="BM251" s="314"/>
      <c r="BN251" s="319"/>
      <c r="BO251" s="315"/>
      <c r="BP251" s="314"/>
      <c r="BQ251" s="316"/>
      <c r="BR251" s="314"/>
      <c r="BS251" s="262"/>
      <c r="BT251" s="262"/>
    </row>
    <row r="252" spans="1:72" ht="45.75" customHeight="1">
      <c r="A252" s="342"/>
      <c r="B252" s="342"/>
      <c r="C252" s="342"/>
      <c r="D252" s="343"/>
      <c r="E252" s="342"/>
      <c r="F252" s="342"/>
      <c r="G252" s="344"/>
      <c r="H252" s="344"/>
      <c r="I252" s="344"/>
      <c r="J252" s="334"/>
      <c r="K252" s="335"/>
      <c r="L252" s="336"/>
      <c r="M252" s="336"/>
      <c r="N252" s="337"/>
      <c r="O252" s="337"/>
      <c r="P252" s="315"/>
      <c r="Q252" s="314"/>
      <c r="R252" s="317"/>
      <c r="S252" s="315"/>
      <c r="T252" s="315"/>
      <c r="U252" s="315"/>
      <c r="V252" s="258"/>
      <c r="W252" s="322"/>
      <c r="X252" s="318"/>
      <c r="Y252" s="315"/>
      <c r="Z252" s="318"/>
      <c r="AA252" s="314"/>
      <c r="AB252" s="336"/>
      <c r="AC252" s="314"/>
      <c r="AD252" s="316"/>
      <c r="AE252" s="315"/>
      <c r="AF252" s="315"/>
      <c r="AG252" s="315"/>
      <c r="AH252" s="315"/>
      <c r="AI252" s="377"/>
      <c r="AJ252" s="407"/>
      <c r="AK252" s="377"/>
      <c r="AL252" s="314"/>
      <c r="AM252" s="314"/>
      <c r="AN252" s="314"/>
      <c r="AO252" s="315"/>
      <c r="AP252" s="257"/>
      <c r="AQ252" s="257"/>
      <c r="AR252" s="257"/>
      <c r="AS252" s="315"/>
      <c r="AT252" s="257"/>
      <c r="AU252" s="257"/>
      <c r="AV252" s="316"/>
      <c r="AW252" s="314"/>
      <c r="AX252" s="315"/>
      <c r="AY252" s="315"/>
      <c r="AZ252" s="315"/>
      <c r="BA252" s="315"/>
      <c r="BB252" s="315"/>
      <c r="BC252" s="315"/>
      <c r="BD252" s="319"/>
      <c r="BE252" s="319"/>
      <c r="BF252" s="319"/>
      <c r="BG252" s="319"/>
      <c r="BH252" s="319"/>
      <c r="BI252" s="319"/>
      <c r="BJ252" s="319"/>
      <c r="BK252" s="315"/>
      <c r="BL252" s="316"/>
      <c r="BM252" s="314"/>
      <c r="BN252" s="319"/>
      <c r="BO252" s="315"/>
      <c r="BP252" s="314"/>
      <c r="BQ252" s="316"/>
      <c r="BR252" s="314"/>
      <c r="BS252" s="262"/>
      <c r="BT252" s="262"/>
    </row>
    <row r="253" spans="1:72" ht="45.75" customHeight="1">
      <c r="A253" s="342"/>
      <c r="B253" s="342"/>
      <c r="C253" s="342"/>
      <c r="D253" s="343"/>
      <c r="E253" s="342"/>
      <c r="F253" s="342"/>
      <c r="G253" s="344"/>
      <c r="H253" s="344"/>
      <c r="I253" s="344"/>
      <c r="J253" s="334"/>
      <c r="K253" s="335"/>
      <c r="L253" s="336"/>
      <c r="M253" s="336"/>
      <c r="N253" s="337"/>
      <c r="O253" s="337"/>
      <c r="P253" s="315"/>
      <c r="Q253" s="314"/>
      <c r="R253" s="317"/>
      <c r="S253" s="315"/>
      <c r="T253" s="315"/>
      <c r="U253" s="315"/>
      <c r="V253" s="258"/>
      <c r="W253" s="322"/>
      <c r="X253" s="318"/>
      <c r="Y253" s="315"/>
      <c r="Z253" s="318"/>
      <c r="AA253" s="314"/>
      <c r="AB253" s="336"/>
      <c r="AC253" s="314"/>
      <c r="AD253" s="316"/>
      <c r="AE253" s="315"/>
      <c r="AF253" s="315"/>
      <c r="AG253" s="315"/>
      <c r="AH253" s="315"/>
      <c r="AI253" s="377"/>
      <c r="AJ253" s="407"/>
      <c r="AK253" s="377"/>
      <c r="AL253" s="314"/>
      <c r="AM253" s="314"/>
      <c r="AN253" s="314"/>
      <c r="AO253" s="315"/>
      <c r="AP253" s="257"/>
      <c r="AQ253" s="257"/>
      <c r="AR253" s="257"/>
      <c r="AS253" s="315"/>
      <c r="AT253" s="257"/>
      <c r="AU253" s="257"/>
      <c r="AV253" s="316"/>
      <c r="AW253" s="314"/>
      <c r="AX253" s="315"/>
      <c r="AY253" s="315"/>
      <c r="AZ253" s="315"/>
      <c r="BA253" s="315"/>
      <c r="BB253" s="315"/>
      <c r="BC253" s="315"/>
      <c r="BD253" s="319"/>
      <c r="BE253" s="319"/>
      <c r="BF253" s="319"/>
      <c r="BG253" s="319"/>
      <c r="BH253" s="319"/>
      <c r="BI253" s="319"/>
      <c r="BJ253" s="319"/>
      <c r="BK253" s="315"/>
      <c r="BL253" s="316"/>
      <c r="BM253" s="314"/>
      <c r="BN253" s="319"/>
      <c r="BO253" s="315"/>
      <c r="BP253" s="314"/>
      <c r="BQ253" s="316"/>
      <c r="BR253" s="314"/>
      <c r="BS253" s="262"/>
      <c r="BT253" s="262"/>
    </row>
    <row r="254" spans="1:72" ht="45.75" customHeight="1">
      <c r="A254" s="342"/>
      <c r="B254" s="342"/>
      <c r="C254" s="342"/>
      <c r="D254" s="343"/>
      <c r="E254" s="342"/>
      <c r="F254" s="342"/>
      <c r="G254" s="344"/>
      <c r="H254" s="344"/>
      <c r="I254" s="344"/>
      <c r="J254" s="334"/>
      <c r="K254" s="335"/>
      <c r="L254" s="336"/>
      <c r="M254" s="336"/>
      <c r="N254" s="337"/>
      <c r="O254" s="337"/>
      <c r="P254" s="315"/>
      <c r="Q254" s="314"/>
      <c r="R254" s="317"/>
      <c r="S254" s="315"/>
      <c r="T254" s="315"/>
      <c r="U254" s="315"/>
      <c r="V254" s="258"/>
      <c r="W254" s="322"/>
      <c r="X254" s="318"/>
      <c r="Y254" s="315"/>
      <c r="Z254" s="318"/>
      <c r="AA254" s="314"/>
      <c r="AB254" s="336"/>
      <c r="AC254" s="314"/>
      <c r="AD254" s="316"/>
      <c r="AE254" s="315"/>
      <c r="AF254" s="315"/>
      <c r="AG254" s="315"/>
      <c r="AH254" s="315"/>
      <c r="AI254" s="377"/>
      <c r="AJ254" s="407"/>
      <c r="AK254" s="377"/>
      <c r="AL254" s="314"/>
      <c r="AM254" s="314"/>
      <c r="AN254" s="314"/>
      <c r="AO254" s="315"/>
      <c r="AP254" s="257"/>
      <c r="AQ254" s="257"/>
      <c r="AR254" s="257"/>
      <c r="AS254" s="315"/>
      <c r="AT254" s="257"/>
      <c r="AU254" s="257"/>
      <c r="AV254" s="316"/>
      <c r="AW254" s="314"/>
      <c r="AX254" s="315"/>
      <c r="AY254" s="315"/>
      <c r="AZ254" s="315"/>
      <c r="BA254" s="315"/>
      <c r="BB254" s="315"/>
      <c r="BC254" s="315"/>
      <c r="BD254" s="319"/>
      <c r="BE254" s="319"/>
      <c r="BF254" s="319"/>
      <c r="BG254" s="319"/>
      <c r="BH254" s="319"/>
      <c r="BI254" s="319"/>
      <c r="BJ254" s="319"/>
      <c r="BK254" s="315"/>
      <c r="BL254" s="316"/>
      <c r="BM254" s="314"/>
      <c r="BN254" s="319"/>
      <c r="BO254" s="315"/>
      <c r="BP254" s="314"/>
      <c r="BQ254" s="316"/>
      <c r="BR254" s="314"/>
      <c r="BS254" s="262"/>
      <c r="BT254" s="262"/>
    </row>
    <row r="255" spans="1:72" ht="45.75" customHeight="1">
      <c r="A255" s="342"/>
      <c r="B255" s="342"/>
      <c r="C255" s="342"/>
      <c r="D255" s="343"/>
      <c r="E255" s="342"/>
      <c r="F255" s="342"/>
      <c r="G255" s="344"/>
      <c r="H255" s="344"/>
      <c r="I255" s="344"/>
      <c r="J255" s="334"/>
      <c r="K255" s="335"/>
      <c r="L255" s="336"/>
      <c r="M255" s="336"/>
      <c r="N255" s="337"/>
      <c r="O255" s="337"/>
      <c r="P255" s="315"/>
      <c r="Q255" s="314"/>
      <c r="R255" s="317"/>
      <c r="S255" s="315"/>
      <c r="T255" s="315"/>
      <c r="U255" s="315"/>
      <c r="V255" s="258"/>
      <c r="W255" s="322"/>
      <c r="X255" s="318"/>
      <c r="Y255" s="315"/>
      <c r="Z255" s="318"/>
      <c r="AA255" s="314"/>
      <c r="AB255" s="336"/>
      <c r="AC255" s="314"/>
      <c r="AD255" s="316"/>
      <c r="AE255" s="315"/>
      <c r="AF255" s="315"/>
      <c r="AG255" s="315"/>
      <c r="AH255" s="315"/>
      <c r="AI255" s="377"/>
      <c r="AJ255" s="407"/>
      <c r="AK255" s="377"/>
      <c r="AL255" s="314"/>
      <c r="AM255" s="314"/>
      <c r="AN255" s="314"/>
      <c r="AO255" s="315"/>
      <c r="AP255" s="257"/>
      <c r="AQ255" s="257"/>
      <c r="AR255" s="257"/>
      <c r="AS255" s="315"/>
      <c r="AT255" s="257"/>
      <c r="AU255" s="257"/>
      <c r="AV255" s="316"/>
      <c r="AW255" s="314"/>
      <c r="AX255" s="315"/>
      <c r="AY255" s="315"/>
      <c r="AZ255" s="315"/>
      <c r="BA255" s="315"/>
      <c r="BB255" s="315"/>
      <c r="BC255" s="315"/>
      <c r="BD255" s="319"/>
      <c r="BE255" s="319"/>
      <c r="BF255" s="319"/>
      <c r="BG255" s="319"/>
      <c r="BH255" s="319"/>
      <c r="BI255" s="319"/>
      <c r="BJ255" s="319"/>
      <c r="BK255" s="315"/>
      <c r="BL255" s="316"/>
      <c r="BM255" s="314"/>
      <c r="BN255" s="319"/>
      <c r="BO255" s="315"/>
      <c r="BP255" s="314"/>
      <c r="BQ255" s="316"/>
      <c r="BR255" s="314"/>
      <c r="BS255" s="262"/>
      <c r="BT255" s="262"/>
    </row>
    <row r="256" spans="1:72" ht="45.75" customHeight="1">
      <c r="A256" s="342"/>
      <c r="B256" s="342"/>
      <c r="C256" s="342"/>
      <c r="D256" s="343"/>
      <c r="E256" s="342"/>
      <c r="F256" s="342"/>
      <c r="G256" s="344"/>
      <c r="H256" s="344"/>
      <c r="I256" s="344"/>
      <c r="J256" s="334"/>
      <c r="K256" s="335"/>
      <c r="L256" s="336"/>
      <c r="M256" s="336"/>
      <c r="N256" s="337"/>
      <c r="O256" s="337"/>
      <c r="P256" s="315"/>
      <c r="Q256" s="314"/>
      <c r="R256" s="317"/>
      <c r="S256" s="315"/>
      <c r="T256" s="315"/>
      <c r="U256" s="315"/>
      <c r="V256" s="258"/>
      <c r="W256" s="322"/>
      <c r="X256" s="318"/>
      <c r="Y256" s="315"/>
      <c r="Z256" s="318"/>
      <c r="AA256" s="314"/>
      <c r="AB256" s="336"/>
      <c r="AC256" s="314"/>
      <c r="AD256" s="316"/>
      <c r="AE256" s="315"/>
      <c r="AF256" s="315"/>
      <c r="AG256" s="315"/>
      <c r="AH256" s="315"/>
      <c r="AI256" s="377"/>
      <c r="AJ256" s="407"/>
      <c r="AK256" s="377"/>
      <c r="AL256" s="314"/>
      <c r="AM256" s="314"/>
      <c r="AN256" s="314"/>
      <c r="AO256" s="315"/>
      <c r="AP256" s="257"/>
      <c r="AQ256" s="257"/>
      <c r="AR256" s="257"/>
      <c r="AS256" s="315"/>
      <c r="AT256" s="257"/>
      <c r="AU256" s="257"/>
      <c r="AV256" s="316"/>
      <c r="AW256" s="314"/>
      <c r="AX256" s="315"/>
      <c r="AY256" s="315"/>
      <c r="AZ256" s="315"/>
      <c r="BA256" s="315"/>
      <c r="BB256" s="315"/>
      <c r="BC256" s="315"/>
      <c r="BD256" s="319"/>
      <c r="BE256" s="319"/>
      <c r="BF256" s="319"/>
      <c r="BG256" s="319"/>
      <c r="BH256" s="319"/>
      <c r="BI256" s="319"/>
      <c r="BJ256" s="319"/>
      <c r="BK256" s="315"/>
      <c r="BL256" s="316"/>
      <c r="BM256" s="314"/>
      <c r="BN256" s="319"/>
      <c r="BO256" s="315"/>
      <c r="BP256" s="314"/>
      <c r="BQ256" s="316"/>
      <c r="BR256" s="314"/>
      <c r="BS256" s="262"/>
      <c r="BT256" s="262"/>
    </row>
    <row r="257" spans="1:72" ht="45.75" customHeight="1">
      <c r="A257" s="342"/>
      <c r="B257" s="342"/>
      <c r="C257" s="342"/>
      <c r="D257" s="343"/>
      <c r="E257" s="342"/>
      <c r="F257" s="342"/>
      <c r="G257" s="344"/>
      <c r="H257" s="344"/>
      <c r="I257" s="344"/>
      <c r="J257" s="334"/>
      <c r="K257" s="335"/>
      <c r="L257" s="336"/>
      <c r="M257" s="336"/>
      <c r="N257" s="337"/>
      <c r="O257" s="337"/>
      <c r="P257" s="315"/>
      <c r="Q257" s="314"/>
      <c r="R257" s="317"/>
      <c r="S257" s="315"/>
      <c r="T257" s="315"/>
      <c r="U257" s="315"/>
      <c r="V257" s="258"/>
      <c r="W257" s="322"/>
      <c r="X257" s="318"/>
      <c r="Y257" s="315"/>
      <c r="Z257" s="318"/>
      <c r="AA257" s="314"/>
      <c r="AB257" s="336"/>
      <c r="AC257" s="314"/>
      <c r="AD257" s="316"/>
      <c r="AE257" s="315"/>
      <c r="AF257" s="315"/>
      <c r="AG257" s="315"/>
      <c r="AH257" s="315"/>
      <c r="AI257" s="377"/>
      <c r="AJ257" s="407"/>
      <c r="AK257" s="377"/>
      <c r="AL257" s="314"/>
      <c r="AM257" s="314"/>
      <c r="AN257" s="314"/>
      <c r="AO257" s="315"/>
      <c r="AP257" s="257"/>
      <c r="AQ257" s="257"/>
      <c r="AR257" s="257"/>
      <c r="AS257" s="315"/>
      <c r="AT257" s="257"/>
      <c r="AU257" s="257"/>
      <c r="AV257" s="316"/>
      <c r="AW257" s="314"/>
      <c r="AX257" s="315"/>
      <c r="AY257" s="315"/>
      <c r="AZ257" s="315"/>
      <c r="BA257" s="315"/>
      <c r="BB257" s="315"/>
      <c r="BC257" s="315"/>
      <c r="BD257" s="319"/>
      <c r="BE257" s="319"/>
      <c r="BF257" s="319"/>
      <c r="BG257" s="319"/>
      <c r="BH257" s="319"/>
      <c r="BI257" s="319"/>
      <c r="BJ257" s="319"/>
      <c r="BK257" s="315"/>
      <c r="BL257" s="316"/>
      <c r="BM257" s="314"/>
      <c r="BN257" s="319"/>
      <c r="BO257" s="315"/>
      <c r="BP257" s="314"/>
      <c r="BQ257" s="316"/>
      <c r="BR257" s="314"/>
      <c r="BS257" s="262"/>
      <c r="BT257" s="262"/>
    </row>
    <row r="258" spans="1:72" ht="45.75" customHeight="1">
      <c r="A258" s="342"/>
      <c r="B258" s="342"/>
      <c r="C258" s="342"/>
      <c r="D258" s="343"/>
      <c r="E258" s="342"/>
      <c r="F258" s="342"/>
      <c r="G258" s="344"/>
      <c r="H258" s="344"/>
      <c r="I258" s="344"/>
      <c r="J258" s="334"/>
      <c r="K258" s="335"/>
      <c r="L258" s="336"/>
      <c r="M258" s="336"/>
      <c r="N258" s="337"/>
      <c r="O258" s="337"/>
      <c r="P258" s="315"/>
      <c r="Q258" s="314"/>
      <c r="R258" s="317"/>
      <c r="S258" s="315"/>
      <c r="T258" s="315"/>
      <c r="U258" s="315"/>
      <c r="V258" s="258"/>
      <c r="W258" s="322"/>
      <c r="X258" s="318"/>
      <c r="Y258" s="315"/>
      <c r="Z258" s="318"/>
      <c r="AA258" s="314"/>
      <c r="AB258" s="336"/>
      <c r="AC258" s="314"/>
      <c r="AD258" s="316"/>
      <c r="AE258" s="315"/>
      <c r="AF258" s="315"/>
      <c r="AG258" s="315"/>
      <c r="AH258" s="315"/>
      <c r="AI258" s="377"/>
      <c r="AJ258" s="407"/>
      <c r="AK258" s="377"/>
      <c r="AL258" s="314"/>
      <c r="AM258" s="314"/>
      <c r="AN258" s="314"/>
      <c r="AO258" s="315"/>
      <c r="AP258" s="257"/>
      <c r="AQ258" s="257"/>
      <c r="AR258" s="257"/>
      <c r="AS258" s="315"/>
      <c r="AT258" s="257"/>
      <c r="AU258" s="257"/>
      <c r="AV258" s="316"/>
      <c r="AW258" s="314"/>
      <c r="AX258" s="315"/>
      <c r="AY258" s="315"/>
      <c r="AZ258" s="315"/>
      <c r="BA258" s="315"/>
      <c r="BB258" s="315"/>
      <c r="BC258" s="315"/>
      <c r="BD258" s="319"/>
      <c r="BE258" s="319"/>
      <c r="BF258" s="319"/>
      <c r="BG258" s="319"/>
      <c r="BH258" s="319"/>
      <c r="BI258" s="319"/>
      <c r="BJ258" s="319"/>
      <c r="BK258" s="315"/>
      <c r="BL258" s="316"/>
      <c r="BM258" s="314"/>
      <c r="BN258" s="319"/>
      <c r="BO258" s="315"/>
      <c r="BP258" s="314"/>
      <c r="BQ258" s="316"/>
      <c r="BR258" s="314"/>
      <c r="BS258" s="262"/>
      <c r="BT258" s="262"/>
    </row>
    <row r="259" spans="1:72" ht="45.75" customHeight="1">
      <c r="A259" s="342"/>
      <c r="B259" s="342"/>
      <c r="C259" s="342"/>
      <c r="D259" s="343"/>
      <c r="E259" s="342"/>
      <c r="F259" s="342"/>
      <c r="G259" s="344"/>
      <c r="H259" s="344"/>
      <c r="I259" s="344"/>
      <c r="J259" s="334"/>
      <c r="K259" s="335"/>
      <c r="L259" s="336"/>
      <c r="M259" s="336"/>
      <c r="N259" s="337"/>
      <c r="O259" s="337"/>
      <c r="P259" s="315"/>
      <c r="Q259" s="314"/>
      <c r="R259" s="317"/>
      <c r="S259" s="315"/>
      <c r="T259" s="315"/>
      <c r="U259" s="315"/>
      <c r="V259" s="258"/>
      <c r="W259" s="322"/>
      <c r="X259" s="318"/>
      <c r="Y259" s="315"/>
      <c r="Z259" s="318"/>
      <c r="AA259" s="314"/>
      <c r="AB259" s="336"/>
      <c r="AC259" s="314"/>
      <c r="AD259" s="316"/>
      <c r="AE259" s="315"/>
      <c r="AF259" s="315"/>
      <c r="AG259" s="315"/>
      <c r="AH259" s="315"/>
      <c r="AI259" s="377"/>
      <c r="AJ259" s="407"/>
      <c r="AK259" s="377"/>
      <c r="AL259" s="314"/>
      <c r="AM259" s="314"/>
      <c r="AN259" s="314"/>
      <c r="AO259" s="315"/>
      <c r="AP259" s="257"/>
      <c r="AQ259" s="257"/>
      <c r="AR259" s="257"/>
      <c r="AS259" s="315"/>
      <c r="AT259" s="257"/>
      <c r="AU259" s="257"/>
      <c r="AV259" s="316"/>
      <c r="AW259" s="314"/>
      <c r="AX259" s="315"/>
      <c r="AY259" s="315"/>
      <c r="AZ259" s="315"/>
      <c r="BA259" s="315"/>
      <c r="BB259" s="315"/>
      <c r="BC259" s="315"/>
      <c r="BD259" s="319"/>
      <c r="BE259" s="319"/>
      <c r="BF259" s="319"/>
      <c r="BG259" s="319"/>
      <c r="BH259" s="319"/>
      <c r="BI259" s="319"/>
      <c r="BJ259" s="319"/>
      <c r="BK259" s="315"/>
      <c r="BL259" s="316"/>
      <c r="BM259" s="314"/>
      <c r="BN259" s="319"/>
      <c r="BO259" s="315"/>
      <c r="BP259" s="314"/>
      <c r="BQ259" s="316"/>
      <c r="BR259" s="314"/>
      <c r="BS259" s="262"/>
      <c r="BT259" s="262"/>
    </row>
    <row r="260" spans="1:72" ht="45.75" customHeight="1">
      <c r="A260" s="342"/>
      <c r="B260" s="342"/>
      <c r="C260" s="342"/>
      <c r="D260" s="343"/>
      <c r="E260" s="342"/>
      <c r="F260" s="342"/>
      <c r="G260" s="344"/>
      <c r="H260" s="344"/>
      <c r="I260" s="344"/>
      <c r="J260" s="334"/>
      <c r="K260" s="335"/>
      <c r="L260" s="336"/>
      <c r="M260" s="336"/>
      <c r="N260" s="337"/>
      <c r="O260" s="337"/>
      <c r="P260" s="315"/>
      <c r="Q260" s="314"/>
      <c r="R260" s="317"/>
      <c r="S260" s="315"/>
      <c r="T260" s="315"/>
      <c r="U260" s="315"/>
      <c r="V260" s="258"/>
      <c r="W260" s="322"/>
      <c r="X260" s="318"/>
      <c r="Y260" s="315"/>
      <c r="Z260" s="318"/>
      <c r="AA260" s="314"/>
      <c r="AB260" s="336"/>
      <c r="AC260" s="314"/>
      <c r="AD260" s="316"/>
      <c r="AE260" s="315"/>
      <c r="AF260" s="315"/>
      <c r="AG260" s="315"/>
      <c r="AH260" s="315"/>
      <c r="AI260" s="377"/>
      <c r="AJ260" s="407"/>
      <c r="AK260" s="377"/>
      <c r="AL260" s="314"/>
      <c r="AM260" s="314"/>
      <c r="AN260" s="314"/>
      <c r="AO260" s="315"/>
      <c r="AP260" s="257"/>
      <c r="AQ260" s="257"/>
      <c r="AR260" s="257"/>
      <c r="AS260" s="315"/>
      <c r="AT260" s="257"/>
      <c r="AU260" s="257"/>
      <c r="AV260" s="316"/>
      <c r="AW260" s="314"/>
      <c r="AX260" s="315"/>
      <c r="AY260" s="315"/>
      <c r="AZ260" s="315"/>
      <c r="BA260" s="315"/>
      <c r="BB260" s="315"/>
      <c r="BC260" s="315"/>
      <c r="BD260" s="319"/>
      <c r="BE260" s="319"/>
      <c r="BF260" s="319"/>
      <c r="BG260" s="319"/>
      <c r="BH260" s="319"/>
      <c r="BI260" s="319"/>
      <c r="BJ260" s="319"/>
      <c r="BK260" s="315"/>
      <c r="BL260" s="316"/>
      <c r="BM260" s="314"/>
      <c r="BN260" s="319"/>
      <c r="BO260" s="315"/>
      <c r="BP260" s="314"/>
      <c r="BQ260" s="316"/>
      <c r="BR260" s="314"/>
      <c r="BS260" s="262"/>
      <c r="BT260" s="262"/>
    </row>
    <row r="261" spans="1:72" ht="45.75" customHeight="1">
      <c r="A261" s="342"/>
      <c r="B261" s="342"/>
      <c r="C261" s="342"/>
      <c r="D261" s="343"/>
      <c r="E261" s="342"/>
      <c r="F261" s="342"/>
      <c r="G261" s="344"/>
      <c r="H261" s="344"/>
      <c r="I261" s="344"/>
      <c r="J261" s="334"/>
      <c r="K261" s="335"/>
      <c r="L261" s="336"/>
      <c r="M261" s="336"/>
      <c r="N261" s="337"/>
      <c r="O261" s="337"/>
      <c r="P261" s="315"/>
      <c r="Q261" s="314"/>
      <c r="R261" s="317"/>
      <c r="S261" s="315"/>
      <c r="T261" s="315"/>
      <c r="U261" s="315"/>
      <c r="V261" s="258"/>
      <c r="W261" s="322"/>
      <c r="X261" s="318"/>
      <c r="Y261" s="315"/>
      <c r="Z261" s="318"/>
      <c r="AA261" s="314"/>
      <c r="AB261" s="336"/>
      <c r="AC261" s="314"/>
      <c r="AD261" s="316"/>
      <c r="AE261" s="315"/>
      <c r="AF261" s="315"/>
      <c r="AG261" s="315"/>
      <c r="AH261" s="315"/>
      <c r="AI261" s="377"/>
      <c r="AJ261" s="407"/>
      <c r="AK261" s="377"/>
      <c r="AL261" s="314"/>
      <c r="AM261" s="314"/>
      <c r="AN261" s="314"/>
      <c r="AO261" s="315"/>
      <c r="AP261" s="257"/>
      <c r="AQ261" s="257"/>
      <c r="AR261" s="257"/>
      <c r="AS261" s="315"/>
      <c r="AT261" s="257"/>
      <c r="AU261" s="257"/>
      <c r="AV261" s="316"/>
      <c r="AW261" s="314"/>
      <c r="AX261" s="315"/>
      <c r="AY261" s="315"/>
      <c r="AZ261" s="315"/>
      <c r="BA261" s="315"/>
      <c r="BB261" s="315"/>
      <c r="BC261" s="315"/>
      <c r="BD261" s="319"/>
      <c r="BE261" s="319"/>
      <c r="BF261" s="319"/>
      <c r="BG261" s="319"/>
      <c r="BH261" s="319"/>
      <c r="BI261" s="319"/>
      <c r="BJ261" s="319"/>
      <c r="BK261" s="315"/>
      <c r="BL261" s="316"/>
      <c r="BM261" s="314"/>
      <c r="BN261" s="319"/>
      <c r="BO261" s="315"/>
      <c r="BP261" s="314"/>
      <c r="BQ261" s="316"/>
      <c r="BR261" s="314"/>
      <c r="BS261" s="262"/>
      <c r="BT261" s="262"/>
    </row>
    <row r="262" spans="1:72" ht="45.75" customHeight="1">
      <c r="A262" s="342"/>
      <c r="B262" s="342"/>
      <c r="C262" s="342"/>
      <c r="D262" s="343"/>
      <c r="E262" s="342"/>
      <c r="F262" s="342"/>
      <c r="G262" s="344"/>
      <c r="H262" s="344"/>
      <c r="I262" s="344"/>
      <c r="J262" s="334"/>
      <c r="K262" s="335"/>
      <c r="L262" s="336"/>
      <c r="M262" s="336"/>
      <c r="N262" s="337"/>
      <c r="O262" s="337"/>
      <c r="P262" s="315"/>
      <c r="Q262" s="314"/>
      <c r="R262" s="317"/>
      <c r="S262" s="315"/>
      <c r="T262" s="315"/>
      <c r="U262" s="315"/>
      <c r="V262" s="258"/>
      <c r="W262" s="322"/>
      <c r="X262" s="318"/>
      <c r="Y262" s="315"/>
      <c r="Z262" s="318"/>
      <c r="AA262" s="314"/>
      <c r="AB262" s="336"/>
      <c r="AC262" s="314"/>
      <c r="AD262" s="316"/>
      <c r="AE262" s="315"/>
      <c r="AF262" s="315"/>
      <c r="AG262" s="315"/>
      <c r="AH262" s="315"/>
      <c r="AI262" s="377"/>
      <c r="AJ262" s="407"/>
      <c r="AK262" s="377"/>
      <c r="AL262" s="314"/>
      <c r="AM262" s="314"/>
      <c r="AN262" s="314"/>
      <c r="AO262" s="315"/>
      <c r="AP262" s="257"/>
      <c r="AQ262" s="257"/>
      <c r="AR262" s="257"/>
      <c r="AS262" s="315"/>
      <c r="AT262" s="257"/>
      <c r="AU262" s="257"/>
      <c r="AV262" s="316"/>
      <c r="AW262" s="314"/>
      <c r="AX262" s="315"/>
      <c r="AY262" s="315"/>
      <c r="AZ262" s="315"/>
      <c r="BA262" s="315"/>
      <c r="BB262" s="315"/>
      <c r="BC262" s="315"/>
      <c r="BD262" s="319"/>
      <c r="BE262" s="319"/>
      <c r="BF262" s="319"/>
      <c r="BG262" s="319"/>
      <c r="BH262" s="319"/>
      <c r="BI262" s="319"/>
      <c r="BJ262" s="319"/>
      <c r="BK262" s="315"/>
      <c r="BL262" s="316"/>
      <c r="BM262" s="314"/>
      <c r="BN262" s="319"/>
      <c r="BO262" s="315"/>
      <c r="BP262" s="314"/>
      <c r="BQ262" s="316"/>
      <c r="BR262" s="314"/>
      <c r="BS262" s="262"/>
      <c r="BT262" s="262"/>
    </row>
    <row r="263" spans="1:72" ht="45.75" customHeight="1">
      <c r="A263" s="342"/>
      <c r="B263" s="342"/>
      <c r="C263" s="342"/>
      <c r="D263" s="343"/>
      <c r="E263" s="342"/>
      <c r="F263" s="342"/>
      <c r="G263" s="344"/>
      <c r="H263" s="344"/>
      <c r="I263" s="344"/>
      <c r="J263" s="334"/>
      <c r="K263" s="335"/>
      <c r="L263" s="336"/>
      <c r="M263" s="336"/>
      <c r="N263" s="337"/>
      <c r="O263" s="337"/>
      <c r="P263" s="315"/>
      <c r="Q263" s="314"/>
      <c r="R263" s="317"/>
      <c r="S263" s="315"/>
      <c r="T263" s="315"/>
      <c r="U263" s="315"/>
      <c r="V263" s="258"/>
      <c r="W263" s="322"/>
      <c r="X263" s="318"/>
      <c r="Y263" s="315"/>
      <c r="Z263" s="318"/>
      <c r="AA263" s="314"/>
      <c r="AB263" s="336"/>
      <c r="AC263" s="314"/>
      <c r="AD263" s="316"/>
      <c r="AE263" s="315"/>
      <c r="AF263" s="315"/>
      <c r="AG263" s="315"/>
      <c r="AH263" s="315"/>
      <c r="AI263" s="377"/>
      <c r="AJ263" s="407"/>
      <c r="AK263" s="377"/>
      <c r="AL263" s="314"/>
      <c r="AM263" s="314"/>
      <c r="AN263" s="314"/>
      <c r="AO263" s="315"/>
      <c r="AP263" s="257"/>
      <c r="AQ263" s="257"/>
      <c r="AR263" s="257"/>
      <c r="AS263" s="315"/>
      <c r="AT263" s="257"/>
      <c r="AU263" s="257"/>
      <c r="AV263" s="316"/>
      <c r="AW263" s="314"/>
      <c r="AX263" s="315"/>
      <c r="AY263" s="315"/>
      <c r="AZ263" s="315"/>
      <c r="BA263" s="315"/>
      <c r="BB263" s="315"/>
      <c r="BC263" s="315"/>
      <c r="BD263" s="319"/>
      <c r="BE263" s="319"/>
      <c r="BF263" s="319"/>
      <c r="BG263" s="319"/>
      <c r="BH263" s="319"/>
      <c r="BI263" s="319"/>
      <c r="BJ263" s="319"/>
      <c r="BK263" s="315"/>
      <c r="BL263" s="316"/>
      <c r="BM263" s="314"/>
      <c r="BN263" s="319"/>
      <c r="BO263" s="315"/>
      <c r="BP263" s="314"/>
      <c r="BQ263" s="316"/>
      <c r="BR263" s="314"/>
      <c r="BS263" s="262"/>
      <c r="BT263" s="262"/>
    </row>
    <row r="264" spans="1:72" ht="45.75" customHeight="1">
      <c r="A264" s="342"/>
      <c r="B264" s="342"/>
      <c r="C264" s="342"/>
      <c r="D264" s="343"/>
      <c r="E264" s="342"/>
      <c r="F264" s="342"/>
      <c r="G264" s="344"/>
      <c r="H264" s="344"/>
      <c r="I264" s="344"/>
      <c r="J264" s="334"/>
      <c r="K264" s="335"/>
      <c r="L264" s="336"/>
      <c r="M264" s="336"/>
      <c r="N264" s="337"/>
      <c r="O264" s="337"/>
      <c r="P264" s="315"/>
      <c r="Q264" s="314"/>
      <c r="R264" s="317"/>
      <c r="S264" s="315"/>
      <c r="T264" s="315"/>
      <c r="U264" s="315"/>
      <c r="V264" s="258"/>
      <c r="W264" s="322"/>
      <c r="X264" s="318"/>
      <c r="Y264" s="315"/>
      <c r="Z264" s="318"/>
      <c r="AA264" s="314"/>
      <c r="AB264" s="336"/>
      <c r="AC264" s="314"/>
      <c r="AD264" s="316"/>
      <c r="AE264" s="315"/>
      <c r="AF264" s="315"/>
      <c r="AG264" s="315"/>
      <c r="AH264" s="315"/>
      <c r="AI264" s="377"/>
      <c r="AJ264" s="407"/>
      <c r="AK264" s="377"/>
      <c r="AL264" s="314"/>
      <c r="AM264" s="314"/>
      <c r="AN264" s="314"/>
      <c r="AO264" s="315"/>
      <c r="AP264" s="257"/>
      <c r="AQ264" s="257"/>
      <c r="AR264" s="257"/>
      <c r="AS264" s="315"/>
      <c r="AT264" s="257"/>
      <c r="AU264" s="257"/>
      <c r="AV264" s="316"/>
      <c r="AW264" s="314"/>
      <c r="AX264" s="315"/>
      <c r="AY264" s="315"/>
      <c r="AZ264" s="315"/>
      <c r="BA264" s="315"/>
      <c r="BB264" s="315"/>
      <c r="BC264" s="315"/>
      <c r="BD264" s="319"/>
      <c r="BE264" s="319"/>
      <c r="BF264" s="319"/>
      <c r="BG264" s="319"/>
      <c r="BH264" s="319"/>
      <c r="BI264" s="319"/>
      <c r="BJ264" s="319"/>
      <c r="BK264" s="315"/>
      <c r="BL264" s="316"/>
      <c r="BM264" s="314"/>
      <c r="BN264" s="319"/>
      <c r="BO264" s="315"/>
      <c r="BP264" s="314"/>
      <c r="BQ264" s="316"/>
      <c r="BR264" s="314"/>
      <c r="BS264" s="262"/>
      <c r="BT264" s="262"/>
    </row>
    <row r="265" spans="1:72" ht="45.75" customHeight="1">
      <c r="A265" s="342"/>
      <c r="B265" s="342"/>
      <c r="C265" s="342"/>
      <c r="D265" s="343"/>
      <c r="E265" s="342"/>
      <c r="F265" s="342"/>
      <c r="G265" s="344"/>
      <c r="H265" s="344"/>
      <c r="I265" s="344"/>
      <c r="J265" s="334"/>
      <c r="K265" s="335"/>
      <c r="L265" s="336"/>
      <c r="M265" s="336"/>
      <c r="N265" s="337"/>
      <c r="O265" s="337"/>
      <c r="P265" s="315"/>
      <c r="Q265" s="314"/>
      <c r="R265" s="317"/>
      <c r="S265" s="315"/>
      <c r="T265" s="315"/>
      <c r="U265" s="315"/>
      <c r="V265" s="258"/>
      <c r="W265" s="322"/>
      <c r="X265" s="318"/>
      <c r="Y265" s="315"/>
      <c r="Z265" s="318"/>
      <c r="AA265" s="314"/>
      <c r="AB265" s="336"/>
      <c r="AC265" s="314"/>
      <c r="AD265" s="316"/>
      <c r="AE265" s="315"/>
      <c r="AF265" s="315"/>
      <c r="AG265" s="315"/>
      <c r="AH265" s="315"/>
      <c r="AI265" s="377"/>
      <c r="AJ265" s="407"/>
      <c r="AK265" s="377"/>
      <c r="AL265" s="314"/>
      <c r="AM265" s="314"/>
      <c r="AN265" s="314"/>
      <c r="AO265" s="315"/>
      <c r="AP265" s="257"/>
      <c r="AQ265" s="257"/>
      <c r="AR265" s="257"/>
      <c r="AS265" s="315"/>
      <c r="AT265" s="257"/>
      <c r="AU265" s="257"/>
      <c r="AV265" s="316"/>
      <c r="AW265" s="314"/>
      <c r="AX265" s="315"/>
      <c r="AY265" s="315"/>
      <c r="AZ265" s="315"/>
      <c r="BA265" s="315"/>
      <c r="BB265" s="315"/>
      <c r="BC265" s="315"/>
      <c r="BD265" s="319"/>
      <c r="BE265" s="319"/>
      <c r="BF265" s="319"/>
      <c r="BG265" s="319"/>
      <c r="BH265" s="319"/>
      <c r="BI265" s="319"/>
      <c r="BJ265" s="319"/>
      <c r="BK265" s="315"/>
      <c r="BL265" s="316"/>
      <c r="BM265" s="314"/>
      <c r="BN265" s="319"/>
      <c r="BO265" s="315"/>
      <c r="BP265" s="314"/>
      <c r="BQ265" s="316"/>
      <c r="BR265" s="314"/>
      <c r="BS265" s="262"/>
      <c r="BT265" s="262"/>
    </row>
    <row r="266" spans="1:72" ht="45.75" customHeight="1">
      <c r="A266" s="342"/>
      <c r="B266" s="342"/>
      <c r="C266" s="342"/>
      <c r="D266" s="343"/>
      <c r="E266" s="342"/>
      <c r="F266" s="342"/>
      <c r="G266" s="344"/>
      <c r="H266" s="344"/>
      <c r="I266" s="344"/>
      <c r="J266" s="334"/>
      <c r="K266" s="335"/>
      <c r="L266" s="336"/>
      <c r="M266" s="336"/>
      <c r="N266" s="337"/>
      <c r="O266" s="337"/>
      <c r="P266" s="315"/>
      <c r="Q266" s="314"/>
      <c r="R266" s="317"/>
      <c r="S266" s="315"/>
      <c r="T266" s="315"/>
      <c r="U266" s="315"/>
      <c r="V266" s="258"/>
      <c r="W266" s="322"/>
      <c r="X266" s="318"/>
      <c r="Y266" s="315"/>
      <c r="Z266" s="318"/>
      <c r="AA266" s="314"/>
      <c r="AB266" s="336"/>
      <c r="AC266" s="314"/>
      <c r="AD266" s="316"/>
      <c r="AE266" s="315"/>
      <c r="AF266" s="315"/>
      <c r="AG266" s="315"/>
      <c r="AH266" s="315"/>
      <c r="AI266" s="377"/>
      <c r="AJ266" s="407"/>
      <c r="AK266" s="377"/>
      <c r="AL266" s="314"/>
      <c r="AM266" s="314"/>
      <c r="AN266" s="314"/>
      <c r="AO266" s="315"/>
      <c r="AP266" s="257"/>
      <c r="AQ266" s="257"/>
      <c r="AR266" s="257"/>
      <c r="AS266" s="315"/>
      <c r="AT266" s="257"/>
      <c r="AU266" s="257"/>
      <c r="AV266" s="316"/>
      <c r="AW266" s="314"/>
      <c r="AX266" s="315"/>
      <c r="AY266" s="315"/>
      <c r="AZ266" s="315"/>
      <c r="BA266" s="315"/>
      <c r="BB266" s="315"/>
      <c r="BC266" s="315"/>
      <c r="BD266" s="319"/>
      <c r="BE266" s="319"/>
      <c r="BF266" s="319"/>
      <c r="BG266" s="319"/>
      <c r="BH266" s="319"/>
      <c r="BI266" s="319"/>
      <c r="BJ266" s="319"/>
      <c r="BK266" s="315"/>
      <c r="BL266" s="316"/>
      <c r="BM266" s="314"/>
      <c r="BN266" s="319"/>
      <c r="BO266" s="315"/>
      <c r="BP266" s="314"/>
      <c r="BQ266" s="316"/>
      <c r="BR266" s="314"/>
      <c r="BS266" s="262"/>
      <c r="BT266" s="262"/>
    </row>
    <row r="267" spans="1:72" ht="45.75" customHeight="1">
      <c r="A267" s="342"/>
      <c r="B267" s="342"/>
      <c r="C267" s="342"/>
      <c r="D267" s="343"/>
      <c r="E267" s="342"/>
      <c r="F267" s="342"/>
      <c r="G267" s="344"/>
      <c r="H267" s="344"/>
      <c r="I267" s="344"/>
      <c r="J267" s="334"/>
      <c r="K267" s="335"/>
      <c r="L267" s="336"/>
      <c r="M267" s="336"/>
      <c r="N267" s="337"/>
      <c r="O267" s="337"/>
      <c r="P267" s="315"/>
      <c r="Q267" s="314"/>
      <c r="R267" s="317"/>
      <c r="S267" s="315"/>
      <c r="T267" s="315"/>
      <c r="U267" s="315"/>
      <c r="V267" s="258"/>
      <c r="W267" s="322"/>
      <c r="X267" s="318"/>
      <c r="Y267" s="315"/>
      <c r="Z267" s="318"/>
      <c r="AA267" s="314"/>
      <c r="AB267" s="336"/>
      <c r="AC267" s="314"/>
      <c r="AD267" s="316"/>
      <c r="AE267" s="315"/>
      <c r="AF267" s="315"/>
      <c r="AG267" s="315"/>
      <c r="AH267" s="315"/>
      <c r="AI267" s="377"/>
      <c r="AJ267" s="407"/>
      <c r="AK267" s="377"/>
      <c r="AL267" s="314"/>
      <c r="AM267" s="314"/>
      <c r="AN267" s="314"/>
      <c r="AO267" s="315"/>
      <c r="AP267" s="257"/>
      <c r="AQ267" s="257"/>
      <c r="AR267" s="257"/>
      <c r="AS267" s="315"/>
      <c r="AT267" s="257"/>
      <c r="AU267" s="257"/>
      <c r="AV267" s="316"/>
      <c r="AW267" s="314"/>
      <c r="AX267" s="315"/>
      <c r="AY267" s="315"/>
      <c r="AZ267" s="315"/>
      <c r="BA267" s="315"/>
      <c r="BB267" s="315"/>
      <c r="BC267" s="315"/>
      <c r="BD267" s="319"/>
      <c r="BE267" s="319"/>
      <c r="BF267" s="319"/>
      <c r="BG267" s="319"/>
      <c r="BH267" s="319"/>
      <c r="BI267" s="319"/>
      <c r="BJ267" s="319"/>
      <c r="BK267" s="315"/>
      <c r="BL267" s="316"/>
      <c r="BM267" s="314"/>
      <c r="BN267" s="319"/>
      <c r="BO267" s="315"/>
      <c r="BP267" s="314"/>
      <c r="BQ267" s="316"/>
      <c r="BR267" s="314"/>
      <c r="BS267" s="262"/>
      <c r="BT267" s="262"/>
    </row>
    <row r="268" spans="1:72" ht="45.75" customHeight="1">
      <c r="A268" s="342"/>
      <c r="B268" s="342"/>
      <c r="C268" s="342"/>
      <c r="D268" s="343"/>
      <c r="E268" s="342"/>
      <c r="F268" s="342"/>
      <c r="G268" s="344"/>
      <c r="H268" s="344"/>
      <c r="I268" s="344"/>
      <c r="J268" s="334"/>
      <c r="K268" s="335"/>
      <c r="L268" s="336"/>
      <c r="M268" s="336"/>
      <c r="N268" s="337"/>
      <c r="O268" s="337"/>
      <c r="P268" s="315"/>
      <c r="Q268" s="314"/>
      <c r="R268" s="317"/>
      <c r="S268" s="315"/>
      <c r="T268" s="315"/>
      <c r="U268" s="315"/>
      <c r="V268" s="258"/>
      <c r="W268" s="322"/>
      <c r="X268" s="318"/>
      <c r="Y268" s="315"/>
      <c r="Z268" s="318"/>
      <c r="AA268" s="314"/>
      <c r="AB268" s="336"/>
      <c r="AC268" s="314"/>
      <c r="AD268" s="316"/>
      <c r="AE268" s="315"/>
      <c r="AF268" s="315"/>
      <c r="AG268" s="315"/>
      <c r="AH268" s="315"/>
      <c r="AI268" s="377"/>
      <c r="AJ268" s="407"/>
      <c r="AK268" s="377"/>
      <c r="AL268" s="314"/>
      <c r="AM268" s="314"/>
      <c r="AN268" s="314"/>
      <c r="AO268" s="315"/>
      <c r="AP268" s="257"/>
      <c r="AQ268" s="257"/>
      <c r="AR268" s="257"/>
      <c r="AS268" s="315"/>
      <c r="AT268" s="257"/>
      <c r="AU268" s="257"/>
      <c r="AV268" s="316"/>
      <c r="AW268" s="314"/>
      <c r="AX268" s="315"/>
      <c r="AY268" s="315"/>
      <c r="AZ268" s="315"/>
      <c r="BA268" s="315"/>
      <c r="BB268" s="315"/>
      <c r="BC268" s="315"/>
      <c r="BD268" s="319"/>
      <c r="BE268" s="319"/>
      <c r="BF268" s="319"/>
      <c r="BG268" s="319"/>
      <c r="BH268" s="319"/>
      <c r="BI268" s="319"/>
      <c r="BJ268" s="319"/>
      <c r="BK268" s="315"/>
      <c r="BL268" s="316"/>
      <c r="BM268" s="314"/>
      <c r="BN268" s="319"/>
      <c r="BO268" s="315"/>
      <c r="BP268" s="314"/>
      <c r="BQ268" s="316"/>
      <c r="BR268" s="314"/>
      <c r="BS268" s="262"/>
      <c r="BT268" s="262"/>
    </row>
    <row r="269" spans="1:72" ht="45.75" customHeight="1">
      <c r="A269" s="342"/>
      <c r="B269" s="342"/>
      <c r="C269" s="342"/>
      <c r="D269" s="343"/>
      <c r="E269" s="342"/>
      <c r="F269" s="342"/>
      <c r="G269" s="344"/>
      <c r="H269" s="344"/>
      <c r="I269" s="344"/>
      <c r="J269" s="334"/>
      <c r="K269" s="335"/>
      <c r="L269" s="336"/>
      <c r="M269" s="336"/>
      <c r="N269" s="337"/>
      <c r="O269" s="337"/>
      <c r="P269" s="315"/>
      <c r="Q269" s="314"/>
      <c r="R269" s="317"/>
      <c r="S269" s="315"/>
      <c r="T269" s="315"/>
      <c r="U269" s="315"/>
      <c r="V269" s="258"/>
      <c r="W269" s="322"/>
      <c r="X269" s="318"/>
      <c r="Y269" s="315"/>
      <c r="Z269" s="318"/>
      <c r="AA269" s="314"/>
      <c r="AB269" s="336"/>
      <c r="AC269" s="314"/>
      <c r="AD269" s="316"/>
      <c r="AE269" s="315"/>
      <c r="AF269" s="315"/>
      <c r="AG269" s="315"/>
      <c r="AH269" s="315"/>
      <c r="AI269" s="377"/>
      <c r="AJ269" s="407"/>
      <c r="AK269" s="377"/>
      <c r="AL269" s="314"/>
      <c r="AM269" s="314"/>
      <c r="AN269" s="314"/>
      <c r="AO269" s="315"/>
      <c r="AP269" s="257"/>
      <c r="AQ269" s="257"/>
      <c r="AR269" s="257"/>
      <c r="AS269" s="315"/>
      <c r="AT269" s="257"/>
      <c r="AU269" s="257"/>
      <c r="AV269" s="316"/>
      <c r="AW269" s="314"/>
      <c r="AX269" s="315"/>
      <c r="AY269" s="315"/>
      <c r="AZ269" s="315"/>
      <c r="BA269" s="315"/>
      <c r="BB269" s="315"/>
      <c r="BC269" s="315"/>
      <c r="BD269" s="319"/>
      <c r="BE269" s="319"/>
      <c r="BF269" s="319"/>
      <c r="BG269" s="319"/>
      <c r="BH269" s="319"/>
      <c r="BI269" s="319"/>
      <c r="BJ269" s="319"/>
      <c r="BK269" s="315"/>
      <c r="BL269" s="316"/>
      <c r="BM269" s="314"/>
      <c r="BN269" s="319"/>
      <c r="BO269" s="315"/>
      <c r="BP269" s="314"/>
      <c r="BQ269" s="316"/>
      <c r="BR269" s="314"/>
      <c r="BS269" s="262"/>
      <c r="BT269" s="262"/>
    </row>
    <row r="270" spans="1:72" ht="45.75" customHeight="1">
      <c r="A270" s="342"/>
      <c r="B270" s="342"/>
      <c r="C270" s="342"/>
      <c r="D270" s="343"/>
      <c r="E270" s="342"/>
      <c r="F270" s="342"/>
      <c r="G270" s="344"/>
      <c r="H270" s="344"/>
      <c r="I270" s="344"/>
      <c r="J270" s="334"/>
      <c r="K270" s="335"/>
      <c r="L270" s="336"/>
      <c r="M270" s="336"/>
      <c r="N270" s="337"/>
      <c r="O270" s="337"/>
      <c r="P270" s="315"/>
      <c r="Q270" s="314"/>
      <c r="R270" s="317"/>
      <c r="S270" s="315"/>
      <c r="T270" s="315"/>
      <c r="U270" s="315"/>
      <c r="V270" s="258"/>
      <c r="W270" s="322"/>
      <c r="X270" s="318"/>
      <c r="Y270" s="315"/>
      <c r="Z270" s="318"/>
      <c r="AA270" s="314"/>
      <c r="AB270" s="336"/>
      <c r="AC270" s="314"/>
      <c r="AD270" s="316"/>
      <c r="AE270" s="315"/>
      <c r="AF270" s="315"/>
      <c r="AG270" s="315"/>
      <c r="AH270" s="315"/>
      <c r="AI270" s="377"/>
      <c r="AJ270" s="407"/>
      <c r="AK270" s="377"/>
      <c r="AL270" s="314"/>
      <c r="AM270" s="314"/>
      <c r="AN270" s="314"/>
      <c r="AO270" s="315"/>
      <c r="AP270" s="257"/>
      <c r="AQ270" s="257"/>
      <c r="AR270" s="257"/>
      <c r="AS270" s="315"/>
      <c r="AT270" s="257"/>
      <c r="AU270" s="257"/>
      <c r="AV270" s="316"/>
      <c r="AW270" s="314"/>
      <c r="AX270" s="315"/>
      <c r="AY270" s="315"/>
      <c r="AZ270" s="315"/>
      <c r="BA270" s="315"/>
      <c r="BB270" s="315"/>
      <c r="BC270" s="315"/>
      <c r="BD270" s="319"/>
      <c r="BE270" s="319"/>
      <c r="BF270" s="319"/>
      <c r="BG270" s="319"/>
      <c r="BH270" s="319"/>
      <c r="BI270" s="319"/>
      <c r="BJ270" s="319"/>
      <c r="BK270" s="315"/>
      <c r="BL270" s="316"/>
      <c r="BM270" s="314"/>
      <c r="BN270" s="319"/>
      <c r="BO270" s="315"/>
      <c r="BP270" s="314"/>
      <c r="BQ270" s="316"/>
      <c r="BR270" s="314"/>
      <c r="BS270" s="262"/>
      <c r="BT270" s="262"/>
    </row>
    <row r="271" spans="1:72" ht="45.75" customHeight="1">
      <c r="A271" s="342"/>
      <c r="B271" s="342"/>
      <c r="C271" s="342"/>
      <c r="D271" s="343"/>
      <c r="E271" s="342"/>
      <c r="F271" s="342"/>
      <c r="G271" s="344"/>
      <c r="H271" s="344"/>
      <c r="I271" s="344"/>
      <c r="J271" s="334"/>
      <c r="K271" s="335"/>
      <c r="L271" s="336"/>
      <c r="M271" s="336"/>
      <c r="N271" s="337"/>
      <c r="O271" s="337"/>
      <c r="P271" s="315"/>
      <c r="Q271" s="314"/>
      <c r="R271" s="317"/>
      <c r="S271" s="315"/>
      <c r="T271" s="315"/>
      <c r="U271" s="315"/>
      <c r="V271" s="258"/>
      <c r="W271" s="322"/>
      <c r="X271" s="318"/>
      <c r="Y271" s="315"/>
      <c r="Z271" s="318"/>
      <c r="AA271" s="314"/>
      <c r="AB271" s="336"/>
      <c r="AC271" s="314"/>
      <c r="AD271" s="316"/>
      <c r="AE271" s="315"/>
      <c r="AF271" s="315"/>
      <c r="AG271" s="315"/>
      <c r="AH271" s="315"/>
      <c r="AI271" s="377"/>
      <c r="AJ271" s="407"/>
      <c r="AK271" s="377"/>
      <c r="AL271" s="314"/>
      <c r="AM271" s="314"/>
      <c r="AN271" s="314"/>
      <c r="AO271" s="315"/>
      <c r="AP271" s="257"/>
      <c r="AQ271" s="257"/>
      <c r="AR271" s="257"/>
      <c r="AS271" s="315"/>
      <c r="AT271" s="257"/>
      <c r="AU271" s="257"/>
      <c r="AV271" s="316"/>
      <c r="AW271" s="314"/>
      <c r="AX271" s="315"/>
      <c r="AY271" s="315"/>
      <c r="AZ271" s="315"/>
      <c r="BA271" s="315"/>
      <c r="BB271" s="315"/>
      <c r="BC271" s="315"/>
      <c r="BD271" s="319"/>
      <c r="BE271" s="319"/>
      <c r="BF271" s="319"/>
      <c r="BG271" s="319"/>
      <c r="BH271" s="319"/>
      <c r="BI271" s="319"/>
      <c r="BJ271" s="319"/>
      <c r="BK271" s="315"/>
      <c r="BL271" s="316"/>
      <c r="BM271" s="314"/>
      <c r="BN271" s="319"/>
      <c r="BO271" s="315"/>
      <c r="BP271" s="314"/>
      <c r="BQ271" s="316"/>
      <c r="BR271" s="314"/>
      <c r="BS271" s="262"/>
      <c r="BT271" s="262"/>
    </row>
    <row r="272" spans="1:72" ht="45.75" customHeight="1">
      <c r="A272" s="342"/>
      <c r="B272" s="342"/>
      <c r="C272" s="342"/>
      <c r="D272" s="343"/>
      <c r="E272" s="342"/>
      <c r="F272" s="342"/>
      <c r="G272" s="344"/>
      <c r="H272" s="344"/>
      <c r="I272" s="344"/>
      <c r="J272" s="334"/>
      <c r="K272" s="335"/>
      <c r="L272" s="336"/>
      <c r="M272" s="336"/>
      <c r="N272" s="337"/>
      <c r="O272" s="337"/>
      <c r="P272" s="315"/>
      <c r="Q272" s="314"/>
      <c r="R272" s="317"/>
      <c r="S272" s="315"/>
      <c r="T272" s="315"/>
      <c r="U272" s="315"/>
      <c r="V272" s="258"/>
      <c r="W272" s="322"/>
      <c r="X272" s="318"/>
      <c r="Y272" s="315"/>
      <c r="Z272" s="318"/>
      <c r="AA272" s="314"/>
      <c r="AB272" s="336"/>
      <c r="AC272" s="314"/>
      <c r="AD272" s="316"/>
      <c r="AE272" s="315"/>
      <c r="AF272" s="315"/>
      <c r="AG272" s="315"/>
      <c r="AH272" s="315"/>
      <c r="AI272" s="377"/>
      <c r="AJ272" s="407"/>
      <c r="AK272" s="377"/>
      <c r="AL272" s="314"/>
      <c r="AM272" s="314"/>
      <c r="AN272" s="314"/>
      <c r="AO272" s="315"/>
      <c r="AP272" s="257"/>
      <c r="AQ272" s="257"/>
      <c r="AR272" s="257"/>
      <c r="AS272" s="315"/>
      <c r="AT272" s="257"/>
      <c r="AU272" s="257"/>
      <c r="AV272" s="316"/>
      <c r="AW272" s="314"/>
      <c r="AX272" s="315"/>
      <c r="AY272" s="315"/>
      <c r="AZ272" s="315"/>
      <c r="BA272" s="315"/>
      <c r="BB272" s="315"/>
      <c r="BC272" s="315"/>
      <c r="BD272" s="319"/>
      <c r="BE272" s="319"/>
      <c r="BF272" s="319"/>
      <c r="BG272" s="319"/>
      <c r="BH272" s="319"/>
      <c r="BI272" s="319"/>
      <c r="BJ272" s="319"/>
      <c r="BK272" s="315"/>
      <c r="BL272" s="316"/>
      <c r="BM272" s="314"/>
      <c r="BN272" s="319"/>
      <c r="BO272" s="315"/>
      <c r="BP272" s="314"/>
      <c r="BQ272" s="316"/>
      <c r="BR272" s="314"/>
      <c r="BS272" s="262"/>
      <c r="BT272" s="262"/>
    </row>
    <row r="273" spans="1:72" ht="45.75" customHeight="1">
      <c r="A273" s="342"/>
      <c r="B273" s="342"/>
      <c r="C273" s="342"/>
      <c r="D273" s="343"/>
      <c r="E273" s="342"/>
      <c r="F273" s="342"/>
      <c r="G273" s="344"/>
      <c r="H273" s="344"/>
      <c r="I273" s="344"/>
      <c r="J273" s="334"/>
      <c r="K273" s="335"/>
      <c r="L273" s="336"/>
      <c r="M273" s="336"/>
      <c r="N273" s="337"/>
      <c r="O273" s="337"/>
      <c r="P273" s="315"/>
      <c r="Q273" s="314"/>
      <c r="R273" s="317"/>
      <c r="S273" s="315"/>
      <c r="T273" s="315"/>
      <c r="U273" s="315"/>
      <c r="V273" s="258"/>
      <c r="W273" s="322"/>
      <c r="X273" s="318"/>
      <c r="Y273" s="315"/>
      <c r="Z273" s="318"/>
      <c r="AA273" s="314"/>
      <c r="AB273" s="336"/>
      <c r="AC273" s="314"/>
      <c r="AD273" s="316"/>
      <c r="AE273" s="315"/>
      <c r="AF273" s="315"/>
      <c r="AG273" s="315"/>
      <c r="AH273" s="315"/>
      <c r="AI273" s="377"/>
      <c r="AJ273" s="407"/>
      <c r="AK273" s="377"/>
      <c r="AL273" s="314"/>
      <c r="AM273" s="314"/>
      <c r="AN273" s="314"/>
      <c r="AO273" s="315"/>
      <c r="AP273" s="257"/>
      <c r="AQ273" s="257"/>
      <c r="AR273" s="257"/>
      <c r="AS273" s="315"/>
      <c r="AT273" s="257"/>
      <c r="AU273" s="257"/>
      <c r="AV273" s="316"/>
      <c r="AW273" s="314"/>
      <c r="AX273" s="315"/>
      <c r="AY273" s="315"/>
      <c r="AZ273" s="315"/>
      <c r="BA273" s="315"/>
      <c r="BB273" s="315"/>
      <c r="BC273" s="315"/>
      <c r="BD273" s="319"/>
      <c r="BE273" s="319"/>
      <c r="BF273" s="319"/>
      <c r="BG273" s="319"/>
      <c r="BH273" s="319"/>
      <c r="BI273" s="319"/>
      <c r="BJ273" s="319"/>
      <c r="BK273" s="315"/>
      <c r="BL273" s="316"/>
      <c r="BM273" s="314"/>
      <c r="BN273" s="319"/>
      <c r="BO273" s="315"/>
      <c r="BP273" s="314"/>
      <c r="BQ273" s="316"/>
      <c r="BR273" s="314"/>
      <c r="BS273" s="262"/>
      <c r="BT273" s="262"/>
    </row>
    <row r="274" spans="1:72" ht="45.75" customHeight="1">
      <c r="A274" s="342"/>
      <c r="B274" s="342"/>
      <c r="C274" s="342"/>
      <c r="D274" s="343"/>
      <c r="E274" s="342"/>
      <c r="F274" s="342"/>
      <c r="G274" s="344"/>
      <c r="H274" s="344"/>
      <c r="I274" s="344"/>
      <c r="J274" s="334"/>
      <c r="K274" s="335"/>
      <c r="L274" s="336"/>
      <c r="M274" s="336"/>
      <c r="N274" s="337"/>
      <c r="O274" s="337"/>
      <c r="P274" s="315"/>
      <c r="Q274" s="314"/>
      <c r="R274" s="317"/>
      <c r="S274" s="315"/>
      <c r="T274" s="315"/>
      <c r="U274" s="315"/>
      <c r="V274" s="258"/>
      <c r="W274" s="322"/>
      <c r="X274" s="318"/>
      <c r="Y274" s="315"/>
      <c r="Z274" s="318"/>
      <c r="AA274" s="314"/>
      <c r="AB274" s="336"/>
      <c r="AC274" s="314"/>
      <c r="AD274" s="316"/>
      <c r="AE274" s="315"/>
      <c r="AF274" s="315"/>
      <c r="AG274" s="315"/>
      <c r="AH274" s="315"/>
      <c r="AI274" s="377"/>
      <c r="AJ274" s="407"/>
      <c r="AK274" s="377"/>
      <c r="AL274" s="314"/>
      <c r="AM274" s="314"/>
      <c r="AN274" s="314"/>
      <c r="AO274" s="315"/>
      <c r="AP274" s="257"/>
      <c r="AQ274" s="257"/>
      <c r="AR274" s="257"/>
      <c r="AS274" s="315"/>
      <c r="AT274" s="257"/>
      <c r="AU274" s="257"/>
      <c r="AV274" s="316"/>
      <c r="AW274" s="314"/>
      <c r="AX274" s="315"/>
      <c r="AY274" s="315"/>
      <c r="AZ274" s="315"/>
      <c r="BA274" s="315"/>
      <c r="BB274" s="315"/>
      <c r="BC274" s="315"/>
      <c r="BD274" s="319"/>
      <c r="BE274" s="319"/>
      <c r="BF274" s="319"/>
      <c r="BG274" s="319"/>
      <c r="BH274" s="319"/>
      <c r="BI274" s="319"/>
      <c r="BJ274" s="319"/>
      <c r="BK274" s="315"/>
      <c r="BL274" s="316"/>
      <c r="BM274" s="314"/>
      <c r="BN274" s="319"/>
      <c r="BO274" s="315"/>
      <c r="BP274" s="314"/>
      <c r="BQ274" s="316"/>
      <c r="BR274" s="314"/>
      <c r="BS274" s="262"/>
      <c r="BT274" s="262"/>
    </row>
    <row r="275" spans="1:72" ht="45.75" customHeight="1">
      <c r="A275" s="342"/>
      <c r="B275" s="342"/>
      <c r="C275" s="342"/>
      <c r="D275" s="343"/>
      <c r="E275" s="342"/>
      <c r="F275" s="342"/>
      <c r="G275" s="344"/>
      <c r="H275" s="344"/>
      <c r="I275" s="344"/>
      <c r="J275" s="334"/>
      <c r="K275" s="335"/>
      <c r="L275" s="336"/>
      <c r="M275" s="336"/>
      <c r="N275" s="337"/>
      <c r="O275" s="337"/>
      <c r="P275" s="315"/>
      <c r="Q275" s="314"/>
      <c r="R275" s="317"/>
      <c r="S275" s="315"/>
      <c r="T275" s="315"/>
      <c r="U275" s="315"/>
      <c r="V275" s="258"/>
      <c r="W275" s="322"/>
      <c r="X275" s="318"/>
      <c r="Y275" s="315"/>
      <c r="Z275" s="318"/>
      <c r="AA275" s="314"/>
      <c r="AB275" s="336"/>
      <c r="AC275" s="314"/>
      <c r="AD275" s="316"/>
      <c r="AE275" s="315"/>
      <c r="AF275" s="315"/>
      <c r="AG275" s="315"/>
      <c r="AH275" s="315"/>
      <c r="AI275" s="377"/>
      <c r="AJ275" s="407"/>
      <c r="AK275" s="377"/>
      <c r="AL275" s="314"/>
      <c r="AM275" s="314"/>
      <c r="AN275" s="314"/>
      <c r="AO275" s="315"/>
      <c r="AP275" s="257"/>
      <c r="AQ275" s="257"/>
      <c r="AR275" s="257"/>
      <c r="AS275" s="315"/>
      <c r="AT275" s="257"/>
      <c r="AU275" s="257"/>
      <c r="AV275" s="316"/>
      <c r="AW275" s="314"/>
      <c r="AX275" s="315"/>
      <c r="AY275" s="315"/>
      <c r="AZ275" s="315"/>
      <c r="BA275" s="315"/>
      <c r="BB275" s="315"/>
      <c r="BC275" s="315"/>
      <c r="BD275" s="319"/>
      <c r="BE275" s="319"/>
      <c r="BF275" s="319"/>
      <c r="BG275" s="319"/>
      <c r="BH275" s="319"/>
      <c r="BI275" s="319"/>
      <c r="BJ275" s="319"/>
      <c r="BK275" s="315"/>
      <c r="BL275" s="316"/>
      <c r="BM275" s="314"/>
      <c r="BN275" s="319"/>
      <c r="BO275" s="315"/>
      <c r="BP275" s="314"/>
      <c r="BQ275" s="316"/>
      <c r="BR275" s="314"/>
      <c r="BS275" s="262"/>
      <c r="BT275" s="262"/>
    </row>
    <row r="276" spans="1:72" ht="45.75" customHeight="1">
      <c r="A276" s="342"/>
      <c r="B276" s="342"/>
      <c r="C276" s="342"/>
      <c r="D276" s="343"/>
      <c r="E276" s="342"/>
      <c r="F276" s="342"/>
      <c r="G276" s="344"/>
      <c r="H276" s="344"/>
      <c r="I276" s="344"/>
      <c r="J276" s="334"/>
      <c r="K276" s="335"/>
      <c r="L276" s="336"/>
      <c r="M276" s="336"/>
      <c r="N276" s="337"/>
      <c r="O276" s="337"/>
      <c r="P276" s="315"/>
      <c r="Q276" s="314"/>
      <c r="R276" s="317"/>
      <c r="S276" s="315"/>
      <c r="T276" s="315"/>
      <c r="U276" s="315"/>
      <c r="V276" s="258"/>
      <c r="W276" s="322"/>
      <c r="X276" s="318"/>
      <c r="Y276" s="315"/>
      <c r="Z276" s="318"/>
      <c r="AA276" s="314"/>
      <c r="AB276" s="336"/>
      <c r="AC276" s="314"/>
      <c r="AD276" s="316"/>
      <c r="AE276" s="315"/>
      <c r="AF276" s="315"/>
      <c r="AG276" s="315"/>
      <c r="AH276" s="315"/>
      <c r="AI276" s="377"/>
      <c r="AJ276" s="407"/>
      <c r="AK276" s="377"/>
      <c r="AL276" s="314"/>
      <c r="AM276" s="314"/>
      <c r="AN276" s="314"/>
      <c r="AO276" s="315"/>
      <c r="AP276" s="257"/>
      <c r="AQ276" s="257"/>
      <c r="AR276" s="257"/>
      <c r="AS276" s="315"/>
      <c r="AT276" s="257"/>
      <c r="AU276" s="257"/>
      <c r="AV276" s="316"/>
      <c r="AW276" s="314"/>
      <c r="AX276" s="315"/>
      <c r="AY276" s="315"/>
      <c r="AZ276" s="315"/>
      <c r="BA276" s="315"/>
      <c r="BB276" s="315"/>
      <c r="BC276" s="315"/>
      <c r="BD276" s="319"/>
      <c r="BE276" s="319"/>
      <c r="BF276" s="319"/>
      <c r="BG276" s="319"/>
      <c r="BH276" s="319"/>
      <c r="BI276" s="319"/>
      <c r="BJ276" s="319"/>
      <c r="BK276" s="315"/>
      <c r="BL276" s="316"/>
      <c r="BM276" s="314"/>
      <c r="BN276" s="319"/>
      <c r="BO276" s="315"/>
      <c r="BP276" s="314"/>
      <c r="BQ276" s="316"/>
      <c r="BR276" s="314"/>
      <c r="BS276" s="262"/>
      <c r="BT276" s="262"/>
    </row>
    <row r="277" spans="1:72" ht="45.75" customHeight="1">
      <c r="A277" s="342"/>
      <c r="B277" s="342"/>
      <c r="C277" s="342"/>
      <c r="D277" s="343"/>
      <c r="E277" s="342"/>
      <c r="F277" s="342"/>
      <c r="G277" s="344"/>
      <c r="H277" s="344"/>
      <c r="I277" s="344"/>
      <c r="J277" s="334"/>
      <c r="K277" s="335"/>
      <c r="L277" s="336"/>
      <c r="M277" s="336"/>
      <c r="N277" s="337"/>
      <c r="O277" s="337"/>
      <c r="P277" s="315"/>
      <c r="Q277" s="314"/>
      <c r="R277" s="317"/>
      <c r="S277" s="315"/>
      <c r="T277" s="315"/>
      <c r="U277" s="315"/>
      <c r="V277" s="258"/>
      <c r="W277" s="322"/>
      <c r="X277" s="318"/>
      <c r="Y277" s="315"/>
      <c r="Z277" s="318"/>
      <c r="AA277" s="314"/>
      <c r="AB277" s="336"/>
      <c r="AC277" s="314"/>
      <c r="AD277" s="316"/>
      <c r="AE277" s="315"/>
      <c r="AF277" s="315"/>
      <c r="AG277" s="315"/>
      <c r="AH277" s="315"/>
      <c r="AI277" s="377"/>
      <c r="AJ277" s="407"/>
      <c r="AK277" s="377"/>
      <c r="AL277" s="314"/>
      <c r="AM277" s="314"/>
      <c r="AN277" s="314"/>
      <c r="AO277" s="315"/>
      <c r="AP277" s="257"/>
      <c r="AQ277" s="257"/>
      <c r="AR277" s="257"/>
      <c r="AS277" s="315"/>
      <c r="AT277" s="257"/>
      <c r="AU277" s="257"/>
      <c r="AV277" s="316"/>
      <c r="AW277" s="314"/>
      <c r="AX277" s="315"/>
      <c r="AY277" s="315"/>
      <c r="AZ277" s="315"/>
      <c r="BA277" s="315"/>
      <c r="BB277" s="315"/>
      <c r="BC277" s="315"/>
      <c r="BD277" s="319"/>
      <c r="BE277" s="319"/>
      <c r="BF277" s="319"/>
      <c r="BG277" s="319"/>
      <c r="BH277" s="319"/>
      <c r="BI277" s="319"/>
      <c r="BJ277" s="319"/>
      <c r="BK277" s="315"/>
      <c r="BL277" s="316"/>
      <c r="BM277" s="314"/>
      <c r="BN277" s="319"/>
      <c r="BO277" s="315"/>
      <c r="BP277" s="314"/>
      <c r="BQ277" s="316"/>
      <c r="BR277" s="314"/>
      <c r="BS277" s="262"/>
      <c r="BT277" s="262"/>
    </row>
    <row r="278" spans="1:72" ht="45.75" customHeight="1">
      <c r="A278" s="342"/>
      <c r="B278" s="342"/>
      <c r="C278" s="342"/>
      <c r="D278" s="343"/>
      <c r="E278" s="342"/>
      <c r="F278" s="342"/>
      <c r="G278" s="344"/>
      <c r="H278" s="344"/>
      <c r="I278" s="344"/>
      <c r="J278" s="334"/>
      <c r="K278" s="335"/>
      <c r="L278" s="336"/>
      <c r="M278" s="336"/>
      <c r="N278" s="337"/>
      <c r="O278" s="337"/>
      <c r="P278" s="315"/>
      <c r="Q278" s="314"/>
      <c r="R278" s="317"/>
      <c r="S278" s="315"/>
      <c r="T278" s="315"/>
      <c r="U278" s="315"/>
      <c r="V278" s="258"/>
      <c r="W278" s="322"/>
      <c r="X278" s="318"/>
      <c r="Y278" s="315"/>
      <c r="Z278" s="318"/>
      <c r="AA278" s="314"/>
      <c r="AB278" s="336"/>
      <c r="AC278" s="314"/>
      <c r="AD278" s="316"/>
      <c r="AE278" s="315"/>
      <c r="AF278" s="315"/>
      <c r="AG278" s="315"/>
      <c r="AH278" s="315"/>
      <c r="AI278" s="377"/>
      <c r="AJ278" s="407"/>
      <c r="AK278" s="377"/>
      <c r="AL278" s="314"/>
      <c r="AM278" s="314"/>
      <c r="AN278" s="314"/>
      <c r="AO278" s="315"/>
      <c r="AP278" s="257"/>
      <c r="AQ278" s="257"/>
      <c r="AR278" s="257"/>
      <c r="AS278" s="315"/>
      <c r="AT278" s="257"/>
      <c r="AU278" s="257"/>
      <c r="AV278" s="316"/>
      <c r="AW278" s="314"/>
      <c r="AX278" s="315"/>
      <c r="AY278" s="315"/>
      <c r="AZ278" s="315"/>
      <c r="BA278" s="315"/>
      <c r="BB278" s="315"/>
      <c r="BC278" s="315"/>
      <c r="BD278" s="319"/>
      <c r="BE278" s="319"/>
      <c r="BF278" s="319"/>
      <c r="BG278" s="319"/>
      <c r="BH278" s="319"/>
      <c r="BI278" s="319"/>
      <c r="BJ278" s="319"/>
      <c r="BK278" s="315"/>
      <c r="BL278" s="316"/>
      <c r="BM278" s="314"/>
      <c r="BN278" s="319"/>
      <c r="BO278" s="315"/>
      <c r="BP278" s="314"/>
      <c r="BQ278" s="316"/>
      <c r="BR278" s="314"/>
      <c r="BS278" s="262"/>
      <c r="BT278" s="262"/>
    </row>
    <row r="279" spans="1:72" ht="45.75" customHeight="1">
      <c r="A279" s="342"/>
      <c r="B279" s="342"/>
      <c r="C279" s="342"/>
      <c r="D279" s="343"/>
      <c r="E279" s="342"/>
      <c r="F279" s="342"/>
      <c r="G279" s="344"/>
      <c r="H279" s="344"/>
      <c r="I279" s="344"/>
      <c r="J279" s="334"/>
      <c r="K279" s="335"/>
      <c r="L279" s="336"/>
      <c r="M279" s="336"/>
      <c r="N279" s="337"/>
      <c r="O279" s="337"/>
      <c r="P279" s="315"/>
      <c r="Q279" s="314"/>
      <c r="R279" s="317"/>
      <c r="S279" s="315"/>
      <c r="T279" s="315"/>
      <c r="U279" s="315"/>
      <c r="V279" s="258"/>
      <c r="W279" s="322"/>
      <c r="X279" s="318"/>
      <c r="Y279" s="315"/>
      <c r="Z279" s="318"/>
      <c r="AA279" s="314"/>
      <c r="AB279" s="336"/>
      <c r="AC279" s="314"/>
      <c r="AD279" s="316"/>
      <c r="AE279" s="315"/>
      <c r="AF279" s="315"/>
      <c r="AG279" s="315"/>
      <c r="AH279" s="315"/>
      <c r="AI279" s="377"/>
      <c r="AJ279" s="407"/>
      <c r="AK279" s="377"/>
      <c r="AL279" s="314"/>
      <c r="AM279" s="314"/>
      <c r="AN279" s="314"/>
      <c r="AO279" s="315"/>
      <c r="AP279" s="257"/>
      <c r="AQ279" s="257"/>
      <c r="AR279" s="257"/>
      <c r="AS279" s="315"/>
      <c r="AT279" s="257"/>
      <c r="AU279" s="257"/>
      <c r="AV279" s="316"/>
      <c r="AW279" s="314"/>
      <c r="AX279" s="315"/>
      <c r="AY279" s="315"/>
      <c r="AZ279" s="315"/>
      <c r="BA279" s="315"/>
      <c r="BB279" s="315"/>
      <c r="BC279" s="315"/>
      <c r="BD279" s="319"/>
      <c r="BE279" s="319"/>
      <c r="BF279" s="319"/>
      <c r="BG279" s="319"/>
      <c r="BH279" s="319"/>
      <c r="BI279" s="319"/>
      <c r="BJ279" s="319"/>
      <c r="BK279" s="315"/>
      <c r="BL279" s="316"/>
      <c r="BM279" s="314"/>
      <c r="BN279" s="319"/>
      <c r="BO279" s="315"/>
      <c r="BP279" s="314"/>
      <c r="BQ279" s="316"/>
      <c r="BR279" s="314"/>
      <c r="BS279" s="262"/>
      <c r="BT279" s="262"/>
    </row>
    <row r="280" spans="1:72" ht="45.75" customHeight="1">
      <c r="A280" s="342"/>
      <c r="B280" s="342"/>
      <c r="C280" s="342"/>
      <c r="D280" s="343"/>
      <c r="E280" s="342"/>
      <c r="F280" s="342"/>
      <c r="G280" s="344"/>
      <c r="H280" s="344"/>
      <c r="I280" s="344"/>
      <c r="J280" s="334"/>
      <c r="K280" s="335"/>
      <c r="L280" s="336"/>
      <c r="M280" s="336"/>
      <c r="N280" s="337"/>
      <c r="O280" s="337"/>
      <c r="P280" s="315"/>
      <c r="Q280" s="314"/>
      <c r="R280" s="317"/>
      <c r="S280" s="315"/>
      <c r="T280" s="315"/>
      <c r="U280" s="315"/>
      <c r="V280" s="258"/>
      <c r="W280" s="322"/>
      <c r="X280" s="318"/>
      <c r="Y280" s="315"/>
      <c r="Z280" s="318"/>
      <c r="AA280" s="314"/>
      <c r="AB280" s="336"/>
      <c r="AC280" s="314"/>
      <c r="AD280" s="316"/>
      <c r="AE280" s="315"/>
      <c r="AF280" s="315"/>
      <c r="AG280" s="315"/>
      <c r="AH280" s="315"/>
      <c r="AI280" s="377"/>
      <c r="AJ280" s="407"/>
      <c r="AK280" s="377"/>
      <c r="AL280" s="314"/>
      <c r="AM280" s="314"/>
      <c r="AN280" s="314"/>
      <c r="AO280" s="315"/>
      <c r="AP280" s="257"/>
      <c r="AQ280" s="257"/>
      <c r="AR280" s="257"/>
      <c r="AS280" s="315"/>
      <c r="AT280" s="257"/>
      <c r="AU280" s="257"/>
      <c r="AV280" s="316"/>
      <c r="AW280" s="314"/>
      <c r="AX280" s="315"/>
      <c r="AY280" s="315"/>
      <c r="AZ280" s="315"/>
      <c r="BA280" s="315"/>
      <c r="BB280" s="315"/>
      <c r="BC280" s="315"/>
      <c r="BD280" s="319"/>
      <c r="BE280" s="319"/>
      <c r="BF280" s="319"/>
      <c r="BG280" s="319"/>
      <c r="BH280" s="319"/>
      <c r="BI280" s="319"/>
      <c r="BJ280" s="319"/>
      <c r="BK280" s="315"/>
      <c r="BL280" s="316"/>
      <c r="BM280" s="314"/>
      <c r="BN280" s="319"/>
      <c r="BO280" s="315"/>
      <c r="BP280" s="314"/>
      <c r="BQ280" s="316"/>
      <c r="BR280" s="314"/>
      <c r="BS280" s="262"/>
      <c r="BT280" s="262"/>
    </row>
    <row r="281" spans="1:72" ht="45.75" customHeight="1">
      <c r="A281" s="342"/>
      <c r="B281" s="342"/>
      <c r="C281" s="342"/>
      <c r="D281" s="343"/>
      <c r="E281" s="342"/>
      <c r="F281" s="342"/>
      <c r="G281" s="344"/>
      <c r="H281" s="344"/>
      <c r="I281" s="344"/>
      <c r="J281" s="334"/>
      <c r="K281" s="335"/>
      <c r="L281" s="336"/>
      <c r="M281" s="336"/>
      <c r="N281" s="337"/>
      <c r="O281" s="337"/>
      <c r="P281" s="315"/>
      <c r="Q281" s="314"/>
      <c r="R281" s="317"/>
      <c r="S281" s="315"/>
      <c r="T281" s="315"/>
      <c r="U281" s="315"/>
      <c r="V281" s="258"/>
      <c r="W281" s="322"/>
      <c r="X281" s="318"/>
      <c r="Y281" s="315"/>
      <c r="Z281" s="318"/>
      <c r="AA281" s="314"/>
      <c r="AB281" s="336"/>
      <c r="AC281" s="314"/>
      <c r="AD281" s="316"/>
      <c r="AE281" s="315"/>
      <c r="AF281" s="315"/>
      <c r="AG281" s="315"/>
      <c r="AH281" s="315"/>
      <c r="AI281" s="377"/>
      <c r="AJ281" s="407"/>
      <c r="AK281" s="377"/>
      <c r="AL281" s="314"/>
      <c r="AM281" s="314"/>
      <c r="AN281" s="314"/>
      <c r="AO281" s="315"/>
      <c r="AP281" s="257"/>
      <c r="AQ281" s="257"/>
      <c r="AR281" s="257"/>
      <c r="AS281" s="315"/>
      <c r="AT281" s="257"/>
      <c r="AU281" s="257"/>
      <c r="AV281" s="316"/>
      <c r="AW281" s="314"/>
      <c r="AX281" s="315"/>
      <c r="AY281" s="315"/>
      <c r="AZ281" s="315"/>
      <c r="BA281" s="315"/>
      <c r="BB281" s="315"/>
      <c r="BC281" s="315"/>
      <c r="BD281" s="319"/>
      <c r="BE281" s="319"/>
      <c r="BF281" s="319"/>
      <c r="BG281" s="319"/>
      <c r="BH281" s="319"/>
      <c r="BI281" s="319"/>
      <c r="BJ281" s="319"/>
      <c r="BK281" s="315"/>
      <c r="BL281" s="316"/>
      <c r="BM281" s="314"/>
      <c r="BN281" s="319"/>
      <c r="BO281" s="315"/>
      <c r="BP281" s="314"/>
      <c r="BQ281" s="316"/>
      <c r="BR281" s="314"/>
      <c r="BS281" s="262"/>
      <c r="BT281" s="262"/>
    </row>
    <row r="282" spans="1:72" ht="45.75" customHeight="1">
      <c r="A282" s="342"/>
      <c r="B282" s="342"/>
      <c r="C282" s="342"/>
      <c r="D282" s="343"/>
      <c r="E282" s="342"/>
      <c r="F282" s="342"/>
      <c r="G282" s="344"/>
      <c r="H282" s="344"/>
      <c r="I282" s="344"/>
      <c r="J282" s="334"/>
      <c r="K282" s="335"/>
      <c r="L282" s="336"/>
      <c r="M282" s="336"/>
      <c r="N282" s="337"/>
      <c r="O282" s="337"/>
      <c r="P282" s="315"/>
      <c r="Q282" s="314"/>
      <c r="R282" s="317"/>
      <c r="S282" s="315"/>
      <c r="T282" s="315"/>
      <c r="U282" s="315"/>
      <c r="V282" s="258"/>
      <c r="W282" s="322"/>
      <c r="X282" s="318"/>
      <c r="Y282" s="315"/>
      <c r="Z282" s="318"/>
      <c r="AA282" s="314"/>
      <c r="AB282" s="336"/>
      <c r="AC282" s="314"/>
      <c r="AD282" s="316"/>
      <c r="AE282" s="315"/>
      <c r="AF282" s="315"/>
      <c r="AG282" s="315"/>
      <c r="AH282" s="315"/>
      <c r="AI282" s="377"/>
      <c r="AJ282" s="407"/>
      <c r="AK282" s="377"/>
      <c r="AL282" s="314"/>
      <c r="AM282" s="314"/>
      <c r="AN282" s="314"/>
      <c r="AO282" s="315"/>
      <c r="AP282" s="257"/>
      <c r="AQ282" s="257"/>
      <c r="AR282" s="257"/>
      <c r="AS282" s="315"/>
      <c r="AT282" s="257"/>
      <c r="AU282" s="257"/>
      <c r="AV282" s="316"/>
      <c r="AW282" s="314"/>
      <c r="AX282" s="315"/>
      <c r="AY282" s="315"/>
      <c r="AZ282" s="315"/>
      <c r="BA282" s="315"/>
      <c r="BB282" s="315"/>
      <c r="BC282" s="315"/>
      <c r="BD282" s="319"/>
      <c r="BE282" s="319"/>
      <c r="BF282" s="319"/>
      <c r="BG282" s="319"/>
      <c r="BH282" s="319"/>
      <c r="BI282" s="319"/>
      <c r="BJ282" s="319"/>
      <c r="BK282" s="315"/>
      <c r="BL282" s="316"/>
      <c r="BM282" s="314"/>
      <c r="BN282" s="319"/>
      <c r="BO282" s="315"/>
      <c r="BP282" s="314"/>
      <c r="BQ282" s="316"/>
      <c r="BR282" s="314"/>
      <c r="BS282" s="262"/>
      <c r="BT282" s="262"/>
    </row>
    <row r="283" spans="1:72" ht="45.75" customHeight="1">
      <c r="A283" s="342"/>
      <c r="B283" s="342"/>
      <c r="C283" s="342"/>
      <c r="D283" s="343"/>
      <c r="E283" s="342"/>
      <c r="F283" s="342"/>
      <c r="G283" s="344"/>
      <c r="H283" s="344"/>
      <c r="I283" s="344"/>
      <c r="J283" s="334"/>
      <c r="K283" s="335"/>
      <c r="L283" s="336"/>
      <c r="M283" s="336"/>
      <c r="N283" s="337"/>
      <c r="O283" s="337"/>
      <c r="P283" s="315"/>
      <c r="Q283" s="314"/>
      <c r="R283" s="317"/>
      <c r="S283" s="315"/>
      <c r="T283" s="315"/>
      <c r="U283" s="315"/>
      <c r="V283" s="258"/>
      <c r="W283" s="322"/>
      <c r="X283" s="318"/>
      <c r="Y283" s="315"/>
      <c r="Z283" s="318"/>
      <c r="AA283" s="314"/>
      <c r="AB283" s="336"/>
      <c r="AC283" s="314"/>
      <c r="AD283" s="316"/>
      <c r="AE283" s="315"/>
      <c r="AF283" s="315"/>
      <c r="AG283" s="315"/>
      <c r="AH283" s="315"/>
      <c r="AI283" s="377"/>
      <c r="AJ283" s="407"/>
      <c r="AK283" s="377"/>
      <c r="AL283" s="314"/>
      <c r="AM283" s="314"/>
      <c r="AN283" s="314"/>
      <c r="AO283" s="315"/>
      <c r="AP283" s="257"/>
      <c r="AQ283" s="257"/>
      <c r="AR283" s="257"/>
      <c r="AS283" s="315"/>
      <c r="AT283" s="257"/>
      <c r="AU283" s="257"/>
      <c r="AV283" s="316"/>
      <c r="AW283" s="314"/>
      <c r="AX283" s="315"/>
      <c r="AY283" s="315"/>
      <c r="AZ283" s="315"/>
      <c r="BA283" s="315"/>
      <c r="BB283" s="315"/>
      <c r="BC283" s="315"/>
      <c r="BD283" s="319"/>
      <c r="BE283" s="319"/>
      <c r="BF283" s="319"/>
      <c r="BG283" s="319"/>
      <c r="BH283" s="319"/>
      <c r="BI283" s="319"/>
      <c r="BJ283" s="319"/>
      <c r="BK283" s="315"/>
      <c r="BL283" s="316"/>
      <c r="BM283" s="314"/>
      <c r="BN283" s="319"/>
      <c r="BO283" s="315"/>
      <c r="BP283" s="314"/>
      <c r="BQ283" s="316"/>
      <c r="BR283" s="314"/>
      <c r="BS283" s="262"/>
      <c r="BT283" s="262"/>
    </row>
    <row r="284" spans="1:72" ht="45.75" customHeight="1">
      <c r="A284" s="342"/>
      <c r="B284" s="342"/>
      <c r="C284" s="342"/>
      <c r="D284" s="343"/>
      <c r="E284" s="342"/>
      <c r="F284" s="342"/>
      <c r="G284" s="344"/>
      <c r="H284" s="344"/>
      <c r="I284" s="344"/>
      <c r="J284" s="334"/>
      <c r="K284" s="335"/>
      <c r="L284" s="336"/>
      <c r="M284" s="336"/>
      <c r="N284" s="337"/>
      <c r="O284" s="337"/>
      <c r="P284" s="315"/>
      <c r="Q284" s="314"/>
      <c r="R284" s="317"/>
      <c r="S284" s="315"/>
      <c r="T284" s="315"/>
      <c r="U284" s="315"/>
      <c r="V284" s="258"/>
      <c r="W284" s="322"/>
      <c r="X284" s="318"/>
      <c r="Y284" s="315"/>
      <c r="Z284" s="318"/>
      <c r="AA284" s="314"/>
      <c r="AB284" s="336"/>
      <c r="AC284" s="314"/>
      <c r="AD284" s="316"/>
      <c r="AE284" s="315"/>
      <c r="AF284" s="315"/>
      <c r="AG284" s="315"/>
      <c r="AH284" s="315"/>
      <c r="AI284" s="377"/>
      <c r="AJ284" s="407"/>
      <c r="AK284" s="377"/>
      <c r="AL284" s="314"/>
      <c r="AM284" s="314"/>
      <c r="AN284" s="314"/>
      <c r="AO284" s="315"/>
      <c r="AP284" s="257"/>
      <c r="AQ284" s="257"/>
      <c r="AR284" s="257"/>
      <c r="AS284" s="315"/>
      <c r="AT284" s="257"/>
      <c r="AU284" s="257"/>
      <c r="AV284" s="316"/>
      <c r="AW284" s="314"/>
      <c r="AX284" s="315"/>
      <c r="AY284" s="315"/>
      <c r="AZ284" s="315"/>
      <c r="BA284" s="315"/>
      <c r="BB284" s="315"/>
      <c r="BC284" s="315"/>
      <c r="BD284" s="319"/>
      <c r="BE284" s="319"/>
      <c r="BF284" s="319"/>
      <c r="BG284" s="319"/>
      <c r="BH284" s="319"/>
      <c r="BI284" s="319"/>
      <c r="BJ284" s="319"/>
      <c r="BK284" s="315"/>
      <c r="BL284" s="316"/>
      <c r="BM284" s="314"/>
      <c r="BN284" s="319"/>
      <c r="BO284" s="315"/>
      <c r="BP284" s="314"/>
      <c r="BQ284" s="316"/>
      <c r="BR284" s="314"/>
      <c r="BS284" s="262"/>
      <c r="BT284" s="262"/>
    </row>
    <row r="285" spans="1:72" ht="45.75" customHeight="1">
      <c r="A285" s="342"/>
      <c r="B285" s="342"/>
      <c r="C285" s="342"/>
      <c r="D285" s="343"/>
      <c r="E285" s="342"/>
      <c r="F285" s="342"/>
      <c r="G285" s="344"/>
      <c r="H285" s="344"/>
      <c r="I285" s="344"/>
      <c r="J285" s="334"/>
      <c r="K285" s="335"/>
      <c r="L285" s="336"/>
      <c r="M285" s="336"/>
      <c r="N285" s="337"/>
      <c r="O285" s="337"/>
      <c r="P285" s="315"/>
      <c r="Q285" s="314"/>
      <c r="R285" s="317"/>
      <c r="S285" s="315"/>
      <c r="T285" s="315"/>
      <c r="U285" s="315"/>
      <c r="V285" s="258"/>
      <c r="W285" s="322"/>
      <c r="X285" s="318"/>
      <c r="Y285" s="315"/>
      <c r="Z285" s="318"/>
      <c r="AA285" s="314"/>
      <c r="AB285" s="336"/>
      <c r="AC285" s="314"/>
      <c r="AD285" s="316"/>
      <c r="AE285" s="315"/>
      <c r="AF285" s="315"/>
      <c r="AG285" s="315"/>
      <c r="AH285" s="315"/>
      <c r="AI285" s="377"/>
      <c r="AJ285" s="407"/>
      <c r="AK285" s="377"/>
      <c r="AL285" s="314"/>
      <c r="AM285" s="314"/>
      <c r="AN285" s="314"/>
      <c r="AO285" s="315"/>
      <c r="AP285" s="257"/>
      <c r="AQ285" s="257"/>
      <c r="AR285" s="257"/>
      <c r="AS285" s="315"/>
      <c r="AT285" s="257"/>
      <c r="AU285" s="257"/>
      <c r="AV285" s="316"/>
      <c r="AW285" s="314"/>
      <c r="AX285" s="315"/>
      <c r="AY285" s="315"/>
      <c r="AZ285" s="315"/>
      <c r="BA285" s="315"/>
      <c r="BB285" s="315"/>
      <c r="BC285" s="315"/>
      <c r="BD285" s="319"/>
      <c r="BE285" s="319"/>
      <c r="BF285" s="319"/>
      <c r="BG285" s="319"/>
      <c r="BH285" s="319"/>
      <c r="BI285" s="319"/>
      <c r="BJ285" s="319"/>
      <c r="BK285" s="315"/>
      <c r="BL285" s="316"/>
      <c r="BM285" s="314"/>
      <c r="BN285" s="319"/>
      <c r="BO285" s="315"/>
      <c r="BP285" s="314"/>
      <c r="BQ285" s="316"/>
      <c r="BR285" s="314"/>
      <c r="BS285" s="262"/>
      <c r="BT285" s="262"/>
    </row>
    <row r="286" spans="1:72" ht="45.75" customHeight="1">
      <c r="A286" s="342"/>
      <c r="B286" s="342"/>
      <c r="C286" s="342"/>
      <c r="D286" s="343"/>
      <c r="E286" s="342"/>
      <c r="F286" s="342"/>
      <c r="G286" s="344"/>
      <c r="H286" s="344"/>
      <c r="I286" s="344"/>
      <c r="J286" s="334"/>
      <c r="K286" s="335"/>
      <c r="L286" s="336"/>
      <c r="M286" s="336"/>
      <c r="N286" s="337"/>
      <c r="O286" s="337"/>
      <c r="P286" s="315"/>
      <c r="Q286" s="314"/>
      <c r="R286" s="317"/>
      <c r="S286" s="315"/>
      <c r="T286" s="315"/>
      <c r="U286" s="315"/>
      <c r="V286" s="258"/>
      <c r="W286" s="322"/>
      <c r="X286" s="318"/>
      <c r="Y286" s="315"/>
      <c r="Z286" s="318"/>
      <c r="AA286" s="314"/>
      <c r="AB286" s="336"/>
      <c r="AC286" s="314"/>
      <c r="AD286" s="316"/>
      <c r="AE286" s="315"/>
      <c r="AF286" s="315"/>
      <c r="AG286" s="315"/>
      <c r="AH286" s="315"/>
      <c r="AI286" s="377"/>
      <c r="AJ286" s="407"/>
      <c r="AK286" s="377"/>
      <c r="AL286" s="314"/>
      <c r="AM286" s="314"/>
      <c r="AN286" s="314"/>
      <c r="AO286" s="315"/>
      <c r="AP286" s="257"/>
      <c r="AQ286" s="257"/>
      <c r="AR286" s="257"/>
      <c r="AS286" s="315"/>
      <c r="AT286" s="257"/>
      <c r="AU286" s="257"/>
      <c r="AV286" s="316"/>
      <c r="AW286" s="314"/>
      <c r="AX286" s="315"/>
      <c r="AY286" s="315"/>
      <c r="AZ286" s="315"/>
      <c r="BA286" s="315"/>
      <c r="BB286" s="315"/>
      <c r="BC286" s="315"/>
      <c r="BD286" s="319"/>
      <c r="BE286" s="319"/>
      <c r="BF286" s="319"/>
      <c r="BG286" s="319"/>
      <c r="BH286" s="319"/>
      <c r="BI286" s="319"/>
      <c r="BJ286" s="319"/>
      <c r="BK286" s="315"/>
      <c r="BL286" s="316"/>
      <c r="BM286" s="314"/>
      <c r="BN286" s="319"/>
      <c r="BO286" s="315"/>
      <c r="BP286" s="314"/>
      <c r="BQ286" s="316"/>
      <c r="BR286" s="314"/>
      <c r="BS286" s="262"/>
      <c r="BT286" s="262"/>
    </row>
    <row r="287" spans="1:72" ht="45.75" customHeight="1">
      <c r="A287" s="342"/>
      <c r="B287" s="342"/>
      <c r="C287" s="342"/>
      <c r="D287" s="343"/>
      <c r="E287" s="342"/>
      <c r="F287" s="342"/>
      <c r="G287" s="344"/>
      <c r="H287" s="344"/>
      <c r="I287" s="344"/>
      <c r="J287" s="334"/>
      <c r="K287" s="335"/>
      <c r="L287" s="336"/>
      <c r="M287" s="336"/>
      <c r="N287" s="337"/>
      <c r="O287" s="337"/>
      <c r="P287" s="315"/>
      <c r="Q287" s="314"/>
      <c r="R287" s="317"/>
      <c r="S287" s="315"/>
      <c r="T287" s="315"/>
      <c r="U287" s="315"/>
      <c r="V287" s="258"/>
      <c r="W287" s="322"/>
      <c r="X287" s="318"/>
      <c r="Y287" s="315"/>
      <c r="Z287" s="318"/>
      <c r="AA287" s="314"/>
      <c r="AB287" s="336"/>
      <c r="AC287" s="314"/>
      <c r="AD287" s="316"/>
      <c r="AE287" s="315"/>
      <c r="AF287" s="315"/>
      <c r="AG287" s="315"/>
      <c r="AH287" s="315"/>
      <c r="AI287" s="377"/>
      <c r="AJ287" s="407"/>
      <c r="AK287" s="377"/>
      <c r="AL287" s="314"/>
      <c r="AM287" s="314"/>
      <c r="AN287" s="314"/>
      <c r="AO287" s="315"/>
      <c r="AP287" s="257"/>
      <c r="AQ287" s="257"/>
      <c r="AR287" s="257"/>
      <c r="AS287" s="315"/>
      <c r="AT287" s="257"/>
      <c r="AU287" s="257"/>
      <c r="AV287" s="316"/>
      <c r="AW287" s="314"/>
      <c r="AX287" s="315"/>
      <c r="AY287" s="315"/>
      <c r="AZ287" s="315"/>
      <c r="BA287" s="315"/>
      <c r="BB287" s="315"/>
      <c r="BC287" s="315"/>
      <c r="BD287" s="319"/>
      <c r="BE287" s="319"/>
      <c r="BF287" s="319"/>
      <c r="BG287" s="319"/>
      <c r="BH287" s="319"/>
      <c r="BI287" s="319"/>
      <c r="BJ287" s="319"/>
      <c r="BK287" s="315"/>
      <c r="BL287" s="316"/>
      <c r="BM287" s="314"/>
      <c r="BN287" s="319"/>
      <c r="BO287" s="315"/>
      <c r="BP287" s="314"/>
      <c r="BQ287" s="316"/>
      <c r="BR287" s="314"/>
      <c r="BS287" s="262"/>
      <c r="BT287" s="262"/>
    </row>
    <row r="288" spans="1:72" ht="45.75" customHeight="1">
      <c r="A288" s="342"/>
      <c r="B288" s="342"/>
      <c r="C288" s="342"/>
      <c r="D288" s="343"/>
      <c r="E288" s="342"/>
      <c r="F288" s="342"/>
      <c r="G288" s="344"/>
      <c r="H288" s="344"/>
      <c r="I288" s="344"/>
      <c r="J288" s="334"/>
      <c r="K288" s="335"/>
      <c r="L288" s="336"/>
      <c r="M288" s="336"/>
      <c r="N288" s="337"/>
      <c r="O288" s="337"/>
      <c r="P288" s="315"/>
      <c r="Q288" s="314"/>
      <c r="R288" s="317"/>
      <c r="S288" s="315"/>
      <c r="T288" s="315"/>
      <c r="U288" s="315"/>
      <c r="V288" s="258"/>
      <c r="W288" s="322"/>
      <c r="X288" s="318"/>
      <c r="Y288" s="315"/>
      <c r="Z288" s="318"/>
      <c r="AA288" s="314"/>
      <c r="AB288" s="336"/>
      <c r="AC288" s="314"/>
      <c r="AD288" s="316"/>
      <c r="AE288" s="315"/>
      <c r="AF288" s="315"/>
      <c r="AG288" s="315"/>
      <c r="AH288" s="315"/>
      <c r="AI288" s="377"/>
      <c r="AJ288" s="407"/>
      <c r="AK288" s="377"/>
      <c r="AL288" s="314"/>
      <c r="AM288" s="314"/>
      <c r="AN288" s="314"/>
      <c r="AO288" s="315"/>
      <c r="AP288" s="257"/>
      <c r="AQ288" s="257"/>
      <c r="AR288" s="257"/>
      <c r="AS288" s="315"/>
      <c r="AT288" s="257"/>
      <c r="AU288" s="257"/>
      <c r="AV288" s="316"/>
      <c r="AW288" s="314"/>
      <c r="AX288" s="315"/>
      <c r="AY288" s="315"/>
      <c r="AZ288" s="315"/>
      <c r="BA288" s="315"/>
      <c r="BB288" s="315"/>
      <c r="BC288" s="315"/>
      <c r="BD288" s="319"/>
      <c r="BE288" s="319"/>
      <c r="BF288" s="319"/>
      <c r="BG288" s="319"/>
      <c r="BH288" s="319"/>
      <c r="BI288" s="319"/>
      <c r="BJ288" s="319"/>
      <c r="BK288" s="315"/>
      <c r="BL288" s="316"/>
      <c r="BM288" s="314"/>
      <c r="BN288" s="319"/>
      <c r="BO288" s="315"/>
      <c r="BP288" s="314"/>
      <c r="BQ288" s="316"/>
      <c r="BR288" s="314"/>
      <c r="BS288" s="262"/>
      <c r="BT288" s="262"/>
    </row>
    <row r="289" spans="1:72" ht="45.75" customHeight="1">
      <c r="A289" s="342"/>
      <c r="B289" s="342"/>
      <c r="C289" s="342"/>
      <c r="D289" s="343"/>
      <c r="E289" s="342"/>
      <c r="F289" s="342"/>
      <c r="G289" s="344"/>
      <c r="H289" s="344"/>
      <c r="I289" s="344"/>
      <c r="J289" s="334"/>
      <c r="K289" s="335"/>
      <c r="L289" s="336"/>
      <c r="M289" s="336"/>
      <c r="N289" s="337"/>
      <c r="O289" s="337"/>
      <c r="P289" s="315"/>
      <c r="Q289" s="314"/>
      <c r="R289" s="317"/>
      <c r="S289" s="315"/>
      <c r="T289" s="315"/>
      <c r="U289" s="315"/>
      <c r="V289" s="258"/>
      <c r="W289" s="322"/>
      <c r="X289" s="318"/>
      <c r="Y289" s="315"/>
      <c r="Z289" s="318"/>
      <c r="AA289" s="314"/>
      <c r="AB289" s="336"/>
      <c r="AC289" s="314"/>
      <c r="AD289" s="316"/>
      <c r="AE289" s="315"/>
      <c r="AF289" s="315"/>
      <c r="AG289" s="315"/>
      <c r="AH289" s="315"/>
      <c r="AI289" s="377"/>
      <c r="AJ289" s="407"/>
      <c r="AK289" s="377"/>
      <c r="AL289" s="314"/>
      <c r="AM289" s="314"/>
      <c r="AN289" s="314"/>
      <c r="AO289" s="315"/>
      <c r="AP289" s="257"/>
      <c r="AQ289" s="257"/>
      <c r="AR289" s="257"/>
      <c r="AS289" s="315"/>
      <c r="AT289" s="257"/>
      <c r="AU289" s="257"/>
      <c r="AV289" s="316"/>
      <c r="AW289" s="314"/>
      <c r="AX289" s="315"/>
      <c r="AY289" s="315"/>
      <c r="AZ289" s="315"/>
      <c r="BA289" s="315"/>
      <c r="BB289" s="315"/>
      <c r="BC289" s="315"/>
      <c r="BD289" s="319"/>
      <c r="BE289" s="319"/>
      <c r="BF289" s="319"/>
      <c r="BG289" s="319"/>
      <c r="BH289" s="319"/>
      <c r="BI289" s="319"/>
      <c r="BJ289" s="319"/>
      <c r="BK289" s="315"/>
      <c r="BL289" s="316"/>
      <c r="BM289" s="314"/>
      <c r="BN289" s="319"/>
      <c r="BO289" s="315"/>
      <c r="BP289" s="314"/>
      <c r="BQ289" s="316"/>
      <c r="BR289" s="314"/>
      <c r="BS289" s="262"/>
      <c r="BT289" s="262"/>
    </row>
    <row r="290" spans="1:72" ht="45.75" customHeight="1">
      <c r="A290" s="342"/>
      <c r="B290" s="342"/>
      <c r="C290" s="342"/>
      <c r="D290" s="343"/>
      <c r="E290" s="342"/>
      <c r="F290" s="342"/>
      <c r="G290" s="344"/>
      <c r="H290" s="344"/>
      <c r="I290" s="344"/>
      <c r="J290" s="334"/>
      <c r="K290" s="335"/>
      <c r="L290" s="336"/>
      <c r="M290" s="336"/>
      <c r="N290" s="337"/>
      <c r="O290" s="337"/>
      <c r="P290" s="315"/>
      <c r="Q290" s="314"/>
      <c r="R290" s="317"/>
      <c r="S290" s="315"/>
      <c r="T290" s="315"/>
      <c r="U290" s="315"/>
      <c r="V290" s="258"/>
      <c r="W290" s="322"/>
      <c r="X290" s="318"/>
      <c r="Y290" s="315"/>
      <c r="Z290" s="318"/>
      <c r="AA290" s="314"/>
      <c r="AB290" s="336"/>
      <c r="AC290" s="314"/>
      <c r="AD290" s="316"/>
      <c r="AE290" s="315"/>
      <c r="AF290" s="315"/>
      <c r="AG290" s="315"/>
      <c r="AH290" s="315"/>
      <c r="AI290" s="377"/>
      <c r="AJ290" s="407"/>
      <c r="AK290" s="377"/>
      <c r="AL290" s="314"/>
      <c r="AM290" s="314"/>
      <c r="AN290" s="314"/>
      <c r="AO290" s="315"/>
      <c r="AP290" s="257"/>
      <c r="AQ290" s="257"/>
      <c r="AR290" s="257"/>
      <c r="AS290" s="315"/>
      <c r="AT290" s="257"/>
      <c r="AU290" s="257"/>
      <c r="AV290" s="316"/>
      <c r="AW290" s="314"/>
      <c r="AX290" s="315"/>
      <c r="AY290" s="315"/>
      <c r="AZ290" s="315"/>
      <c r="BA290" s="315"/>
      <c r="BB290" s="315"/>
      <c r="BC290" s="315"/>
      <c r="BD290" s="319"/>
      <c r="BE290" s="319"/>
      <c r="BF290" s="319"/>
      <c r="BG290" s="319"/>
      <c r="BH290" s="319"/>
      <c r="BI290" s="319"/>
      <c r="BJ290" s="319"/>
      <c r="BK290" s="315"/>
      <c r="BL290" s="316"/>
      <c r="BM290" s="314"/>
      <c r="BN290" s="319"/>
      <c r="BO290" s="315"/>
      <c r="BP290" s="314"/>
      <c r="BQ290" s="316"/>
      <c r="BR290" s="314"/>
      <c r="BS290" s="262"/>
      <c r="BT290" s="262"/>
    </row>
    <row r="291" spans="1:72" ht="45.75" customHeight="1">
      <c r="A291" s="342"/>
      <c r="B291" s="342"/>
      <c r="C291" s="342"/>
      <c r="D291" s="343"/>
      <c r="E291" s="342"/>
      <c r="F291" s="342"/>
      <c r="G291" s="344"/>
      <c r="H291" s="344"/>
      <c r="I291" s="344"/>
      <c r="J291" s="334"/>
      <c r="K291" s="335"/>
      <c r="L291" s="336"/>
      <c r="M291" s="336"/>
      <c r="N291" s="337"/>
      <c r="O291" s="337"/>
      <c r="P291" s="315"/>
      <c r="Q291" s="314"/>
      <c r="R291" s="317"/>
      <c r="S291" s="315"/>
      <c r="T291" s="315"/>
      <c r="U291" s="315"/>
      <c r="V291" s="258"/>
      <c r="W291" s="322"/>
      <c r="X291" s="318"/>
      <c r="Y291" s="315"/>
      <c r="Z291" s="318"/>
      <c r="AA291" s="314"/>
      <c r="AB291" s="336"/>
      <c r="AC291" s="314"/>
      <c r="AD291" s="316"/>
      <c r="AE291" s="315"/>
      <c r="AF291" s="315"/>
      <c r="AG291" s="315"/>
      <c r="AH291" s="315"/>
      <c r="AI291" s="377"/>
      <c r="AJ291" s="407"/>
      <c r="AK291" s="377"/>
      <c r="AL291" s="314"/>
      <c r="AM291" s="314"/>
      <c r="AN291" s="314"/>
      <c r="AO291" s="315"/>
      <c r="AP291" s="257"/>
      <c r="AQ291" s="257"/>
      <c r="AR291" s="257"/>
      <c r="AS291" s="315"/>
      <c r="AT291" s="257"/>
      <c r="AU291" s="257"/>
      <c r="AV291" s="316"/>
      <c r="AW291" s="314"/>
      <c r="AX291" s="315"/>
      <c r="AY291" s="315"/>
      <c r="AZ291" s="315"/>
      <c r="BA291" s="315"/>
      <c r="BB291" s="315"/>
      <c r="BC291" s="315"/>
      <c r="BD291" s="319"/>
      <c r="BE291" s="319"/>
      <c r="BF291" s="319"/>
      <c r="BG291" s="319"/>
      <c r="BH291" s="319"/>
      <c r="BI291" s="319"/>
      <c r="BJ291" s="319"/>
      <c r="BK291" s="315"/>
      <c r="BL291" s="316"/>
      <c r="BM291" s="314"/>
      <c r="BN291" s="319"/>
      <c r="BO291" s="315"/>
      <c r="BP291" s="314"/>
      <c r="BQ291" s="316"/>
      <c r="BR291" s="314"/>
      <c r="BS291" s="262"/>
      <c r="BT291" s="262"/>
    </row>
    <row r="292" spans="1:72" ht="45.75" customHeight="1">
      <c r="A292" s="342"/>
      <c r="B292" s="342"/>
      <c r="C292" s="342"/>
      <c r="D292" s="343"/>
      <c r="E292" s="342"/>
      <c r="F292" s="342"/>
      <c r="G292" s="344"/>
      <c r="H292" s="344"/>
      <c r="I292" s="344"/>
      <c r="J292" s="334"/>
      <c r="K292" s="335"/>
      <c r="L292" s="336"/>
      <c r="M292" s="336"/>
      <c r="N292" s="337"/>
      <c r="O292" s="337"/>
      <c r="P292" s="315"/>
      <c r="Q292" s="314"/>
      <c r="R292" s="317"/>
      <c r="S292" s="315"/>
      <c r="T292" s="315"/>
      <c r="U292" s="315"/>
      <c r="V292" s="258"/>
      <c r="W292" s="322"/>
      <c r="X292" s="318"/>
      <c r="Y292" s="315"/>
      <c r="Z292" s="318"/>
      <c r="AA292" s="314"/>
      <c r="AB292" s="336"/>
      <c r="AC292" s="314"/>
      <c r="AD292" s="316"/>
      <c r="AE292" s="315"/>
      <c r="AF292" s="315"/>
      <c r="AG292" s="315"/>
      <c r="AH292" s="315"/>
      <c r="AI292" s="377"/>
      <c r="AJ292" s="407"/>
      <c r="AK292" s="377"/>
      <c r="AL292" s="314"/>
      <c r="AM292" s="314"/>
      <c r="AN292" s="314"/>
      <c r="AO292" s="315"/>
      <c r="AP292" s="257"/>
      <c r="AQ292" s="257"/>
      <c r="AR292" s="257"/>
      <c r="AS292" s="315"/>
      <c r="AT292" s="257"/>
      <c r="AU292" s="257"/>
      <c r="AV292" s="316"/>
      <c r="AW292" s="314"/>
      <c r="AX292" s="315"/>
      <c r="AY292" s="315"/>
      <c r="AZ292" s="315"/>
      <c r="BA292" s="315"/>
      <c r="BB292" s="315"/>
      <c r="BC292" s="315"/>
      <c r="BD292" s="319"/>
      <c r="BE292" s="319"/>
      <c r="BF292" s="319"/>
      <c r="BG292" s="319"/>
      <c r="BH292" s="319"/>
      <c r="BI292" s="319"/>
      <c r="BJ292" s="319"/>
      <c r="BK292" s="315"/>
      <c r="BL292" s="316"/>
      <c r="BM292" s="314"/>
      <c r="BN292" s="319"/>
      <c r="BO292" s="315"/>
      <c r="BP292" s="314"/>
      <c r="BQ292" s="316"/>
      <c r="BR292" s="314"/>
      <c r="BS292" s="262"/>
      <c r="BT292" s="262"/>
    </row>
    <row r="293" spans="1:72" ht="45.75" customHeight="1">
      <c r="A293" s="342"/>
      <c r="B293" s="342"/>
      <c r="C293" s="342"/>
      <c r="D293" s="343"/>
      <c r="E293" s="342"/>
      <c r="F293" s="342"/>
      <c r="G293" s="344"/>
      <c r="H293" s="344"/>
      <c r="I293" s="344"/>
      <c r="J293" s="334"/>
      <c r="K293" s="335"/>
      <c r="L293" s="336"/>
      <c r="M293" s="336"/>
      <c r="N293" s="337"/>
      <c r="O293" s="337"/>
      <c r="P293" s="315"/>
      <c r="Q293" s="314"/>
      <c r="R293" s="317"/>
      <c r="S293" s="315"/>
      <c r="T293" s="315"/>
      <c r="U293" s="315"/>
      <c r="V293" s="258"/>
      <c r="W293" s="322"/>
      <c r="X293" s="318"/>
      <c r="Y293" s="315"/>
      <c r="Z293" s="318"/>
      <c r="AA293" s="314"/>
      <c r="AB293" s="336"/>
      <c r="AC293" s="314"/>
      <c r="AD293" s="316"/>
      <c r="AE293" s="315"/>
      <c r="AF293" s="315"/>
      <c r="AG293" s="315"/>
      <c r="AH293" s="315"/>
      <c r="AI293" s="377"/>
      <c r="AJ293" s="407"/>
      <c r="AK293" s="377"/>
      <c r="AL293" s="314"/>
      <c r="AM293" s="314"/>
      <c r="AN293" s="314"/>
      <c r="AO293" s="315"/>
      <c r="AP293" s="257"/>
      <c r="AQ293" s="257"/>
      <c r="AR293" s="257"/>
      <c r="AS293" s="315"/>
      <c r="AT293" s="257"/>
      <c r="AU293" s="257"/>
      <c r="AV293" s="316"/>
      <c r="AW293" s="314"/>
      <c r="AX293" s="315"/>
      <c r="AY293" s="315"/>
      <c r="AZ293" s="315"/>
      <c r="BA293" s="315"/>
      <c r="BB293" s="315"/>
      <c r="BC293" s="315"/>
      <c r="BD293" s="319"/>
      <c r="BE293" s="319"/>
      <c r="BF293" s="319"/>
      <c r="BG293" s="319"/>
      <c r="BH293" s="319"/>
      <c r="BI293" s="319"/>
      <c r="BJ293" s="319"/>
      <c r="BK293" s="315"/>
      <c r="BL293" s="316"/>
      <c r="BM293" s="314"/>
      <c r="BN293" s="319"/>
      <c r="BO293" s="315"/>
      <c r="BP293" s="314"/>
      <c r="BQ293" s="316"/>
      <c r="BR293" s="314"/>
      <c r="BS293" s="262"/>
      <c r="BT293" s="262"/>
    </row>
    <row r="294" spans="1:72" ht="45.75" customHeight="1">
      <c r="A294" s="342"/>
      <c r="B294" s="342"/>
      <c r="C294" s="342"/>
      <c r="D294" s="343"/>
      <c r="E294" s="342"/>
      <c r="F294" s="342"/>
      <c r="G294" s="344"/>
      <c r="H294" s="344"/>
      <c r="I294" s="344"/>
      <c r="J294" s="334"/>
      <c r="K294" s="335"/>
      <c r="L294" s="336"/>
      <c r="M294" s="336"/>
      <c r="N294" s="337"/>
      <c r="O294" s="337"/>
      <c r="P294" s="315"/>
      <c r="Q294" s="314"/>
      <c r="R294" s="317"/>
      <c r="S294" s="315"/>
      <c r="T294" s="315"/>
      <c r="U294" s="315"/>
      <c r="V294" s="258"/>
      <c r="W294" s="322"/>
      <c r="X294" s="318"/>
      <c r="Y294" s="315"/>
      <c r="Z294" s="318"/>
      <c r="AA294" s="314"/>
      <c r="AB294" s="336"/>
      <c r="AC294" s="314"/>
      <c r="AD294" s="316"/>
      <c r="AE294" s="315"/>
      <c r="AF294" s="315"/>
      <c r="AG294" s="315"/>
      <c r="AH294" s="315"/>
      <c r="AI294" s="377"/>
      <c r="AJ294" s="407"/>
      <c r="AK294" s="377"/>
      <c r="AL294" s="314"/>
      <c r="AM294" s="314"/>
      <c r="AN294" s="314"/>
      <c r="AO294" s="315"/>
      <c r="AP294" s="257"/>
      <c r="AQ294" s="257"/>
      <c r="AR294" s="257"/>
      <c r="AS294" s="315"/>
      <c r="AT294" s="257"/>
      <c r="AU294" s="257"/>
      <c r="AV294" s="316"/>
      <c r="AW294" s="314"/>
      <c r="AX294" s="315"/>
      <c r="AY294" s="315"/>
      <c r="AZ294" s="315"/>
      <c r="BA294" s="315"/>
      <c r="BB294" s="315"/>
      <c r="BC294" s="315"/>
      <c r="BD294" s="319"/>
      <c r="BE294" s="319"/>
      <c r="BF294" s="319"/>
      <c r="BG294" s="319"/>
      <c r="BH294" s="319"/>
      <c r="BI294" s="319"/>
      <c r="BJ294" s="319"/>
      <c r="BK294" s="315"/>
      <c r="BL294" s="316"/>
      <c r="BM294" s="314"/>
      <c r="BN294" s="319"/>
      <c r="BO294" s="315"/>
      <c r="BP294" s="314"/>
      <c r="BQ294" s="316"/>
      <c r="BR294" s="314"/>
      <c r="BS294" s="262"/>
      <c r="BT294" s="262"/>
    </row>
    <row r="295" spans="1:72" ht="45.75" customHeight="1">
      <c r="A295" s="342"/>
      <c r="B295" s="342"/>
      <c r="C295" s="342"/>
      <c r="D295" s="343"/>
      <c r="E295" s="342"/>
      <c r="F295" s="342"/>
      <c r="G295" s="344"/>
      <c r="H295" s="344"/>
      <c r="I295" s="344"/>
      <c r="J295" s="334"/>
      <c r="K295" s="335"/>
      <c r="L295" s="336"/>
      <c r="M295" s="336"/>
      <c r="N295" s="337"/>
      <c r="O295" s="337"/>
      <c r="P295" s="315"/>
      <c r="Q295" s="314"/>
      <c r="R295" s="317"/>
      <c r="S295" s="315"/>
      <c r="T295" s="315"/>
      <c r="U295" s="315"/>
      <c r="V295" s="258"/>
      <c r="W295" s="322"/>
      <c r="X295" s="318"/>
      <c r="Y295" s="315"/>
      <c r="Z295" s="318"/>
      <c r="AA295" s="314"/>
      <c r="AB295" s="336"/>
      <c r="AC295" s="314"/>
      <c r="AD295" s="316"/>
      <c r="AE295" s="315"/>
      <c r="AF295" s="315"/>
      <c r="AG295" s="315"/>
      <c r="AH295" s="315"/>
      <c r="AI295" s="377"/>
      <c r="AJ295" s="407"/>
      <c r="AK295" s="377"/>
      <c r="AL295" s="314"/>
      <c r="AM295" s="314"/>
      <c r="AN295" s="314"/>
      <c r="AO295" s="315"/>
      <c r="AP295" s="257"/>
      <c r="AQ295" s="257"/>
      <c r="AR295" s="257"/>
      <c r="AS295" s="315"/>
      <c r="AT295" s="257"/>
      <c r="AU295" s="257"/>
      <c r="AV295" s="316"/>
      <c r="AW295" s="314"/>
      <c r="AX295" s="315"/>
      <c r="AY295" s="315"/>
      <c r="AZ295" s="315"/>
      <c r="BA295" s="315"/>
      <c r="BB295" s="315"/>
      <c r="BC295" s="315"/>
      <c r="BD295" s="319"/>
      <c r="BE295" s="319"/>
      <c r="BF295" s="319"/>
      <c r="BG295" s="319"/>
      <c r="BH295" s="319"/>
      <c r="BI295" s="319"/>
      <c r="BJ295" s="319"/>
      <c r="BK295" s="315"/>
      <c r="BL295" s="316"/>
      <c r="BM295" s="314"/>
      <c r="BN295" s="319"/>
      <c r="BO295" s="315"/>
      <c r="BP295" s="314"/>
      <c r="BQ295" s="316"/>
      <c r="BR295" s="314"/>
      <c r="BS295" s="262"/>
      <c r="BT295" s="262"/>
    </row>
    <row r="296" spans="1:72" ht="45.75" customHeight="1">
      <c r="A296" s="342"/>
      <c r="B296" s="342"/>
      <c r="C296" s="342"/>
      <c r="D296" s="343"/>
      <c r="E296" s="342"/>
      <c r="F296" s="342"/>
      <c r="G296" s="344"/>
      <c r="H296" s="344"/>
      <c r="I296" s="344"/>
      <c r="J296" s="334"/>
      <c r="K296" s="335"/>
      <c r="L296" s="336"/>
      <c r="M296" s="336"/>
      <c r="N296" s="337"/>
      <c r="O296" s="337"/>
      <c r="P296" s="315"/>
      <c r="Q296" s="314"/>
      <c r="R296" s="317"/>
      <c r="S296" s="315"/>
      <c r="T296" s="315"/>
      <c r="U296" s="315"/>
      <c r="V296" s="258"/>
      <c r="W296" s="322"/>
      <c r="X296" s="318"/>
      <c r="Y296" s="315"/>
      <c r="Z296" s="318"/>
      <c r="AA296" s="314"/>
      <c r="AB296" s="336"/>
      <c r="AC296" s="314"/>
      <c r="AD296" s="316"/>
      <c r="AE296" s="315"/>
      <c r="AF296" s="315"/>
      <c r="AG296" s="315"/>
      <c r="AH296" s="315"/>
      <c r="AI296" s="377"/>
      <c r="AJ296" s="407"/>
      <c r="AK296" s="377"/>
      <c r="AL296" s="314"/>
      <c r="AM296" s="314"/>
      <c r="AN296" s="314"/>
      <c r="AO296" s="315"/>
      <c r="AP296" s="257"/>
      <c r="AQ296" s="257"/>
      <c r="AR296" s="257"/>
      <c r="AS296" s="315"/>
      <c r="AT296" s="257"/>
      <c r="AU296" s="257"/>
      <c r="AV296" s="316"/>
      <c r="AW296" s="314"/>
      <c r="AX296" s="315"/>
      <c r="AY296" s="315"/>
      <c r="AZ296" s="315"/>
      <c r="BA296" s="315"/>
      <c r="BB296" s="315"/>
      <c r="BC296" s="315"/>
      <c r="BD296" s="319"/>
      <c r="BE296" s="319"/>
      <c r="BF296" s="319"/>
      <c r="BG296" s="319"/>
      <c r="BH296" s="319"/>
      <c r="BI296" s="319"/>
      <c r="BJ296" s="319"/>
      <c r="BK296" s="315"/>
      <c r="BL296" s="316"/>
      <c r="BM296" s="314"/>
      <c r="BN296" s="319"/>
      <c r="BO296" s="315"/>
      <c r="BP296" s="314"/>
      <c r="BQ296" s="316"/>
      <c r="BR296" s="314"/>
      <c r="BS296" s="262"/>
      <c r="BT296" s="262"/>
    </row>
    <row r="297" spans="1:72" ht="45.75" customHeight="1">
      <c r="A297" s="342"/>
      <c r="B297" s="342"/>
      <c r="C297" s="342"/>
      <c r="D297" s="343"/>
      <c r="E297" s="342"/>
      <c r="F297" s="342"/>
      <c r="G297" s="344"/>
      <c r="H297" s="344"/>
      <c r="I297" s="344"/>
      <c r="J297" s="334"/>
      <c r="K297" s="335"/>
      <c r="L297" s="336"/>
      <c r="M297" s="336"/>
      <c r="N297" s="337"/>
      <c r="O297" s="337"/>
      <c r="P297" s="315"/>
      <c r="Q297" s="314"/>
      <c r="R297" s="317"/>
      <c r="S297" s="315"/>
      <c r="T297" s="315"/>
      <c r="U297" s="315"/>
      <c r="V297" s="258"/>
      <c r="W297" s="322"/>
      <c r="X297" s="318"/>
      <c r="Y297" s="315"/>
      <c r="Z297" s="318"/>
      <c r="AA297" s="314"/>
      <c r="AB297" s="336"/>
      <c r="AC297" s="314"/>
      <c r="AD297" s="316"/>
      <c r="AE297" s="315"/>
      <c r="AF297" s="315"/>
      <c r="AG297" s="315"/>
      <c r="AH297" s="315"/>
      <c r="AI297" s="377"/>
      <c r="AJ297" s="407"/>
      <c r="AK297" s="377"/>
      <c r="AL297" s="314"/>
      <c r="AM297" s="314"/>
      <c r="AN297" s="314"/>
      <c r="AO297" s="315"/>
      <c r="AP297" s="257"/>
      <c r="AQ297" s="257"/>
      <c r="AR297" s="257"/>
      <c r="AS297" s="315"/>
      <c r="AT297" s="257"/>
      <c r="AU297" s="257"/>
      <c r="AV297" s="316"/>
      <c r="AW297" s="314"/>
      <c r="AX297" s="315"/>
      <c r="AY297" s="315"/>
      <c r="AZ297" s="315"/>
      <c r="BA297" s="315"/>
      <c r="BB297" s="315"/>
      <c r="BC297" s="315"/>
      <c r="BD297" s="319"/>
      <c r="BE297" s="319"/>
      <c r="BF297" s="319"/>
      <c r="BG297" s="319"/>
      <c r="BH297" s="319"/>
      <c r="BI297" s="319"/>
      <c r="BJ297" s="319"/>
      <c r="BK297" s="315"/>
      <c r="BL297" s="316"/>
      <c r="BM297" s="314"/>
      <c r="BN297" s="319"/>
      <c r="BO297" s="315"/>
      <c r="BP297" s="314"/>
      <c r="BQ297" s="316"/>
      <c r="BR297" s="314"/>
      <c r="BS297" s="262"/>
      <c r="BT297" s="262"/>
    </row>
    <row r="298" spans="1:72" ht="45.75" customHeight="1">
      <c r="A298" s="342"/>
      <c r="B298" s="342"/>
      <c r="C298" s="342"/>
      <c r="D298" s="343"/>
      <c r="E298" s="342"/>
      <c r="F298" s="342"/>
      <c r="G298" s="344"/>
      <c r="H298" s="344"/>
      <c r="I298" s="344"/>
      <c r="J298" s="334"/>
      <c r="K298" s="335"/>
      <c r="L298" s="336"/>
      <c r="M298" s="336"/>
      <c r="N298" s="337"/>
      <c r="O298" s="337"/>
      <c r="P298" s="315"/>
      <c r="Q298" s="314"/>
      <c r="R298" s="317"/>
      <c r="S298" s="315"/>
      <c r="T298" s="315"/>
      <c r="U298" s="315"/>
      <c r="V298" s="258"/>
      <c r="W298" s="322"/>
      <c r="X298" s="318"/>
      <c r="Y298" s="315"/>
      <c r="Z298" s="318"/>
      <c r="AA298" s="314"/>
      <c r="AB298" s="336"/>
      <c r="AC298" s="314"/>
      <c r="AD298" s="316"/>
      <c r="AE298" s="315"/>
      <c r="AF298" s="315"/>
      <c r="AG298" s="315"/>
      <c r="AH298" s="315"/>
      <c r="AI298" s="377"/>
      <c r="AJ298" s="407"/>
      <c r="AK298" s="377"/>
      <c r="AL298" s="314"/>
      <c r="AM298" s="314"/>
      <c r="AN298" s="314"/>
      <c r="AO298" s="315"/>
      <c r="AP298" s="257"/>
      <c r="AQ298" s="257"/>
      <c r="AR298" s="257"/>
      <c r="AS298" s="315"/>
      <c r="AT298" s="257"/>
      <c r="AU298" s="257"/>
      <c r="AV298" s="316"/>
      <c r="AW298" s="314"/>
      <c r="AX298" s="315"/>
      <c r="AY298" s="315"/>
      <c r="AZ298" s="315"/>
      <c r="BA298" s="315"/>
      <c r="BB298" s="315"/>
      <c r="BC298" s="315"/>
      <c r="BD298" s="319"/>
      <c r="BE298" s="319"/>
      <c r="BF298" s="319"/>
      <c r="BG298" s="319"/>
      <c r="BH298" s="319"/>
      <c r="BI298" s="319"/>
      <c r="BJ298" s="319"/>
      <c r="BK298" s="315"/>
      <c r="BL298" s="316"/>
      <c r="BM298" s="314"/>
      <c r="BN298" s="319"/>
      <c r="BO298" s="315"/>
      <c r="BP298" s="314"/>
      <c r="BQ298" s="316"/>
      <c r="BR298" s="314"/>
      <c r="BS298" s="262"/>
      <c r="BT298" s="262"/>
    </row>
    <row r="299" spans="1:72" ht="45.75" customHeight="1">
      <c r="A299" s="342"/>
      <c r="B299" s="342"/>
      <c r="C299" s="342"/>
      <c r="D299" s="343"/>
      <c r="E299" s="342"/>
      <c r="F299" s="342"/>
      <c r="G299" s="344"/>
      <c r="H299" s="344"/>
      <c r="I299" s="344"/>
      <c r="J299" s="334"/>
      <c r="K299" s="335"/>
      <c r="L299" s="336"/>
      <c r="M299" s="336"/>
      <c r="N299" s="337"/>
      <c r="O299" s="337"/>
      <c r="P299" s="315"/>
      <c r="Q299" s="314"/>
      <c r="R299" s="317"/>
      <c r="S299" s="315"/>
      <c r="T299" s="315"/>
      <c r="U299" s="315"/>
      <c r="V299" s="258"/>
      <c r="W299" s="322"/>
      <c r="X299" s="318"/>
      <c r="Y299" s="315"/>
      <c r="Z299" s="318"/>
      <c r="AA299" s="314"/>
      <c r="AB299" s="336"/>
      <c r="AC299" s="314"/>
      <c r="AD299" s="316"/>
      <c r="AE299" s="315"/>
      <c r="AF299" s="315"/>
      <c r="AG299" s="315"/>
      <c r="AH299" s="315"/>
      <c r="AI299" s="377"/>
      <c r="AJ299" s="407"/>
      <c r="AK299" s="377"/>
      <c r="AL299" s="314"/>
      <c r="AM299" s="314"/>
      <c r="AN299" s="314"/>
      <c r="AO299" s="315"/>
      <c r="AP299" s="257"/>
      <c r="AQ299" s="257"/>
      <c r="AR299" s="257"/>
      <c r="AS299" s="315"/>
      <c r="AT299" s="257"/>
      <c r="AU299" s="257"/>
      <c r="AV299" s="316"/>
      <c r="AW299" s="314"/>
      <c r="AX299" s="315"/>
      <c r="AY299" s="315"/>
      <c r="AZ299" s="315"/>
      <c r="BA299" s="315"/>
      <c r="BB299" s="315"/>
      <c r="BC299" s="315"/>
      <c r="BD299" s="319"/>
      <c r="BE299" s="319"/>
      <c r="BF299" s="319"/>
      <c r="BG299" s="319"/>
      <c r="BH299" s="319"/>
      <c r="BI299" s="319"/>
      <c r="BJ299" s="319"/>
      <c r="BK299" s="315"/>
      <c r="BL299" s="316"/>
      <c r="BM299" s="314"/>
      <c r="BN299" s="319"/>
      <c r="BO299" s="315"/>
      <c r="BP299" s="314"/>
      <c r="BQ299" s="316"/>
      <c r="BR299" s="314"/>
      <c r="BS299" s="262"/>
      <c r="BT299" s="262"/>
    </row>
    <row r="300" spans="1:72" ht="45.75" customHeight="1">
      <c r="A300" s="342"/>
      <c r="B300" s="342"/>
      <c r="C300" s="342"/>
      <c r="D300" s="343"/>
      <c r="E300" s="342"/>
      <c r="F300" s="342"/>
      <c r="G300" s="344"/>
      <c r="H300" s="344"/>
      <c r="I300" s="344"/>
      <c r="J300" s="334"/>
      <c r="K300" s="335"/>
      <c r="L300" s="336"/>
      <c r="M300" s="336"/>
      <c r="N300" s="337"/>
      <c r="O300" s="337"/>
      <c r="P300" s="315"/>
      <c r="Q300" s="314"/>
      <c r="R300" s="317"/>
      <c r="S300" s="315"/>
      <c r="T300" s="315"/>
      <c r="U300" s="315"/>
      <c r="V300" s="258"/>
      <c r="W300" s="322"/>
      <c r="X300" s="318"/>
      <c r="Y300" s="315"/>
      <c r="Z300" s="318"/>
      <c r="AA300" s="314"/>
      <c r="AB300" s="336"/>
      <c r="AC300" s="314"/>
      <c r="AD300" s="316"/>
      <c r="AE300" s="315"/>
      <c r="AF300" s="315"/>
      <c r="AG300" s="315"/>
      <c r="AH300" s="315"/>
      <c r="AI300" s="377"/>
      <c r="AJ300" s="407"/>
      <c r="AK300" s="377"/>
      <c r="AL300" s="314"/>
      <c r="AM300" s="314"/>
      <c r="AN300" s="314"/>
      <c r="AO300" s="315"/>
      <c r="AP300" s="257"/>
      <c r="AQ300" s="257"/>
      <c r="AR300" s="257"/>
      <c r="AS300" s="315"/>
      <c r="AT300" s="257"/>
      <c r="AU300" s="257"/>
      <c r="AV300" s="316"/>
      <c r="AW300" s="314"/>
      <c r="AX300" s="315"/>
      <c r="AY300" s="315"/>
      <c r="AZ300" s="315"/>
      <c r="BA300" s="315"/>
      <c r="BB300" s="315"/>
      <c r="BC300" s="315"/>
      <c r="BD300" s="319"/>
      <c r="BE300" s="319"/>
      <c r="BF300" s="319"/>
      <c r="BG300" s="319"/>
      <c r="BH300" s="319"/>
      <c r="BI300" s="319"/>
      <c r="BJ300" s="319"/>
      <c r="BK300" s="315"/>
      <c r="BL300" s="316"/>
      <c r="BM300" s="314"/>
      <c r="BN300" s="319"/>
      <c r="BO300" s="315"/>
      <c r="BP300" s="314"/>
      <c r="BQ300" s="316"/>
      <c r="BR300" s="314"/>
      <c r="BS300" s="262"/>
      <c r="BT300" s="262"/>
    </row>
    <row r="301" spans="1:72" ht="45.75" customHeight="1">
      <c r="A301" s="342"/>
      <c r="B301" s="342"/>
      <c r="C301" s="342"/>
      <c r="D301" s="343"/>
      <c r="E301" s="342"/>
      <c r="F301" s="342"/>
      <c r="G301" s="344"/>
      <c r="H301" s="344"/>
      <c r="I301" s="344"/>
      <c r="J301" s="334"/>
      <c r="K301" s="335"/>
      <c r="L301" s="336"/>
      <c r="M301" s="336"/>
      <c r="N301" s="337"/>
      <c r="O301" s="337"/>
      <c r="P301" s="315"/>
      <c r="Q301" s="314"/>
      <c r="R301" s="317"/>
      <c r="S301" s="315"/>
      <c r="T301" s="315"/>
      <c r="U301" s="315"/>
      <c r="V301" s="258"/>
      <c r="W301" s="322"/>
      <c r="X301" s="318"/>
      <c r="Y301" s="315"/>
      <c r="Z301" s="318"/>
      <c r="AA301" s="314"/>
      <c r="AB301" s="336"/>
      <c r="AC301" s="314"/>
      <c r="AD301" s="316"/>
      <c r="AE301" s="315"/>
      <c r="AF301" s="315"/>
      <c r="AG301" s="315"/>
      <c r="AH301" s="315"/>
      <c r="AI301" s="377"/>
      <c r="AJ301" s="407"/>
      <c r="AK301" s="377"/>
      <c r="AL301" s="314"/>
      <c r="AM301" s="314"/>
      <c r="AN301" s="314"/>
      <c r="AO301" s="315"/>
      <c r="AP301" s="257"/>
      <c r="AQ301" s="257"/>
      <c r="AR301" s="257"/>
      <c r="AS301" s="315"/>
      <c r="AT301" s="257"/>
      <c r="AU301" s="257"/>
      <c r="AV301" s="316"/>
      <c r="AW301" s="314"/>
      <c r="AX301" s="315"/>
      <c r="AY301" s="315"/>
      <c r="AZ301" s="315"/>
      <c r="BA301" s="315"/>
      <c r="BB301" s="315"/>
      <c r="BC301" s="315"/>
      <c r="BD301" s="319"/>
      <c r="BE301" s="319"/>
      <c r="BF301" s="319"/>
      <c r="BG301" s="319"/>
      <c r="BH301" s="319"/>
      <c r="BI301" s="319"/>
      <c r="BJ301" s="319"/>
      <c r="BK301" s="315"/>
      <c r="BL301" s="316"/>
      <c r="BM301" s="314"/>
      <c r="BN301" s="319"/>
      <c r="BO301" s="315"/>
      <c r="BP301" s="314"/>
      <c r="BQ301" s="316"/>
      <c r="BR301" s="314"/>
      <c r="BS301" s="262"/>
      <c r="BT301" s="262"/>
    </row>
    <row r="302" spans="1:72" ht="45.75" customHeight="1">
      <c r="A302" s="342"/>
      <c r="B302" s="342"/>
      <c r="C302" s="342"/>
      <c r="D302" s="343"/>
      <c r="E302" s="342"/>
      <c r="F302" s="342"/>
      <c r="G302" s="344"/>
      <c r="H302" s="344"/>
      <c r="I302" s="344"/>
      <c r="J302" s="334"/>
      <c r="K302" s="335"/>
      <c r="L302" s="336"/>
      <c r="M302" s="336"/>
      <c r="N302" s="337"/>
      <c r="O302" s="337"/>
      <c r="P302" s="315"/>
      <c r="Q302" s="314"/>
      <c r="R302" s="317"/>
      <c r="S302" s="315"/>
      <c r="T302" s="315"/>
      <c r="U302" s="315"/>
      <c r="V302" s="258"/>
      <c r="W302" s="322"/>
      <c r="X302" s="318"/>
      <c r="Y302" s="315"/>
      <c r="Z302" s="318"/>
      <c r="AA302" s="314"/>
      <c r="AB302" s="336"/>
      <c r="AC302" s="314"/>
      <c r="AD302" s="316"/>
      <c r="AE302" s="315"/>
      <c r="AF302" s="315"/>
      <c r="AG302" s="315"/>
      <c r="AH302" s="315"/>
      <c r="AI302" s="377"/>
      <c r="AJ302" s="407"/>
      <c r="AK302" s="377"/>
      <c r="AL302" s="314"/>
      <c r="AM302" s="314"/>
      <c r="AN302" s="314"/>
      <c r="AO302" s="315"/>
      <c r="AP302" s="257"/>
      <c r="AQ302" s="257"/>
      <c r="AR302" s="257"/>
      <c r="AS302" s="315"/>
      <c r="AT302" s="257"/>
      <c r="AU302" s="257"/>
      <c r="AV302" s="316"/>
      <c r="AW302" s="314"/>
      <c r="AX302" s="315"/>
      <c r="AY302" s="315"/>
      <c r="AZ302" s="315"/>
      <c r="BA302" s="315"/>
      <c r="BB302" s="315"/>
      <c r="BC302" s="315"/>
      <c r="BD302" s="319"/>
      <c r="BE302" s="319"/>
      <c r="BF302" s="319"/>
      <c r="BG302" s="319"/>
      <c r="BH302" s="319"/>
      <c r="BI302" s="319"/>
      <c r="BJ302" s="319"/>
      <c r="BK302" s="315"/>
      <c r="BL302" s="316"/>
      <c r="BM302" s="314"/>
      <c r="BN302" s="319"/>
      <c r="BO302" s="315"/>
      <c r="BP302" s="314"/>
      <c r="BQ302" s="316"/>
      <c r="BR302" s="314"/>
      <c r="BS302" s="262"/>
      <c r="BT302" s="262"/>
    </row>
    <row r="303" spans="1:72" ht="45.75" customHeight="1">
      <c r="A303" s="342"/>
      <c r="B303" s="342"/>
      <c r="C303" s="342"/>
      <c r="D303" s="343"/>
      <c r="E303" s="342"/>
      <c r="F303" s="342"/>
      <c r="G303" s="344"/>
      <c r="H303" s="344"/>
      <c r="I303" s="344"/>
      <c r="J303" s="334"/>
      <c r="K303" s="335"/>
      <c r="L303" s="336"/>
      <c r="M303" s="336"/>
      <c r="N303" s="337"/>
      <c r="O303" s="337"/>
      <c r="P303" s="315"/>
      <c r="Q303" s="314"/>
      <c r="R303" s="317"/>
      <c r="S303" s="315"/>
      <c r="T303" s="315"/>
      <c r="U303" s="315"/>
      <c r="V303" s="258"/>
      <c r="W303" s="322"/>
      <c r="X303" s="318"/>
      <c r="Y303" s="315"/>
      <c r="Z303" s="318"/>
      <c r="AA303" s="314"/>
      <c r="AB303" s="336"/>
      <c r="AC303" s="314"/>
      <c r="AD303" s="316"/>
      <c r="AE303" s="315"/>
      <c r="AF303" s="315"/>
      <c r="AG303" s="315"/>
      <c r="AH303" s="315"/>
      <c r="AI303" s="377"/>
      <c r="AJ303" s="407"/>
      <c r="AK303" s="377"/>
      <c r="AL303" s="314"/>
      <c r="AM303" s="314"/>
      <c r="AN303" s="314"/>
      <c r="AO303" s="315"/>
      <c r="AP303" s="257"/>
      <c r="AQ303" s="257"/>
      <c r="AR303" s="257"/>
      <c r="AS303" s="315"/>
      <c r="AT303" s="257"/>
      <c r="AU303" s="257"/>
      <c r="AV303" s="316"/>
      <c r="AW303" s="314"/>
      <c r="AX303" s="315"/>
      <c r="AY303" s="315"/>
      <c r="AZ303" s="315"/>
      <c r="BA303" s="315"/>
      <c r="BB303" s="315"/>
      <c r="BC303" s="315"/>
      <c r="BD303" s="319"/>
      <c r="BE303" s="319"/>
      <c r="BF303" s="319"/>
      <c r="BG303" s="319"/>
      <c r="BH303" s="319"/>
      <c r="BI303" s="319"/>
      <c r="BJ303" s="319"/>
      <c r="BK303" s="315"/>
      <c r="BL303" s="316"/>
      <c r="BM303" s="314"/>
      <c r="BN303" s="319"/>
      <c r="BO303" s="315"/>
      <c r="BP303" s="314"/>
      <c r="BQ303" s="316"/>
      <c r="BR303" s="314"/>
      <c r="BS303" s="262"/>
      <c r="BT303" s="262"/>
    </row>
    <row r="304" spans="1:72" ht="45.75" customHeight="1">
      <c r="A304" s="342"/>
      <c r="B304" s="342"/>
      <c r="C304" s="342"/>
      <c r="D304" s="343"/>
      <c r="E304" s="342"/>
      <c r="F304" s="342"/>
      <c r="G304" s="344"/>
      <c r="H304" s="344"/>
      <c r="I304" s="344"/>
      <c r="J304" s="334"/>
      <c r="K304" s="335"/>
      <c r="L304" s="336"/>
      <c r="M304" s="336"/>
      <c r="N304" s="337"/>
      <c r="O304" s="337"/>
      <c r="P304" s="315"/>
      <c r="Q304" s="314"/>
      <c r="R304" s="317"/>
      <c r="S304" s="315"/>
      <c r="T304" s="315"/>
      <c r="U304" s="315"/>
      <c r="V304" s="258"/>
      <c r="W304" s="322"/>
      <c r="X304" s="318"/>
      <c r="Y304" s="315"/>
      <c r="Z304" s="318"/>
      <c r="AA304" s="314"/>
      <c r="AB304" s="336"/>
      <c r="AC304" s="314"/>
      <c r="AD304" s="316"/>
      <c r="AE304" s="315"/>
      <c r="AF304" s="315"/>
      <c r="AG304" s="315"/>
      <c r="AH304" s="315"/>
      <c r="AI304" s="377"/>
      <c r="AJ304" s="407"/>
      <c r="AK304" s="377"/>
      <c r="AL304" s="314"/>
      <c r="AM304" s="314"/>
      <c r="AN304" s="314"/>
      <c r="AO304" s="315"/>
      <c r="AP304" s="257"/>
      <c r="AQ304" s="257"/>
      <c r="AR304" s="257"/>
      <c r="AS304" s="315"/>
      <c r="AT304" s="257"/>
      <c r="AU304" s="257"/>
      <c r="AV304" s="316"/>
      <c r="AW304" s="314"/>
      <c r="AX304" s="315"/>
      <c r="AY304" s="315"/>
      <c r="AZ304" s="315"/>
      <c r="BA304" s="315"/>
      <c r="BB304" s="315"/>
      <c r="BC304" s="315"/>
      <c r="BD304" s="319"/>
      <c r="BE304" s="319"/>
      <c r="BF304" s="319"/>
      <c r="BG304" s="319"/>
      <c r="BH304" s="319"/>
      <c r="BI304" s="319"/>
      <c r="BJ304" s="319"/>
      <c r="BK304" s="315"/>
      <c r="BL304" s="316"/>
      <c r="BM304" s="314"/>
      <c r="BN304" s="319"/>
      <c r="BO304" s="315"/>
      <c r="BP304" s="314"/>
      <c r="BQ304" s="316"/>
      <c r="BR304" s="314"/>
      <c r="BS304" s="262"/>
      <c r="BT304" s="262"/>
    </row>
    <row r="305" spans="1:72" ht="45.75" customHeight="1">
      <c r="A305" s="342"/>
      <c r="B305" s="342"/>
      <c r="C305" s="342"/>
      <c r="D305" s="343"/>
      <c r="E305" s="342"/>
      <c r="F305" s="342"/>
      <c r="G305" s="344"/>
      <c r="H305" s="344"/>
      <c r="I305" s="344"/>
      <c r="J305" s="334"/>
      <c r="K305" s="335"/>
      <c r="L305" s="336"/>
      <c r="M305" s="336"/>
      <c r="N305" s="337"/>
      <c r="O305" s="337"/>
      <c r="P305" s="315"/>
      <c r="Q305" s="314"/>
      <c r="R305" s="317"/>
      <c r="S305" s="315"/>
      <c r="T305" s="315"/>
      <c r="U305" s="315"/>
      <c r="V305" s="258"/>
      <c r="W305" s="322"/>
      <c r="X305" s="318"/>
      <c r="Y305" s="315"/>
      <c r="Z305" s="318"/>
      <c r="AA305" s="314"/>
      <c r="AB305" s="336"/>
      <c r="AC305" s="314"/>
      <c r="AD305" s="316"/>
      <c r="AE305" s="315"/>
      <c r="AF305" s="315"/>
      <c r="AG305" s="315"/>
      <c r="AH305" s="315"/>
      <c r="AI305" s="377"/>
      <c r="AJ305" s="407"/>
      <c r="AK305" s="377"/>
      <c r="AL305" s="314"/>
      <c r="AM305" s="314"/>
      <c r="AN305" s="314"/>
      <c r="AO305" s="315"/>
      <c r="AP305" s="257"/>
      <c r="AQ305" s="257"/>
      <c r="AR305" s="257"/>
      <c r="AS305" s="315"/>
      <c r="AT305" s="257"/>
      <c r="AU305" s="257"/>
      <c r="AV305" s="316"/>
      <c r="AW305" s="314"/>
      <c r="AX305" s="315"/>
      <c r="AY305" s="315"/>
      <c r="AZ305" s="315"/>
      <c r="BA305" s="315"/>
      <c r="BB305" s="315"/>
      <c r="BC305" s="315"/>
      <c r="BD305" s="319"/>
      <c r="BE305" s="319"/>
      <c r="BF305" s="319"/>
      <c r="BG305" s="319"/>
      <c r="BH305" s="319"/>
      <c r="BI305" s="319"/>
      <c r="BJ305" s="319"/>
      <c r="BK305" s="315"/>
      <c r="BL305" s="316"/>
      <c r="BM305" s="314"/>
      <c r="BN305" s="319"/>
      <c r="BO305" s="315"/>
      <c r="BP305" s="314"/>
      <c r="BQ305" s="316"/>
      <c r="BR305" s="314"/>
      <c r="BS305" s="262"/>
      <c r="BT305" s="262"/>
    </row>
    <row r="306" spans="1:72" ht="45.75" customHeight="1">
      <c r="A306" s="342"/>
      <c r="B306" s="342"/>
      <c r="C306" s="342"/>
      <c r="D306" s="343"/>
      <c r="E306" s="342"/>
      <c r="F306" s="342"/>
      <c r="G306" s="344"/>
      <c r="H306" s="344"/>
      <c r="I306" s="344"/>
      <c r="J306" s="334"/>
      <c r="K306" s="335"/>
      <c r="L306" s="336"/>
      <c r="M306" s="336"/>
      <c r="N306" s="337"/>
      <c r="O306" s="337"/>
      <c r="P306" s="315"/>
      <c r="Q306" s="314"/>
      <c r="R306" s="317"/>
      <c r="S306" s="315"/>
      <c r="T306" s="315"/>
      <c r="U306" s="315"/>
      <c r="V306" s="258"/>
      <c r="W306" s="322"/>
      <c r="X306" s="318"/>
      <c r="Y306" s="315"/>
      <c r="Z306" s="318"/>
      <c r="AA306" s="314"/>
      <c r="AB306" s="336"/>
      <c r="AC306" s="314"/>
      <c r="AD306" s="316"/>
      <c r="AE306" s="315"/>
      <c r="AF306" s="315"/>
      <c r="AG306" s="315"/>
      <c r="AH306" s="315"/>
      <c r="AI306" s="377"/>
      <c r="AJ306" s="407"/>
      <c r="AK306" s="377"/>
      <c r="AL306" s="314"/>
      <c r="AM306" s="314"/>
      <c r="AN306" s="314"/>
      <c r="AO306" s="315"/>
      <c r="AP306" s="257"/>
      <c r="AQ306" s="257"/>
      <c r="AR306" s="257"/>
      <c r="AS306" s="315"/>
      <c r="AT306" s="257"/>
      <c r="AU306" s="257"/>
      <c r="AV306" s="316"/>
      <c r="AW306" s="314"/>
      <c r="AX306" s="315"/>
      <c r="AY306" s="315"/>
      <c r="AZ306" s="315"/>
      <c r="BA306" s="315"/>
      <c r="BB306" s="315"/>
      <c r="BC306" s="315"/>
      <c r="BD306" s="319"/>
      <c r="BE306" s="319"/>
      <c r="BF306" s="319"/>
      <c r="BG306" s="319"/>
      <c r="BH306" s="319"/>
      <c r="BI306" s="319"/>
      <c r="BJ306" s="319"/>
      <c r="BK306" s="315"/>
      <c r="BL306" s="316"/>
      <c r="BM306" s="314"/>
      <c r="BN306" s="319"/>
      <c r="BO306" s="315"/>
      <c r="BP306" s="314"/>
      <c r="BQ306" s="316"/>
      <c r="BR306" s="314"/>
      <c r="BS306" s="262"/>
      <c r="BT306" s="262"/>
    </row>
    <row r="307" spans="1:72" ht="45.75" customHeight="1">
      <c r="A307" s="342"/>
      <c r="B307" s="342"/>
      <c r="C307" s="342"/>
      <c r="D307" s="343"/>
      <c r="E307" s="342"/>
      <c r="F307" s="342"/>
      <c r="G307" s="344"/>
      <c r="H307" s="344"/>
      <c r="I307" s="344"/>
      <c r="J307" s="334"/>
      <c r="K307" s="335"/>
      <c r="L307" s="336"/>
      <c r="M307" s="336"/>
      <c r="N307" s="337"/>
      <c r="O307" s="337"/>
      <c r="P307" s="315"/>
      <c r="Q307" s="314"/>
      <c r="R307" s="317"/>
      <c r="S307" s="315"/>
      <c r="T307" s="315"/>
      <c r="U307" s="315"/>
      <c r="V307" s="258"/>
      <c r="W307" s="322"/>
      <c r="X307" s="318"/>
      <c r="Y307" s="315"/>
      <c r="Z307" s="318"/>
      <c r="AA307" s="314"/>
      <c r="AB307" s="336"/>
      <c r="AC307" s="314"/>
      <c r="AD307" s="316"/>
      <c r="AE307" s="315"/>
      <c r="AF307" s="315"/>
      <c r="AG307" s="315"/>
      <c r="AH307" s="315"/>
      <c r="AI307" s="377"/>
      <c r="AJ307" s="407"/>
      <c r="AK307" s="377"/>
      <c r="AL307" s="314"/>
      <c r="AM307" s="314"/>
      <c r="AN307" s="314"/>
      <c r="AO307" s="315"/>
      <c r="AP307" s="257"/>
      <c r="AQ307" s="257"/>
      <c r="AR307" s="257"/>
      <c r="AS307" s="315"/>
      <c r="AT307" s="257"/>
      <c r="AU307" s="257"/>
      <c r="AV307" s="316"/>
      <c r="AW307" s="314"/>
      <c r="AX307" s="315"/>
      <c r="AY307" s="315"/>
      <c r="AZ307" s="315"/>
      <c r="BA307" s="315"/>
      <c r="BB307" s="315"/>
      <c r="BC307" s="315"/>
      <c r="BD307" s="319"/>
      <c r="BE307" s="319"/>
      <c r="BF307" s="319"/>
      <c r="BG307" s="319"/>
      <c r="BH307" s="319"/>
      <c r="BI307" s="319"/>
      <c r="BJ307" s="319"/>
      <c r="BK307" s="315"/>
      <c r="BL307" s="316"/>
      <c r="BM307" s="314"/>
      <c r="BN307" s="319"/>
      <c r="BO307" s="315"/>
      <c r="BP307" s="314"/>
      <c r="BQ307" s="316"/>
      <c r="BR307" s="314"/>
      <c r="BS307" s="262"/>
      <c r="BT307" s="262"/>
    </row>
    <row r="308" spans="1:72" ht="45.75" customHeight="1">
      <c r="A308" s="342"/>
      <c r="B308" s="342"/>
      <c r="C308" s="342"/>
      <c r="D308" s="343"/>
      <c r="E308" s="342"/>
      <c r="F308" s="342"/>
      <c r="G308" s="344"/>
      <c r="H308" s="344"/>
      <c r="I308" s="344"/>
      <c r="J308" s="334"/>
      <c r="K308" s="335"/>
      <c r="L308" s="336"/>
      <c r="M308" s="336"/>
      <c r="N308" s="337"/>
      <c r="O308" s="337"/>
      <c r="P308" s="315"/>
      <c r="Q308" s="314"/>
      <c r="R308" s="317"/>
      <c r="S308" s="315"/>
      <c r="T308" s="315"/>
      <c r="U308" s="315"/>
      <c r="V308" s="258"/>
      <c r="W308" s="322"/>
      <c r="X308" s="318"/>
      <c r="Y308" s="315"/>
      <c r="Z308" s="318"/>
      <c r="AA308" s="314"/>
      <c r="AB308" s="336"/>
      <c r="AC308" s="314"/>
      <c r="AD308" s="316"/>
      <c r="AE308" s="315"/>
      <c r="AF308" s="315"/>
      <c r="AG308" s="315"/>
      <c r="AH308" s="315"/>
      <c r="AI308" s="377"/>
      <c r="AJ308" s="407"/>
      <c r="AK308" s="377"/>
      <c r="AL308" s="314"/>
      <c r="AM308" s="314"/>
      <c r="AN308" s="314"/>
      <c r="AO308" s="315"/>
      <c r="AP308" s="257"/>
      <c r="AQ308" s="257"/>
      <c r="AR308" s="257"/>
      <c r="AS308" s="315"/>
      <c r="AT308" s="257"/>
      <c r="AU308" s="257"/>
      <c r="AV308" s="316"/>
      <c r="AW308" s="314"/>
      <c r="AX308" s="315"/>
      <c r="AY308" s="315"/>
      <c r="AZ308" s="315"/>
      <c r="BA308" s="315"/>
      <c r="BB308" s="315"/>
      <c r="BC308" s="315"/>
      <c r="BD308" s="319"/>
      <c r="BE308" s="319"/>
      <c r="BF308" s="319"/>
      <c r="BG308" s="319"/>
      <c r="BH308" s="319"/>
      <c r="BI308" s="319"/>
      <c r="BJ308" s="319"/>
      <c r="BK308" s="315"/>
      <c r="BL308" s="316"/>
      <c r="BM308" s="314"/>
      <c r="BN308" s="319"/>
      <c r="BO308" s="315"/>
      <c r="BP308" s="314"/>
      <c r="BQ308" s="316"/>
      <c r="BR308" s="314"/>
      <c r="BS308" s="262"/>
      <c r="BT308" s="262"/>
    </row>
    <row r="309" spans="1:72" ht="45.75" customHeight="1">
      <c r="A309" s="342"/>
      <c r="B309" s="342"/>
      <c r="C309" s="342"/>
      <c r="D309" s="343"/>
      <c r="E309" s="342"/>
      <c r="F309" s="342"/>
      <c r="G309" s="344"/>
      <c r="H309" s="344"/>
      <c r="I309" s="344"/>
      <c r="J309" s="334"/>
      <c r="K309" s="335"/>
      <c r="L309" s="336"/>
      <c r="M309" s="336"/>
      <c r="N309" s="337"/>
      <c r="O309" s="337"/>
      <c r="P309" s="315"/>
      <c r="Q309" s="314"/>
      <c r="R309" s="317"/>
      <c r="S309" s="315"/>
      <c r="T309" s="315"/>
      <c r="U309" s="315"/>
      <c r="V309" s="258"/>
      <c r="W309" s="322"/>
      <c r="X309" s="318"/>
      <c r="Y309" s="315"/>
      <c r="Z309" s="318"/>
      <c r="AA309" s="314"/>
      <c r="AB309" s="336"/>
      <c r="AC309" s="314"/>
      <c r="AD309" s="316"/>
      <c r="AE309" s="315"/>
      <c r="AF309" s="315"/>
      <c r="AG309" s="315"/>
      <c r="AH309" s="315"/>
      <c r="AI309" s="377"/>
      <c r="AJ309" s="407"/>
      <c r="AK309" s="377"/>
      <c r="AL309" s="314"/>
      <c r="AM309" s="314"/>
      <c r="AN309" s="314"/>
      <c r="AO309" s="315"/>
      <c r="AP309" s="257"/>
      <c r="AQ309" s="257"/>
      <c r="AR309" s="257"/>
      <c r="AS309" s="315"/>
      <c r="AT309" s="257"/>
      <c r="AU309" s="257"/>
      <c r="AV309" s="316"/>
      <c r="AW309" s="314"/>
      <c r="AX309" s="315"/>
      <c r="AY309" s="315"/>
      <c r="AZ309" s="315"/>
      <c r="BA309" s="315"/>
      <c r="BB309" s="315"/>
      <c r="BC309" s="315"/>
      <c r="BD309" s="319"/>
      <c r="BE309" s="319"/>
      <c r="BF309" s="319"/>
      <c r="BG309" s="319"/>
      <c r="BH309" s="319"/>
      <c r="BI309" s="319"/>
      <c r="BJ309" s="319"/>
      <c r="BK309" s="315"/>
      <c r="BL309" s="316"/>
      <c r="BM309" s="314"/>
      <c r="BN309" s="319"/>
      <c r="BO309" s="315"/>
      <c r="BP309" s="314"/>
      <c r="BQ309" s="316"/>
      <c r="BR309" s="314"/>
      <c r="BS309" s="262"/>
      <c r="BT309" s="262"/>
    </row>
    <row r="310" spans="1:72" ht="45.75" customHeight="1">
      <c r="A310" s="342"/>
      <c r="B310" s="342"/>
      <c r="C310" s="342"/>
      <c r="D310" s="343"/>
      <c r="E310" s="342"/>
      <c r="F310" s="342"/>
      <c r="G310" s="344"/>
      <c r="H310" s="344"/>
      <c r="I310" s="344"/>
      <c r="J310" s="334"/>
      <c r="K310" s="335"/>
      <c r="L310" s="336"/>
      <c r="M310" s="336"/>
      <c r="N310" s="337"/>
      <c r="O310" s="337"/>
      <c r="P310" s="315"/>
      <c r="Q310" s="314"/>
      <c r="R310" s="317"/>
      <c r="S310" s="315"/>
      <c r="T310" s="315"/>
      <c r="U310" s="315"/>
      <c r="V310" s="258"/>
      <c r="W310" s="322"/>
      <c r="X310" s="318"/>
      <c r="Y310" s="315"/>
      <c r="Z310" s="318"/>
      <c r="AA310" s="314"/>
      <c r="AB310" s="336"/>
      <c r="AC310" s="314"/>
      <c r="AD310" s="316"/>
      <c r="AE310" s="315"/>
      <c r="AF310" s="315"/>
      <c r="AG310" s="315"/>
      <c r="AH310" s="315"/>
      <c r="AI310" s="377"/>
      <c r="AJ310" s="407"/>
      <c r="AK310" s="377"/>
      <c r="AL310" s="314"/>
      <c r="AM310" s="314"/>
      <c r="AN310" s="314"/>
      <c r="AO310" s="315"/>
      <c r="AP310" s="257"/>
      <c r="AQ310" s="257"/>
      <c r="AR310" s="257"/>
      <c r="AS310" s="315"/>
      <c r="AT310" s="257"/>
      <c r="AU310" s="257"/>
      <c r="AV310" s="316"/>
      <c r="AW310" s="314"/>
      <c r="AX310" s="315"/>
      <c r="AY310" s="315"/>
      <c r="AZ310" s="315"/>
      <c r="BA310" s="315"/>
      <c r="BB310" s="315"/>
      <c r="BC310" s="315"/>
      <c r="BD310" s="319"/>
      <c r="BE310" s="319"/>
      <c r="BF310" s="319"/>
      <c r="BG310" s="319"/>
      <c r="BH310" s="319"/>
      <c r="BI310" s="319"/>
      <c r="BJ310" s="319"/>
      <c r="BK310" s="315"/>
      <c r="BL310" s="316"/>
      <c r="BM310" s="314"/>
      <c r="BN310" s="319"/>
      <c r="BO310" s="315"/>
      <c r="BP310" s="314"/>
      <c r="BQ310" s="316"/>
      <c r="BR310" s="314"/>
      <c r="BS310" s="262"/>
      <c r="BT310" s="262"/>
    </row>
    <row r="311" spans="1:72" ht="45.75" customHeight="1">
      <c r="A311" s="342"/>
      <c r="B311" s="342"/>
      <c r="C311" s="342"/>
      <c r="D311" s="343"/>
      <c r="E311" s="342"/>
      <c r="F311" s="342"/>
      <c r="G311" s="344"/>
      <c r="H311" s="344"/>
      <c r="I311" s="344"/>
      <c r="J311" s="334"/>
      <c r="K311" s="335"/>
      <c r="L311" s="336"/>
      <c r="M311" s="336"/>
      <c r="N311" s="337"/>
      <c r="O311" s="337"/>
      <c r="P311" s="315"/>
      <c r="Q311" s="314"/>
      <c r="R311" s="317"/>
      <c r="S311" s="315"/>
      <c r="T311" s="315"/>
      <c r="U311" s="315"/>
      <c r="V311" s="258"/>
      <c r="W311" s="322"/>
      <c r="X311" s="318"/>
      <c r="Y311" s="315"/>
      <c r="Z311" s="318"/>
      <c r="AA311" s="314"/>
      <c r="AB311" s="336"/>
      <c r="AC311" s="314"/>
      <c r="AD311" s="316"/>
      <c r="AE311" s="315"/>
      <c r="AF311" s="315"/>
      <c r="AG311" s="315"/>
      <c r="AH311" s="315"/>
      <c r="AI311" s="377"/>
      <c r="AJ311" s="407"/>
      <c r="AK311" s="377"/>
      <c r="AL311" s="314"/>
      <c r="AM311" s="314"/>
      <c r="AN311" s="314"/>
      <c r="AO311" s="315"/>
      <c r="AP311" s="257"/>
      <c r="AQ311" s="257"/>
      <c r="AR311" s="257"/>
      <c r="AS311" s="315"/>
      <c r="AT311" s="257"/>
      <c r="AU311" s="257"/>
      <c r="AV311" s="316"/>
      <c r="AW311" s="314"/>
      <c r="AX311" s="315"/>
      <c r="AY311" s="315"/>
      <c r="AZ311" s="315"/>
      <c r="BA311" s="315"/>
      <c r="BB311" s="315"/>
      <c r="BC311" s="315"/>
      <c r="BD311" s="319"/>
      <c r="BE311" s="319"/>
      <c r="BF311" s="319"/>
      <c r="BG311" s="319"/>
      <c r="BH311" s="319"/>
      <c r="BI311" s="319"/>
      <c r="BJ311" s="319"/>
      <c r="BK311" s="315"/>
      <c r="BL311" s="316"/>
      <c r="BM311" s="314"/>
      <c r="BN311" s="319"/>
      <c r="BO311" s="315"/>
      <c r="BP311" s="314"/>
      <c r="BQ311" s="316"/>
      <c r="BR311" s="314"/>
      <c r="BS311" s="262"/>
      <c r="BT311" s="262"/>
    </row>
    <row r="312" spans="1:72" ht="45.75" customHeight="1">
      <c r="A312" s="342"/>
      <c r="B312" s="342"/>
      <c r="C312" s="342"/>
      <c r="D312" s="343"/>
      <c r="E312" s="342"/>
      <c r="F312" s="342"/>
      <c r="G312" s="344"/>
      <c r="H312" s="344"/>
      <c r="I312" s="344"/>
      <c r="J312" s="334"/>
      <c r="K312" s="335"/>
      <c r="L312" s="336"/>
      <c r="M312" s="336"/>
      <c r="N312" s="337"/>
      <c r="O312" s="337"/>
      <c r="P312" s="315"/>
      <c r="Q312" s="314"/>
      <c r="R312" s="317"/>
      <c r="S312" s="315"/>
      <c r="T312" s="315"/>
      <c r="U312" s="315"/>
      <c r="V312" s="258"/>
      <c r="W312" s="322"/>
      <c r="X312" s="318"/>
      <c r="Y312" s="315"/>
      <c r="Z312" s="318"/>
      <c r="AA312" s="314"/>
      <c r="AB312" s="336"/>
      <c r="AC312" s="314"/>
      <c r="AD312" s="316"/>
      <c r="AE312" s="315"/>
      <c r="AF312" s="315"/>
      <c r="AG312" s="315"/>
      <c r="AH312" s="315"/>
      <c r="AI312" s="377"/>
      <c r="AJ312" s="407"/>
      <c r="AK312" s="377"/>
      <c r="AL312" s="314"/>
      <c r="AM312" s="314"/>
      <c r="AN312" s="314"/>
      <c r="AO312" s="315"/>
      <c r="AP312" s="257"/>
      <c r="AQ312" s="257"/>
      <c r="AR312" s="257"/>
      <c r="AS312" s="315"/>
      <c r="AT312" s="257"/>
      <c r="AU312" s="257"/>
      <c r="AV312" s="316"/>
      <c r="AW312" s="314"/>
      <c r="AX312" s="315"/>
      <c r="AY312" s="315"/>
      <c r="AZ312" s="315"/>
      <c r="BA312" s="315"/>
      <c r="BB312" s="315"/>
      <c r="BC312" s="315"/>
      <c r="BD312" s="319"/>
      <c r="BE312" s="319"/>
      <c r="BF312" s="319"/>
      <c r="BG312" s="319"/>
      <c r="BH312" s="319"/>
      <c r="BI312" s="319"/>
      <c r="BJ312" s="319"/>
      <c r="BK312" s="315"/>
      <c r="BL312" s="316"/>
      <c r="BM312" s="314"/>
      <c r="BN312" s="319"/>
      <c r="BO312" s="315"/>
      <c r="BP312" s="314"/>
      <c r="BQ312" s="316"/>
      <c r="BR312" s="314"/>
      <c r="BS312" s="262"/>
      <c r="BT312" s="262"/>
    </row>
    <row r="313" spans="1:72" ht="45.75" customHeight="1">
      <c r="A313" s="342"/>
      <c r="B313" s="342"/>
      <c r="C313" s="342"/>
      <c r="D313" s="343"/>
      <c r="E313" s="342"/>
      <c r="F313" s="342"/>
      <c r="G313" s="344"/>
      <c r="H313" s="344"/>
      <c r="I313" s="344"/>
      <c r="J313" s="334"/>
      <c r="K313" s="335"/>
      <c r="L313" s="336"/>
      <c r="M313" s="336"/>
      <c r="N313" s="337"/>
      <c r="O313" s="337"/>
      <c r="P313" s="315"/>
      <c r="Q313" s="314"/>
      <c r="R313" s="317"/>
      <c r="S313" s="315"/>
      <c r="T313" s="315"/>
      <c r="U313" s="315"/>
      <c r="V313" s="258"/>
      <c r="W313" s="322"/>
      <c r="X313" s="318"/>
      <c r="Y313" s="315"/>
      <c r="Z313" s="318"/>
      <c r="AA313" s="314"/>
      <c r="AB313" s="336"/>
      <c r="AC313" s="314"/>
      <c r="AD313" s="316"/>
      <c r="AE313" s="315"/>
      <c r="AF313" s="315"/>
      <c r="AG313" s="315"/>
      <c r="AH313" s="315"/>
      <c r="AI313" s="377"/>
      <c r="AJ313" s="407"/>
      <c r="AK313" s="377"/>
      <c r="AL313" s="314"/>
      <c r="AM313" s="314"/>
      <c r="AN313" s="314"/>
      <c r="AO313" s="315"/>
      <c r="AP313" s="257"/>
      <c r="AQ313" s="257"/>
      <c r="AR313" s="257"/>
      <c r="AS313" s="315"/>
      <c r="AT313" s="257"/>
      <c r="AU313" s="257"/>
      <c r="AV313" s="316"/>
      <c r="AW313" s="314"/>
      <c r="AX313" s="315"/>
      <c r="AY313" s="315"/>
      <c r="AZ313" s="315"/>
      <c r="BA313" s="315"/>
      <c r="BB313" s="315"/>
      <c r="BC313" s="315"/>
      <c r="BD313" s="319"/>
      <c r="BE313" s="319"/>
      <c r="BF313" s="319"/>
      <c r="BG313" s="319"/>
      <c r="BH313" s="319"/>
      <c r="BI313" s="319"/>
      <c r="BJ313" s="319"/>
      <c r="BK313" s="315"/>
      <c r="BL313" s="316"/>
      <c r="BM313" s="314"/>
      <c r="BN313" s="319"/>
      <c r="BO313" s="315"/>
      <c r="BP313" s="314"/>
      <c r="BQ313" s="316"/>
      <c r="BR313" s="314"/>
      <c r="BS313" s="262"/>
      <c r="BT313" s="262"/>
    </row>
    <row r="314" spans="1:72" ht="45.75" customHeight="1">
      <c r="A314" s="342"/>
      <c r="B314" s="342"/>
      <c r="C314" s="342"/>
      <c r="D314" s="343"/>
      <c r="E314" s="342"/>
      <c r="F314" s="342"/>
      <c r="G314" s="344"/>
      <c r="H314" s="344"/>
      <c r="I314" s="344"/>
      <c r="J314" s="334"/>
      <c r="K314" s="335"/>
      <c r="L314" s="336"/>
      <c r="M314" s="336"/>
      <c r="N314" s="337"/>
      <c r="O314" s="337"/>
      <c r="P314" s="315"/>
      <c r="Q314" s="314"/>
      <c r="R314" s="317"/>
      <c r="S314" s="315"/>
      <c r="T314" s="315"/>
      <c r="U314" s="315"/>
      <c r="V314" s="258"/>
      <c r="W314" s="322"/>
      <c r="X314" s="318"/>
      <c r="Y314" s="315"/>
      <c r="Z314" s="318"/>
      <c r="AA314" s="314"/>
      <c r="AB314" s="336"/>
      <c r="AC314" s="314"/>
      <c r="AD314" s="316"/>
      <c r="AE314" s="315"/>
      <c r="AF314" s="315"/>
      <c r="AG314" s="315"/>
      <c r="AH314" s="315"/>
      <c r="AI314" s="377"/>
      <c r="AJ314" s="407"/>
      <c r="AK314" s="377"/>
      <c r="AL314" s="314"/>
      <c r="AM314" s="314"/>
      <c r="AN314" s="314"/>
      <c r="AO314" s="315"/>
      <c r="AP314" s="257"/>
      <c r="AQ314" s="257"/>
      <c r="AR314" s="257"/>
      <c r="AS314" s="315"/>
      <c r="AT314" s="257"/>
      <c r="AU314" s="257"/>
      <c r="AV314" s="316"/>
      <c r="AW314" s="314"/>
      <c r="AX314" s="315"/>
      <c r="AY314" s="315"/>
      <c r="AZ314" s="315"/>
      <c r="BA314" s="315"/>
      <c r="BB314" s="315"/>
      <c r="BC314" s="315"/>
      <c r="BD314" s="319"/>
      <c r="BE314" s="319"/>
      <c r="BF314" s="319"/>
      <c r="BG314" s="319"/>
      <c r="BH314" s="319"/>
      <c r="BI314" s="319"/>
      <c r="BJ314" s="319"/>
      <c r="BK314" s="315"/>
      <c r="BL314" s="316"/>
      <c r="BM314" s="314"/>
      <c r="BN314" s="319"/>
      <c r="BO314" s="315"/>
      <c r="BP314" s="314"/>
      <c r="BQ314" s="316"/>
      <c r="BR314" s="314"/>
      <c r="BS314" s="262"/>
      <c r="BT314" s="262"/>
    </row>
    <row r="315" spans="1:72" ht="45.75" customHeight="1">
      <c r="A315" s="342"/>
      <c r="B315" s="342"/>
      <c r="C315" s="342"/>
      <c r="D315" s="343"/>
      <c r="E315" s="342"/>
      <c r="F315" s="342"/>
      <c r="G315" s="344"/>
      <c r="H315" s="344"/>
      <c r="I315" s="344"/>
      <c r="J315" s="334"/>
      <c r="K315" s="335"/>
      <c r="L315" s="336"/>
      <c r="M315" s="336"/>
      <c r="N315" s="337"/>
      <c r="O315" s="337"/>
      <c r="P315" s="315"/>
      <c r="Q315" s="314"/>
      <c r="R315" s="317"/>
      <c r="S315" s="315"/>
      <c r="T315" s="315"/>
      <c r="U315" s="315"/>
      <c r="V315" s="258"/>
      <c r="W315" s="322"/>
      <c r="X315" s="318"/>
      <c r="Y315" s="315"/>
      <c r="Z315" s="318"/>
      <c r="AA315" s="314"/>
      <c r="AB315" s="336"/>
      <c r="AC315" s="314"/>
      <c r="AD315" s="316"/>
      <c r="AE315" s="315"/>
      <c r="AF315" s="315"/>
      <c r="AG315" s="315"/>
      <c r="AH315" s="315"/>
      <c r="AI315" s="377"/>
      <c r="AJ315" s="407"/>
      <c r="AK315" s="377"/>
      <c r="AL315" s="314"/>
      <c r="AM315" s="314"/>
      <c r="AN315" s="314"/>
      <c r="AO315" s="315"/>
      <c r="AP315" s="257"/>
      <c r="AQ315" s="257"/>
      <c r="AR315" s="257"/>
      <c r="AS315" s="315"/>
      <c r="AT315" s="257"/>
      <c r="AU315" s="257"/>
      <c r="AV315" s="316"/>
      <c r="AW315" s="314"/>
      <c r="AX315" s="315"/>
      <c r="AY315" s="315"/>
      <c r="AZ315" s="315"/>
      <c r="BA315" s="315"/>
      <c r="BB315" s="315"/>
      <c r="BC315" s="315"/>
      <c r="BD315" s="319"/>
      <c r="BE315" s="319"/>
      <c r="BF315" s="319"/>
      <c r="BG315" s="319"/>
      <c r="BH315" s="319"/>
      <c r="BI315" s="319"/>
      <c r="BJ315" s="319"/>
      <c r="BK315" s="315"/>
      <c r="BL315" s="316"/>
      <c r="BM315" s="314"/>
      <c r="BN315" s="319"/>
      <c r="BO315" s="315"/>
      <c r="BP315" s="314"/>
      <c r="BQ315" s="316"/>
      <c r="BR315" s="314"/>
      <c r="BS315" s="262"/>
      <c r="BT315" s="262"/>
    </row>
    <row r="316" spans="1:72" ht="45.75" customHeight="1">
      <c r="A316" s="342"/>
      <c r="B316" s="342"/>
      <c r="C316" s="342"/>
      <c r="D316" s="343"/>
      <c r="E316" s="342"/>
      <c r="F316" s="342"/>
      <c r="G316" s="344"/>
      <c r="H316" s="344"/>
      <c r="I316" s="344"/>
      <c r="J316" s="334"/>
      <c r="K316" s="335"/>
      <c r="L316" s="336"/>
      <c r="M316" s="336"/>
      <c r="N316" s="337"/>
      <c r="O316" s="337"/>
      <c r="P316" s="315"/>
      <c r="Q316" s="314"/>
      <c r="R316" s="317"/>
      <c r="S316" s="315"/>
      <c r="T316" s="315"/>
      <c r="U316" s="315"/>
      <c r="V316" s="258"/>
      <c r="W316" s="322"/>
      <c r="X316" s="318"/>
      <c r="Y316" s="315"/>
      <c r="Z316" s="318"/>
      <c r="AA316" s="314"/>
      <c r="AB316" s="336"/>
      <c r="AC316" s="314"/>
      <c r="AD316" s="316"/>
      <c r="AE316" s="315"/>
      <c r="AF316" s="315"/>
      <c r="AG316" s="315"/>
      <c r="AH316" s="315"/>
      <c r="AI316" s="377"/>
      <c r="AJ316" s="407"/>
      <c r="AK316" s="377"/>
      <c r="AL316" s="314"/>
      <c r="AM316" s="314"/>
      <c r="AN316" s="314"/>
      <c r="AO316" s="315"/>
      <c r="AP316" s="257"/>
      <c r="AQ316" s="257"/>
      <c r="AR316" s="257"/>
      <c r="AS316" s="315"/>
      <c r="AT316" s="257"/>
      <c r="AU316" s="257"/>
      <c r="AV316" s="316"/>
      <c r="AW316" s="314"/>
      <c r="AX316" s="315"/>
      <c r="AY316" s="315"/>
      <c r="AZ316" s="315"/>
      <c r="BA316" s="315"/>
      <c r="BB316" s="315"/>
      <c r="BC316" s="315"/>
      <c r="BD316" s="319"/>
      <c r="BE316" s="319"/>
      <c r="BF316" s="319"/>
      <c r="BG316" s="319"/>
      <c r="BH316" s="319"/>
      <c r="BI316" s="319"/>
      <c r="BJ316" s="319"/>
      <c r="BK316" s="315"/>
      <c r="BL316" s="316"/>
      <c r="BM316" s="314"/>
      <c r="BN316" s="319"/>
      <c r="BO316" s="315"/>
      <c r="BP316" s="314"/>
      <c r="BQ316" s="316"/>
      <c r="BR316" s="314"/>
      <c r="BS316" s="262"/>
      <c r="BT316" s="262"/>
    </row>
    <row r="317" spans="1:72" ht="45.75" customHeight="1">
      <c r="A317" s="342"/>
      <c r="B317" s="342"/>
      <c r="C317" s="342"/>
      <c r="D317" s="343"/>
      <c r="E317" s="342"/>
      <c r="F317" s="342"/>
      <c r="G317" s="344"/>
      <c r="H317" s="344"/>
      <c r="I317" s="344"/>
      <c r="J317" s="334"/>
      <c r="K317" s="335"/>
      <c r="L317" s="336"/>
      <c r="M317" s="336"/>
      <c r="N317" s="337"/>
      <c r="O317" s="337"/>
      <c r="P317" s="315"/>
      <c r="Q317" s="314"/>
      <c r="R317" s="317"/>
      <c r="S317" s="315"/>
      <c r="T317" s="315"/>
      <c r="U317" s="315"/>
      <c r="V317" s="258"/>
      <c r="W317" s="322"/>
      <c r="X317" s="318"/>
      <c r="Y317" s="315"/>
      <c r="Z317" s="318"/>
      <c r="AA317" s="314"/>
      <c r="AB317" s="336"/>
      <c r="AC317" s="314"/>
      <c r="AD317" s="316"/>
      <c r="AE317" s="315"/>
      <c r="AF317" s="315"/>
      <c r="AG317" s="315"/>
      <c r="AH317" s="315"/>
      <c r="AI317" s="377"/>
      <c r="AJ317" s="407"/>
      <c r="AK317" s="377"/>
      <c r="AL317" s="314"/>
      <c r="AM317" s="314"/>
      <c r="AN317" s="314"/>
      <c r="AO317" s="315"/>
      <c r="AP317" s="257"/>
      <c r="AQ317" s="257"/>
      <c r="AR317" s="257"/>
      <c r="AS317" s="315"/>
      <c r="AT317" s="257"/>
      <c r="AU317" s="257"/>
      <c r="AV317" s="316"/>
      <c r="AW317" s="314"/>
      <c r="AX317" s="315"/>
      <c r="AY317" s="315"/>
      <c r="AZ317" s="315"/>
      <c r="BA317" s="315"/>
      <c r="BB317" s="315"/>
      <c r="BC317" s="315"/>
      <c r="BD317" s="319"/>
      <c r="BE317" s="319"/>
      <c r="BF317" s="319"/>
      <c r="BG317" s="319"/>
      <c r="BH317" s="319"/>
      <c r="BI317" s="319"/>
      <c r="BJ317" s="319"/>
      <c r="BK317" s="315"/>
      <c r="BL317" s="316"/>
      <c r="BM317" s="314"/>
      <c r="BN317" s="319"/>
      <c r="BO317" s="315"/>
      <c r="BP317" s="314"/>
      <c r="BQ317" s="316"/>
      <c r="BR317" s="314"/>
      <c r="BS317" s="262"/>
      <c r="BT317" s="262"/>
    </row>
    <row r="318" spans="1:72" ht="45.75" customHeight="1">
      <c r="A318" s="342"/>
      <c r="B318" s="342"/>
      <c r="C318" s="342"/>
      <c r="D318" s="343"/>
      <c r="E318" s="342"/>
      <c r="F318" s="342"/>
      <c r="G318" s="344"/>
      <c r="H318" s="344"/>
      <c r="I318" s="344"/>
      <c r="J318" s="334"/>
      <c r="K318" s="335"/>
      <c r="L318" s="336"/>
      <c r="M318" s="336"/>
      <c r="N318" s="337"/>
      <c r="O318" s="337"/>
      <c r="P318" s="315"/>
      <c r="Q318" s="314"/>
      <c r="R318" s="317"/>
      <c r="S318" s="315"/>
      <c r="T318" s="315"/>
      <c r="U318" s="315"/>
      <c r="V318" s="258"/>
      <c r="W318" s="322"/>
      <c r="X318" s="318"/>
      <c r="Y318" s="315"/>
      <c r="Z318" s="318"/>
      <c r="AA318" s="314"/>
      <c r="AB318" s="336"/>
      <c r="AC318" s="314"/>
      <c r="AD318" s="316"/>
      <c r="AE318" s="315"/>
      <c r="AF318" s="315"/>
      <c r="AG318" s="315"/>
      <c r="AH318" s="315"/>
      <c r="AI318" s="377"/>
      <c r="AJ318" s="407"/>
      <c r="AK318" s="377"/>
      <c r="AL318" s="314"/>
      <c r="AM318" s="314"/>
      <c r="AN318" s="314"/>
      <c r="AO318" s="315"/>
      <c r="AP318" s="257"/>
      <c r="AQ318" s="257"/>
      <c r="AR318" s="257"/>
      <c r="AS318" s="315"/>
      <c r="AT318" s="257"/>
      <c r="AU318" s="257"/>
      <c r="AV318" s="316"/>
      <c r="AW318" s="314"/>
      <c r="AX318" s="315"/>
      <c r="AY318" s="315"/>
      <c r="AZ318" s="315"/>
      <c r="BA318" s="315"/>
      <c r="BB318" s="315"/>
      <c r="BC318" s="315"/>
      <c r="BD318" s="319"/>
      <c r="BE318" s="319"/>
      <c r="BF318" s="319"/>
      <c r="BG318" s="319"/>
      <c r="BH318" s="319"/>
      <c r="BI318" s="319"/>
      <c r="BJ318" s="319"/>
      <c r="BK318" s="315"/>
      <c r="BL318" s="316"/>
      <c r="BM318" s="314"/>
      <c r="BN318" s="319"/>
      <c r="BO318" s="315"/>
      <c r="BP318" s="314"/>
      <c r="BQ318" s="316"/>
      <c r="BR318" s="314"/>
      <c r="BS318" s="262"/>
      <c r="BT318" s="262"/>
    </row>
    <row r="319" spans="1:72" ht="45.75" customHeight="1">
      <c r="A319" s="342"/>
      <c r="B319" s="342"/>
      <c r="C319" s="342"/>
      <c r="D319" s="343"/>
      <c r="E319" s="342"/>
      <c r="F319" s="342"/>
      <c r="G319" s="344"/>
      <c r="H319" s="344"/>
      <c r="I319" s="344"/>
      <c r="J319" s="334"/>
      <c r="K319" s="335"/>
      <c r="L319" s="336"/>
      <c r="M319" s="336"/>
      <c r="N319" s="337"/>
      <c r="O319" s="337"/>
      <c r="P319" s="315"/>
      <c r="Q319" s="314"/>
      <c r="R319" s="317"/>
      <c r="S319" s="315"/>
      <c r="T319" s="315"/>
      <c r="U319" s="315"/>
      <c r="V319" s="258"/>
      <c r="W319" s="322"/>
      <c r="X319" s="318"/>
      <c r="Y319" s="315"/>
      <c r="Z319" s="318"/>
      <c r="AA319" s="314"/>
      <c r="AB319" s="336"/>
      <c r="AC319" s="314"/>
      <c r="AD319" s="316"/>
      <c r="AE319" s="315"/>
      <c r="AF319" s="315"/>
      <c r="AG319" s="315"/>
      <c r="AH319" s="315"/>
      <c r="AI319" s="377"/>
      <c r="AJ319" s="407"/>
      <c r="AK319" s="377"/>
      <c r="AL319" s="314"/>
      <c r="AM319" s="314"/>
      <c r="AN319" s="314"/>
      <c r="AO319" s="315"/>
      <c r="AP319" s="257"/>
      <c r="AQ319" s="257"/>
      <c r="AR319" s="257"/>
      <c r="AS319" s="315"/>
      <c r="AT319" s="257"/>
      <c r="AU319" s="257"/>
      <c r="AV319" s="316"/>
      <c r="AW319" s="314"/>
      <c r="AX319" s="315"/>
      <c r="AY319" s="315"/>
      <c r="AZ319" s="315"/>
      <c r="BA319" s="315"/>
      <c r="BB319" s="315"/>
      <c r="BC319" s="315"/>
      <c r="BD319" s="319"/>
      <c r="BE319" s="319"/>
      <c r="BF319" s="319"/>
      <c r="BG319" s="319"/>
      <c r="BH319" s="319"/>
      <c r="BI319" s="319"/>
      <c r="BJ319" s="319"/>
      <c r="BK319" s="315"/>
      <c r="BL319" s="316"/>
      <c r="BM319" s="314"/>
      <c r="BN319" s="319"/>
      <c r="BO319" s="315"/>
      <c r="BP319" s="314"/>
      <c r="BQ319" s="316"/>
      <c r="BR319" s="314"/>
      <c r="BS319" s="262"/>
      <c r="BT319" s="262"/>
    </row>
    <row r="320" spans="1:72" ht="45.75" customHeight="1">
      <c r="A320" s="342"/>
      <c r="B320" s="342"/>
      <c r="C320" s="342"/>
      <c r="D320" s="343"/>
      <c r="E320" s="342"/>
      <c r="F320" s="342"/>
      <c r="G320" s="344"/>
      <c r="H320" s="344"/>
      <c r="I320" s="344"/>
      <c r="J320" s="334"/>
      <c r="K320" s="335"/>
      <c r="L320" s="336"/>
      <c r="M320" s="336"/>
      <c r="N320" s="337"/>
      <c r="O320" s="337"/>
      <c r="P320" s="315"/>
      <c r="Q320" s="314"/>
      <c r="R320" s="317"/>
      <c r="S320" s="315"/>
      <c r="T320" s="315"/>
      <c r="U320" s="315"/>
      <c r="V320" s="258"/>
      <c r="W320" s="322"/>
      <c r="X320" s="318"/>
      <c r="Y320" s="315"/>
      <c r="Z320" s="318"/>
      <c r="AA320" s="314"/>
      <c r="AB320" s="336"/>
      <c r="AC320" s="314"/>
      <c r="AD320" s="316"/>
      <c r="AE320" s="315"/>
      <c r="AF320" s="315"/>
      <c r="AG320" s="315"/>
      <c r="AH320" s="315"/>
      <c r="AI320" s="377"/>
      <c r="AJ320" s="407"/>
      <c r="AK320" s="377"/>
      <c r="AL320" s="314"/>
      <c r="AM320" s="314"/>
      <c r="AN320" s="314"/>
      <c r="AO320" s="315"/>
      <c r="AP320" s="257"/>
      <c r="AQ320" s="257"/>
      <c r="AR320" s="257"/>
      <c r="AS320" s="315"/>
      <c r="AT320" s="257"/>
      <c r="AU320" s="257"/>
      <c r="AV320" s="316"/>
      <c r="AW320" s="314"/>
      <c r="AX320" s="315"/>
      <c r="AY320" s="315"/>
      <c r="AZ320" s="315"/>
      <c r="BA320" s="315"/>
      <c r="BB320" s="315"/>
      <c r="BC320" s="315"/>
      <c r="BD320" s="319"/>
      <c r="BE320" s="319"/>
      <c r="BF320" s="319"/>
      <c r="BG320" s="319"/>
      <c r="BH320" s="319"/>
      <c r="BI320" s="319"/>
      <c r="BJ320" s="319"/>
      <c r="BK320" s="315"/>
      <c r="BL320" s="316"/>
      <c r="BM320" s="314"/>
      <c r="BN320" s="319"/>
      <c r="BO320" s="315"/>
      <c r="BP320" s="314"/>
      <c r="BQ320" s="316"/>
      <c r="BR320" s="314"/>
      <c r="BS320" s="262"/>
      <c r="BT320" s="262"/>
    </row>
    <row r="321" spans="1:72" ht="45.75" customHeight="1">
      <c r="A321" s="342"/>
      <c r="B321" s="342"/>
      <c r="C321" s="342"/>
      <c r="D321" s="343"/>
      <c r="E321" s="342"/>
      <c r="F321" s="342"/>
      <c r="G321" s="344"/>
      <c r="H321" s="344"/>
      <c r="I321" s="344"/>
      <c r="J321" s="334"/>
      <c r="K321" s="335"/>
      <c r="L321" s="336"/>
      <c r="M321" s="336"/>
      <c r="N321" s="337"/>
      <c r="O321" s="337"/>
      <c r="P321" s="315"/>
      <c r="Q321" s="314"/>
      <c r="R321" s="317"/>
      <c r="S321" s="315"/>
      <c r="T321" s="315"/>
      <c r="U321" s="315"/>
      <c r="V321" s="258"/>
      <c r="W321" s="322"/>
      <c r="X321" s="318"/>
      <c r="Y321" s="315"/>
      <c r="Z321" s="318"/>
      <c r="AA321" s="314"/>
      <c r="AB321" s="336"/>
      <c r="AC321" s="314"/>
      <c r="AD321" s="316"/>
      <c r="AE321" s="315"/>
      <c r="AF321" s="315"/>
      <c r="AG321" s="315"/>
      <c r="AH321" s="315"/>
      <c r="AI321" s="377"/>
      <c r="AJ321" s="407"/>
      <c r="AK321" s="377"/>
      <c r="AL321" s="314"/>
      <c r="AM321" s="314"/>
      <c r="AN321" s="314"/>
      <c r="AO321" s="315"/>
      <c r="AP321" s="257"/>
      <c r="AQ321" s="257"/>
      <c r="AR321" s="257"/>
      <c r="AS321" s="315"/>
      <c r="AT321" s="257"/>
      <c r="AU321" s="257"/>
      <c r="AV321" s="316"/>
      <c r="AW321" s="314"/>
      <c r="AX321" s="315"/>
      <c r="AY321" s="315"/>
      <c r="AZ321" s="315"/>
      <c r="BA321" s="315"/>
      <c r="BB321" s="315"/>
      <c r="BC321" s="315"/>
      <c r="BD321" s="319"/>
      <c r="BE321" s="319"/>
      <c r="BF321" s="319"/>
      <c r="BG321" s="319"/>
      <c r="BH321" s="319"/>
      <c r="BI321" s="319"/>
      <c r="BJ321" s="319"/>
      <c r="BK321" s="315"/>
      <c r="BL321" s="316"/>
      <c r="BM321" s="314"/>
      <c r="BN321" s="319"/>
      <c r="BO321" s="315"/>
      <c r="BP321" s="314"/>
      <c r="BQ321" s="316"/>
      <c r="BR321" s="314"/>
      <c r="BS321" s="262"/>
      <c r="BT321" s="262"/>
    </row>
    <row r="322" spans="1:72" ht="45.75" customHeight="1">
      <c r="A322" s="342"/>
      <c r="B322" s="342"/>
      <c r="C322" s="342"/>
      <c r="D322" s="343"/>
      <c r="E322" s="342"/>
      <c r="F322" s="342"/>
      <c r="G322" s="344"/>
      <c r="H322" s="344"/>
      <c r="I322" s="344"/>
      <c r="J322" s="334"/>
      <c r="K322" s="335"/>
      <c r="L322" s="336"/>
      <c r="M322" s="336"/>
      <c r="N322" s="337"/>
      <c r="O322" s="337"/>
      <c r="P322" s="315"/>
      <c r="Q322" s="314"/>
      <c r="R322" s="317"/>
      <c r="S322" s="315"/>
      <c r="T322" s="315"/>
      <c r="U322" s="315"/>
      <c r="V322" s="258"/>
      <c r="W322" s="322"/>
      <c r="X322" s="318"/>
      <c r="Y322" s="315"/>
      <c r="Z322" s="318"/>
      <c r="AA322" s="314"/>
      <c r="AB322" s="336"/>
      <c r="AC322" s="314"/>
      <c r="AD322" s="316"/>
      <c r="AE322" s="315"/>
      <c r="AF322" s="315"/>
      <c r="AG322" s="315"/>
      <c r="AH322" s="315"/>
      <c r="AI322" s="377"/>
      <c r="AJ322" s="407"/>
      <c r="AK322" s="377"/>
      <c r="AL322" s="314"/>
      <c r="AM322" s="314"/>
      <c r="AN322" s="314"/>
      <c r="AO322" s="315"/>
      <c r="AP322" s="257"/>
      <c r="AQ322" s="257"/>
      <c r="AR322" s="257"/>
      <c r="AS322" s="315"/>
      <c r="AT322" s="257"/>
      <c r="AU322" s="257"/>
      <c r="AV322" s="316"/>
      <c r="AW322" s="314"/>
      <c r="AX322" s="315"/>
      <c r="AY322" s="315"/>
      <c r="AZ322" s="315"/>
      <c r="BA322" s="315"/>
      <c r="BB322" s="315"/>
      <c r="BC322" s="315"/>
      <c r="BD322" s="319"/>
      <c r="BE322" s="319"/>
      <c r="BF322" s="319"/>
      <c r="BG322" s="319"/>
      <c r="BH322" s="319"/>
      <c r="BI322" s="319"/>
      <c r="BJ322" s="319"/>
      <c r="BK322" s="315"/>
      <c r="BL322" s="316"/>
      <c r="BM322" s="314"/>
      <c r="BN322" s="319"/>
      <c r="BO322" s="315"/>
      <c r="BP322" s="314"/>
      <c r="BQ322" s="316"/>
      <c r="BR322" s="314"/>
      <c r="BS322" s="262"/>
      <c r="BT322" s="262"/>
    </row>
    <row r="323" spans="1:72" ht="45.75" customHeight="1">
      <c r="A323" s="342"/>
      <c r="B323" s="342"/>
      <c r="C323" s="342"/>
      <c r="D323" s="343"/>
      <c r="E323" s="342"/>
      <c r="F323" s="342"/>
      <c r="G323" s="344"/>
      <c r="H323" s="344"/>
      <c r="I323" s="344"/>
      <c r="J323" s="334"/>
      <c r="K323" s="335"/>
      <c r="L323" s="336"/>
      <c r="M323" s="336"/>
      <c r="N323" s="337"/>
      <c r="O323" s="337"/>
      <c r="P323" s="315"/>
      <c r="Q323" s="314"/>
      <c r="R323" s="317"/>
      <c r="S323" s="315"/>
      <c r="T323" s="315"/>
      <c r="U323" s="315"/>
      <c r="V323" s="258"/>
      <c r="W323" s="322"/>
      <c r="X323" s="318"/>
      <c r="Y323" s="315"/>
      <c r="Z323" s="318"/>
      <c r="AA323" s="314"/>
      <c r="AB323" s="336"/>
      <c r="AC323" s="314"/>
      <c r="AD323" s="316"/>
      <c r="AE323" s="315"/>
      <c r="AF323" s="315"/>
      <c r="AG323" s="315"/>
      <c r="AH323" s="315"/>
      <c r="AI323" s="377"/>
      <c r="AJ323" s="407"/>
      <c r="AK323" s="377"/>
      <c r="AL323" s="314"/>
      <c r="AM323" s="314"/>
      <c r="AN323" s="314"/>
      <c r="AO323" s="315"/>
      <c r="AP323" s="257"/>
      <c r="AQ323" s="257"/>
      <c r="AR323" s="257"/>
      <c r="AS323" s="315"/>
      <c r="AT323" s="257"/>
      <c r="AU323" s="257"/>
      <c r="AV323" s="316"/>
      <c r="AW323" s="314"/>
      <c r="AX323" s="315"/>
      <c r="AY323" s="315"/>
      <c r="AZ323" s="315"/>
      <c r="BA323" s="315"/>
      <c r="BB323" s="315"/>
      <c r="BC323" s="315"/>
      <c r="BD323" s="319"/>
      <c r="BE323" s="319"/>
      <c r="BF323" s="319"/>
      <c r="BG323" s="319"/>
      <c r="BH323" s="319"/>
      <c r="BI323" s="319"/>
      <c r="BJ323" s="319"/>
      <c r="BK323" s="315"/>
      <c r="BL323" s="316"/>
      <c r="BM323" s="314"/>
      <c r="BN323" s="319"/>
      <c r="BO323" s="315"/>
      <c r="BP323" s="314"/>
      <c r="BQ323" s="316"/>
      <c r="BR323" s="314"/>
      <c r="BS323" s="262"/>
      <c r="BT323" s="262"/>
    </row>
    <row r="324" spans="1:72" ht="45.75" customHeight="1">
      <c r="A324" s="342"/>
      <c r="B324" s="342"/>
      <c r="C324" s="342"/>
      <c r="D324" s="343"/>
      <c r="E324" s="342"/>
      <c r="F324" s="342"/>
      <c r="G324" s="344"/>
      <c r="H324" s="344"/>
      <c r="I324" s="344"/>
      <c r="J324" s="334"/>
      <c r="K324" s="335"/>
      <c r="L324" s="336"/>
      <c r="M324" s="336"/>
      <c r="N324" s="337"/>
      <c r="O324" s="337"/>
      <c r="P324" s="315"/>
      <c r="Q324" s="314"/>
      <c r="R324" s="317"/>
      <c r="S324" s="315"/>
      <c r="T324" s="315"/>
      <c r="U324" s="315"/>
      <c r="V324" s="258"/>
      <c r="W324" s="322"/>
      <c r="X324" s="318"/>
      <c r="Y324" s="315"/>
      <c r="Z324" s="318"/>
      <c r="AA324" s="314"/>
      <c r="AB324" s="336"/>
      <c r="AC324" s="314"/>
      <c r="AD324" s="316"/>
      <c r="AE324" s="315"/>
      <c r="AF324" s="315"/>
      <c r="AG324" s="315"/>
      <c r="AH324" s="315"/>
      <c r="AI324" s="377"/>
      <c r="AJ324" s="407"/>
      <c r="AK324" s="377"/>
      <c r="AL324" s="314"/>
      <c r="AM324" s="314"/>
      <c r="AN324" s="314"/>
      <c r="AO324" s="315"/>
      <c r="AP324" s="257"/>
      <c r="AQ324" s="257"/>
      <c r="AR324" s="257"/>
      <c r="AS324" s="315"/>
      <c r="AT324" s="257"/>
      <c r="AU324" s="257"/>
      <c r="AV324" s="316"/>
      <c r="AW324" s="314"/>
      <c r="AX324" s="315"/>
      <c r="AY324" s="315"/>
      <c r="AZ324" s="315"/>
      <c r="BA324" s="315"/>
      <c r="BB324" s="315"/>
      <c r="BC324" s="315"/>
      <c r="BD324" s="319"/>
      <c r="BE324" s="319"/>
      <c r="BF324" s="319"/>
      <c r="BG324" s="319"/>
      <c r="BH324" s="319"/>
      <c r="BI324" s="319"/>
      <c r="BJ324" s="319"/>
      <c r="BK324" s="315"/>
      <c r="BL324" s="316"/>
      <c r="BM324" s="314"/>
      <c r="BN324" s="319"/>
      <c r="BO324" s="315"/>
      <c r="BP324" s="314"/>
      <c r="BQ324" s="316"/>
      <c r="BR324" s="314"/>
      <c r="BS324" s="262"/>
      <c r="BT324" s="262"/>
    </row>
    <row r="325" spans="1:72" ht="45.75" customHeight="1">
      <c r="A325" s="342"/>
      <c r="B325" s="342"/>
      <c r="C325" s="342"/>
      <c r="D325" s="343"/>
      <c r="E325" s="342"/>
      <c r="F325" s="342"/>
      <c r="G325" s="344"/>
      <c r="H325" s="344"/>
      <c r="I325" s="344"/>
      <c r="J325" s="334"/>
      <c r="K325" s="335"/>
      <c r="L325" s="336"/>
      <c r="M325" s="336"/>
      <c r="N325" s="337"/>
      <c r="O325" s="337"/>
      <c r="P325" s="315"/>
      <c r="Q325" s="314"/>
      <c r="R325" s="317"/>
      <c r="S325" s="315"/>
      <c r="T325" s="315"/>
      <c r="U325" s="315"/>
      <c r="V325" s="258"/>
      <c r="W325" s="322"/>
      <c r="X325" s="318"/>
      <c r="Y325" s="315"/>
      <c r="Z325" s="318"/>
      <c r="AA325" s="314"/>
      <c r="AB325" s="336"/>
      <c r="AC325" s="314"/>
      <c r="AD325" s="316"/>
      <c r="AE325" s="315"/>
      <c r="AF325" s="315"/>
      <c r="AG325" s="315"/>
      <c r="AH325" s="315"/>
      <c r="AI325" s="377"/>
      <c r="AJ325" s="407"/>
      <c r="AK325" s="377"/>
      <c r="AL325" s="314"/>
      <c r="AM325" s="314"/>
      <c r="AN325" s="314"/>
      <c r="AO325" s="315"/>
      <c r="AP325" s="257"/>
      <c r="AQ325" s="257"/>
      <c r="AR325" s="257"/>
      <c r="AS325" s="315"/>
      <c r="AT325" s="257"/>
      <c r="AU325" s="257"/>
      <c r="AV325" s="316"/>
      <c r="AW325" s="314"/>
      <c r="AX325" s="315"/>
      <c r="AY325" s="315"/>
      <c r="AZ325" s="315"/>
      <c r="BA325" s="315"/>
      <c r="BB325" s="315"/>
      <c r="BC325" s="315"/>
      <c r="BD325" s="319"/>
      <c r="BE325" s="319"/>
      <c r="BF325" s="319"/>
      <c r="BG325" s="319"/>
      <c r="BH325" s="319"/>
      <c r="BI325" s="319"/>
      <c r="BJ325" s="319"/>
      <c r="BK325" s="315"/>
      <c r="BL325" s="316"/>
      <c r="BM325" s="314"/>
      <c r="BN325" s="319"/>
      <c r="BO325" s="315"/>
      <c r="BP325" s="314"/>
      <c r="BQ325" s="316"/>
      <c r="BR325" s="314"/>
      <c r="BS325" s="262"/>
      <c r="BT325" s="262"/>
    </row>
    <row r="326" spans="1:72" ht="45.75" customHeight="1">
      <c r="A326" s="342"/>
      <c r="B326" s="342"/>
      <c r="C326" s="342"/>
      <c r="D326" s="343"/>
      <c r="E326" s="342"/>
      <c r="F326" s="342"/>
      <c r="G326" s="344"/>
      <c r="H326" s="344"/>
      <c r="I326" s="344"/>
      <c r="J326" s="334"/>
      <c r="K326" s="335"/>
      <c r="L326" s="336"/>
      <c r="M326" s="336"/>
      <c r="N326" s="337"/>
      <c r="O326" s="337"/>
      <c r="P326" s="315"/>
      <c r="Q326" s="314"/>
      <c r="R326" s="317"/>
      <c r="S326" s="315"/>
      <c r="T326" s="315"/>
      <c r="U326" s="315"/>
      <c r="V326" s="258"/>
      <c r="W326" s="322"/>
      <c r="X326" s="318"/>
      <c r="Y326" s="315"/>
      <c r="Z326" s="318"/>
      <c r="AA326" s="314"/>
      <c r="AB326" s="336"/>
      <c r="AC326" s="314"/>
      <c r="AD326" s="316"/>
      <c r="AE326" s="315"/>
      <c r="AF326" s="315"/>
      <c r="AG326" s="315"/>
      <c r="AH326" s="315"/>
      <c r="AI326" s="377"/>
      <c r="AJ326" s="407"/>
      <c r="AK326" s="377"/>
      <c r="AL326" s="314"/>
      <c r="AM326" s="314"/>
      <c r="AN326" s="314"/>
      <c r="AO326" s="315"/>
      <c r="AP326" s="257"/>
      <c r="AQ326" s="257"/>
      <c r="AR326" s="257"/>
      <c r="AS326" s="315"/>
      <c r="AT326" s="257"/>
      <c r="AU326" s="257"/>
      <c r="AV326" s="316"/>
      <c r="AW326" s="314"/>
      <c r="AX326" s="315"/>
      <c r="AY326" s="315"/>
      <c r="AZ326" s="315"/>
      <c r="BA326" s="315"/>
      <c r="BB326" s="315"/>
      <c r="BC326" s="315"/>
      <c r="BD326" s="319"/>
      <c r="BE326" s="319"/>
      <c r="BF326" s="319"/>
      <c r="BG326" s="319"/>
      <c r="BH326" s="319"/>
      <c r="BI326" s="319"/>
      <c r="BJ326" s="319"/>
      <c r="BK326" s="315"/>
      <c r="BL326" s="316"/>
      <c r="BM326" s="314"/>
      <c r="BN326" s="319"/>
      <c r="BO326" s="315"/>
      <c r="BP326" s="314"/>
      <c r="BQ326" s="316"/>
      <c r="BR326" s="314"/>
      <c r="BS326" s="262"/>
      <c r="BT326" s="262"/>
    </row>
    <row r="327" spans="1:72" ht="45.75" customHeight="1">
      <c r="A327" s="342"/>
      <c r="B327" s="342"/>
      <c r="C327" s="342"/>
      <c r="D327" s="343"/>
      <c r="E327" s="342"/>
      <c r="F327" s="342"/>
      <c r="G327" s="344"/>
      <c r="H327" s="344"/>
      <c r="I327" s="344"/>
      <c r="J327" s="334"/>
      <c r="K327" s="335"/>
      <c r="L327" s="336"/>
      <c r="M327" s="336"/>
      <c r="N327" s="337"/>
      <c r="O327" s="337"/>
      <c r="P327" s="315"/>
      <c r="Q327" s="314"/>
      <c r="R327" s="317"/>
      <c r="S327" s="315"/>
      <c r="T327" s="315"/>
      <c r="U327" s="315"/>
      <c r="V327" s="258"/>
      <c r="W327" s="322"/>
      <c r="X327" s="318"/>
      <c r="Y327" s="315"/>
      <c r="Z327" s="318"/>
      <c r="AA327" s="314"/>
      <c r="AB327" s="336"/>
      <c r="AC327" s="314"/>
      <c r="AD327" s="316"/>
      <c r="AE327" s="315"/>
      <c r="AF327" s="315"/>
      <c r="AG327" s="315"/>
      <c r="AH327" s="315"/>
      <c r="AI327" s="377"/>
      <c r="AJ327" s="407"/>
      <c r="AK327" s="377"/>
      <c r="AL327" s="314"/>
      <c r="AM327" s="314"/>
      <c r="AN327" s="314"/>
      <c r="AO327" s="315"/>
      <c r="AP327" s="257"/>
      <c r="AQ327" s="257"/>
      <c r="AR327" s="257"/>
      <c r="AS327" s="315"/>
      <c r="AT327" s="257"/>
      <c r="AU327" s="257"/>
      <c r="AV327" s="316"/>
      <c r="AW327" s="314"/>
      <c r="AX327" s="315"/>
      <c r="AY327" s="315"/>
      <c r="AZ327" s="315"/>
      <c r="BA327" s="315"/>
      <c r="BB327" s="315"/>
      <c r="BC327" s="315"/>
      <c r="BD327" s="319"/>
      <c r="BE327" s="319"/>
      <c r="BF327" s="319"/>
      <c r="BG327" s="319"/>
      <c r="BH327" s="319"/>
      <c r="BI327" s="319"/>
      <c r="BJ327" s="319"/>
      <c r="BK327" s="315"/>
      <c r="BL327" s="316"/>
      <c r="BM327" s="314"/>
      <c r="BN327" s="319"/>
      <c r="BO327" s="315"/>
      <c r="BP327" s="314"/>
      <c r="BQ327" s="316"/>
      <c r="BR327" s="314"/>
      <c r="BS327" s="262"/>
      <c r="BT327" s="262"/>
    </row>
    <row r="328" spans="1:72" ht="45.75" customHeight="1">
      <c r="A328" s="342"/>
      <c r="B328" s="342"/>
      <c r="C328" s="342"/>
      <c r="D328" s="343"/>
      <c r="E328" s="342"/>
      <c r="F328" s="342"/>
      <c r="G328" s="344"/>
      <c r="H328" s="344"/>
      <c r="I328" s="344"/>
      <c r="J328" s="334"/>
      <c r="K328" s="335"/>
      <c r="L328" s="336"/>
      <c r="M328" s="336"/>
      <c r="N328" s="337"/>
      <c r="O328" s="337"/>
      <c r="P328" s="315"/>
      <c r="Q328" s="314"/>
      <c r="R328" s="317"/>
      <c r="S328" s="315"/>
      <c r="T328" s="315"/>
      <c r="U328" s="315"/>
      <c r="V328" s="258"/>
      <c r="W328" s="322"/>
      <c r="X328" s="318"/>
      <c r="Y328" s="315"/>
      <c r="Z328" s="318"/>
      <c r="AA328" s="314"/>
      <c r="AB328" s="336"/>
      <c r="AC328" s="314"/>
      <c r="AD328" s="316"/>
      <c r="AE328" s="315"/>
      <c r="AF328" s="315"/>
      <c r="AG328" s="315"/>
      <c r="AH328" s="315"/>
      <c r="AI328" s="377"/>
      <c r="AJ328" s="407"/>
      <c r="AK328" s="377"/>
      <c r="AL328" s="314"/>
      <c r="AM328" s="314"/>
      <c r="AN328" s="314"/>
      <c r="AO328" s="315"/>
      <c r="AP328" s="257"/>
      <c r="AQ328" s="257"/>
      <c r="AR328" s="257"/>
      <c r="AS328" s="315"/>
      <c r="AT328" s="257"/>
      <c r="AU328" s="257"/>
      <c r="AV328" s="316"/>
      <c r="AW328" s="314"/>
      <c r="AX328" s="315"/>
      <c r="AY328" s="315"/>
      <c r="AZ328" s="315"/>
      <c r="BA328" s="315"/>
      <c r="BB328" s="315"/>
      <c r="BC328" s="315"/>
      <c r="BD328" s="319"/>
      <c r="BE328" s="319"/>
      <c r="BF328" s="319"/>
      <c r="BG328" s="319"/>
      <c r="BH328" s="319"/>
      <c r="BI328" s="319"/>
      <c r="BJ328" s="319"/>
      <c r="BK328" s="315"/>
      <c r="BL328" s="316"/>
      <c r="BM328" s="314"/>
      <c r="BN328" s="319"/>
      <c r="BO328" s="315"/>
      <c r="BP328" s="314"/>
      <c r="BQ328" s="316"/>
      <c r="BR328" s="314"/>
      <c r="BS328" s="262"/>
      <c r="BT328" s="262"/>
    </row>
    <row r="329" spans="1:72" ht="45.75" customHeight="1">
      <c r="A329" s="342"/>
      <c r="B329" s="342"/>
      <c r="C329" s="342"/>
      <c r="D329" s="343"/>
      <c r="E329" s="342"/>
      <c r="F329" s="342"/>
      <c r="G329" s="344"/>
      <c r="H329" s="344"/>
      <c r="I329" s="344"/>
      <c r="J329" s="334"/>
      <c r="K329" s="335"/>
      <c r="L329" s="336"/>
      <c r="M329" s="336"/>
      <c r="N329" s="337"/>
      <c r="O329" s="337"/>
      <c r="P329" s="315"/>
      <c r="Q329" s="314"/>
      <c r="R329" s="317"/>
      <c r="S329" s="315"/>
      <c r="T329" s="315"/>
      <c r="U329" s="315"/>
      <c r="V329" s="258"/>
      <c r="W329" s="322"/>
      <c r="X329" s="318"/>
      <c r="Y329" s="315"/>
      <c r="Z329" s="318"/>
      <c r="AA329" s="314"/>
      <c r="AB329" s="336"/>
      <c r="AC329" s="314"/>
      <c r="AD329" s="316"/>
      <c r="AE329" s="315"/>
      <c r="AF329" s="315"/>
      <c r="AG329" s="315"/>
      <c r="AH329" s="315"/>
      <c r="AI329" s="377"/>
      <c r="AJ329" s="407"/>
      <c r="AK329" s="377"/>
      <c r="AL329" s="314"/>
      <c r="AM329" s="314"/>
      <c r="AN329" s="314"/>
      <c r="AO329" s="315"/>
      <c r="AP329" s="257"/>
      <c r="AQ329" s="257"/>
      <c r="AR329" s="257"/>
      <c r="AS329" s="315"/>
      <c r="AT329" s="257"/>
      <c r="AU329" s="257"/>
      <c r="AV329" s="316"/>
      <c r="AW329" s="314"/>
      <c r="AX329" s="315"/>
      <c r="AY329" s="315"/>
      <c r="AZ329" s="315"/>
      <c r="BA329" s="315"/>
      <c r="BB329" s="315"/>
      <c r="BC329" s="315"/>
      <c r="BD329" s="319"/>
      <c r="BE329" s="319"/>
      <c r="BF329" s="319"/>
      <c r="BG329" s="319"/>
      <c r="BH329" s="319"/>
      <c r="BI329" s="319"/>
      <c r="BJ329" s="319"/>
      <c r="BK329" s="315"/>
      <c r="BL329" s="316"/>
      <c r="BM329" s="314"/>
      <c r="BN329" s="319"/>
      <c r="BO329" s="315"/>
      <c r="BP329" s="314"/>
      <c r="BQ329" s="316"/>
      <c r="BR329" s="314"/>
      <c r="BS329" s="262"/>
      <c r="BT329" s="262"/>
    </row>
    <row r="330" spans="1:72" ht="45.75" customHeight="1">
      <c r="A330" s="342"/>
      <c r="B330" s="342"/>
      <c r="C330" s="342"/>
      <c r="D330" s="343"/>
      <c r="E330" s="342"/>
      <c r="F330" s="342"/>
      <c r="G330" s="344"/>
      <c r="H330" s="344"/>
      <c r="I330" s="344"/>
      <c r="J330" s="334"/>
      <c r="K330" s="335"/>
      <c r="L330" s="336"/>
      <c r="M330" s="336"/>
      <c r="N330" s="337"/>
      <c r="O330" s="337"/>
      <c r="P330" s="315"/>
      <c r="Q330" s="314"/>
      <c r="R330" s="317"/>
      <c r="S330" s="315"/>
      <c r="T330" s="315"/>
      <c r="U330" s="315"/>
      <c r="V330" s="258"/>
      <c r="W330" s="322"/>
      <c r="X330" s="318"/>
      <c r="Y330" s="315"/>
      <c r="Z330" s="318"/>
      <c r="AA330" s="314"/>
      <c r="AB330" s="336"/>
      <c r="AC330" s="314"/>
      <c r="AD330" s="316"/>
      <c r="AE330" s="315"/>
      <c r="AF330" s="315"/>
      <c r="AG330" s="315"/>
      <c r="AH330" s="315"/>
      <c r="AI330" s="377"/>
      <c r="AJ330" s="407"/>
      <c r="AK330" s="377"/>
      <c r="AL330" s="314"/>
      <c r="AM330" s="314"/>
      <c r="AN330" s="314"/>
      <c r="AO330" s="315"/>
      <c r="AP330" s="257"/>
      <c r="AQ330" s="257"/>
      <c r="AR330" s="257"/>
      <c r="AS330" s="315"/>
      <c r="AT330" s="257"/>
      <c r="AU330" s="257"/>
      <c r="AV330" s="316"/>
      <c r="AW330" s="314"/>
      <c r="AX330" s="315"/>
      <c r="AY330" s="315"/>
      <c r="AZ330" s="315"/>
      <c r="BA330" s="315"/>
      <c r="BB330" s="315"/>
      <c r="BC330" s="315"/>
      <c r="BD330" s="319"/>
      <c r="BE330" s="319"/>
      <c r="BF330" s="319"/>
      <c r="BG330" s="319"/>
      <c r="BH330" s="319"/>
      <c r="BI330" s="319"/>
      <c r="BJ330" s="319"/>
      <c r="BK330" s="315"/>
      <c r="BL330" s="316"/>
      <c r="BM330" s="314"/>
      <c r="BN330" s="319"/>
      <c r="BO330" s="315"/>
      <c r="BP330" s="314"/>
      <c r="BQ330" s="316"/>
      <c r="BR330" s="314"/>
      <c r="BS330" s="262"/>
      <c r="BT330" s="262"/>
    </row>
    <row r="331" spans="1:72" ht="45.75" customHeight="1">
      <c r="A331" s="342"/>
      <c r="B331" s="342"/>
      <c r="C331" s="342"/>
      <c r="D331" s="343"/>
      <c r="E331" s="342"/>
      <c r="F331" s="342"/>
      <c r="G331" s="344"/>
      <c r="H331" s="344"/>
      <c r="I331" s="344"/>
      <c r="J331" s="334"/>
      <c r="K331" s="335"/>
      <c r="L331" s="336"/>
      <c r="M331" s="336"/>
      <c r="N331" s="337"/>
      <c r="O331" s="337"/>
      <c r="P331" s="315"/>
      <c r="Q331" s="314"/>
      <c r="R331" s="317"/>
      <c r="S331" s="315"/>
      <c r="T331" s="315"/>
      <c r="U331" s="315"/>
      <c r="V331" s="258"/>
      <c r="W331" s="322"/>
      <c r="X331" s="318"/>
      <c r="Y331" s="315"/>
      <c r="Z331" s="318"/>
      <c r="AA331" s="314"/>
      <c r="AB331" s="336"/>
      <c r="AC331" s="314"/>
      <c r="AD331" s="316"/>
      <c r="AE331" s="315"/>
      <c r="AF331" s="315"/>
      <c r="AG331" s="315"/>
      <c r="AH331" s="315"/>
      <c r="AI331" s="377"/>
      <c r="AJ331" s="407"/>
      <c r="AK331" s="377"/>
      <c r="AL331" s="314"/>
      <c r="AM331" s="314"/>
      <c r="AN331" s="314"/>
      <c r="AO331" s="315"/>
      <c r="AP331" s="257"/>
      <c r="AQ331" s="257"/>
      <c r="AR331" s="257"/>
      <c r="AS331" s="315"/>
      <c r="AT331" s="257"/>
      <c r="AU331" s="257"/>
      <c r="AV331" s="316"/>
      <c r="AW331" s="314"/>
      <c r="AX331" s="315"/>
      <c r="AY331" s="315"/>
      <c r="AZ331" s="315"/>
      <c r="BA331" s="315"/>
      <c r="BB331" s="315"/>
      <c r="BC331" s="315"/>
      <c r="BD331" s="319"/>
      <c r="BE331" s="319"/>
      <c r="BF331" s="319"/>
      <c r="BG331" s="319"/>
      <c r="BH331" s="319"/>
      <c r="BI331" s="319"/>
      <c r="BJ331" s="319"/>
      <c r="BK331" s="315"/>
      <c r="BL331" s="316"/>
      <c r="BM331" s="314"/>
      <c r="BN331" s="319"/>
      <c r="BO331" s="315"/>
      <c r="BP331" s="314"/>
      <c r="BQ331" s="316"/>
      <c r="BR331" s="314"/>
      <c r="BS331" s="262"/>
      <c r="BT331" s="262"/>
    </row>
    <row r="332" spans="1:72" ht="45.75" customHeight="1">
      <c r="A332" s="342"/>
      <c r="B332" s="342"/>
      <c r="C332" s="342"/>
      <c r="D332" s="343"/>
      <c r="E332" s="342"/>
      <c r="F332" s="342"/>
      <c r="G332" s="344"/>
      <c r="H332" s="344"/>
      <c r="I332" s="344"/>
      <c r="J332" s="334"/>
      <c r="K332" s="335"/>
      <c r="L332" s="336"/>
      <c r="M332" s="336"/>
      <c r="N332" s="337"/>
      <c r="O332" s="337"/>
      <c r="P332" s="315"/>
      <c r="Q332" s="314"/>
      <c r="R332" s="317"/>
      <c r="S332" s="315"/>
      <c r="T332" s="315"/>
      <c r="U332" s="315"/>
      <c r="V332" s="258"/>
      <c r="W332" s="322"/>
      <c r="X332" s="318"/>
      <c r="Y332" s="315"/>
      <c r="Z332" s="318"/>
      <c r="AA332" s="314"/>
      <c r="AB332" s="336"/>
      <c r="AC332" s="314"/>
      <c r="AD332" s="316"/>
      <c r="AE332" s="315"/>
      <c r="AF332" s="315"/>
      <c r="AG332" s="315"/>
      <c r="AH332" s="315"/>
      <c r="AI332" s="377"/>
      <c r="AJ332" s="407"/>
      <c r="AK332" s="377"/>
      <c r="AL332" s="314"/>
      <c r="AM332" s="314"/>
      <c r="AN332" s="314"/>
      <c r="AO332" s="315"/>
      <c r="AP332" s="257"/>
      <c r="AQ332" s="257"/>
      <c r="AR332" s="257"/>
      <c r="AS332" s="315"/>
      <c r="AT332" s="257"/>
      <c r="AU332" s="257"/>
      <c r="AV332" s="316"/>
      <c r="AW332" s="314"/>
      <c r="AX332" s="315"/>
      <c r="AY332" s="315"/>
      <c r="AZ332" s="315"/>
      <c r="BA332" s="315"/>
      <c r="BB332" s="315"/>
      <c r="BC332" s="315"/>
      <c r="BD332" s="319"/>
      <c r="BE332" s="319"/>
      <c r="BF332" s="319"/>
      <c r="BG332" s="319"/>
      <c r="BH332" s="319"/>
      <c r="BI332" s="319"/>
      <c r="BJ332" s="319"/>
      <c r="BK332" s="315"/>
      <c r="BL332" s="316"/>
      <c r="BM332" s="314"/>
      <c r="BN332" s="319"/>
      <c r="BO332" s="315"/>
      <c r="BP332" s="314"/>
      <c r="BQ332" s="316"/>
      <c r="BR332" s="314"/>
      <c r="BS332" s="262"/>
      <c r="BT332" s="262"/>
    </row>
    <row r="333" spans="1:72" ht="45.75" customHeight="1">
      <c r="A333" s="342"/>
      <c r="B333" s="342"/>
      <c r="C333" s="342"/>
      <c r="D333" s="343"/>
      <c r="E333" s="342"/>
      <c r="F333" s="342"/>
      <c r="G333" s="344"/>
      <c r="H333" s="344"/>
      <c r="I333" s="344"/>
      <c r="J333" s="334"/>
      <c r="K333" s="335"/>
      <c r="L333" s="336"/>
      <c r="M333" s="336"/>
      <c r="N333" s="337"/>
      <c r="O333" s="337"/>
      <c r="P333" s="315"/>
      <c r="Q333" s="314"/>
      <c r="R333" s="317"/>
      <c r="S333" s="315"/>
      <c r="T333" s="315"/>
      <c r="U333" s="315"/>
      <c r="V333" s="258"/>
      <c r="W333" s="322"/>
      <c r="X333" s="318"/>
      <c r="Y333" s="315"/>
      <c r="Z333" s="318"/>
      <c r="AA333" s="314"/>
      <c r="AB333" s="336"/>
      <c r="AC333" s="314"/>
      <c r="AD333" s="316"/>
      <c r="AE333" s="315"/>
      <c r="AF333" s="315"/>
      <c r="AG333" s="315"/>
      <c r="AH333" s="315"/>
      <c r="AI333" s="377"/>
      <c r="AJ333" s="407"/>
      <c r="AK333" s="377"/>
      <c r="AL333" s="314"/>
      <c r="AM333" s="314"/>
      <c r="AN333" s="314"/>
      <c r="AO333" s="315"/>
      <c r="AP333" s="257"/>
      <c r="AQ333" s="257"/>
      <c r="AR333" s="257"/>
      <c r="AS333" s="315"/>
      <c r="AT333" s="257"/>
      <c r="AU333" s="257"/>
      <c r="AV333" s="316"/>
      <c r="AW333" s="314"/>
      <c r="AX333" s="315"/>
      <c r="AY333" s="315"/>
      <c r="AZ333" s="315"/>
      <c r="BA333" s="315"/>
      <c r="BB333" s="315"/>
      <c r="BC333" s="315"/>
      <c r="BD333" s="319"/>
      <c r="BE333" s="319"/>
      <c r="BF333" s="319"/>
      <c r="BG333" s="319"/>
      <c r="BH333" s="319"/>
      <c r="BI333" s="319"/>
      <c r="BJ333" s="319"/>
      <c r="BK333" s="315"/>
      <c r="BL333" s="316"/>
      <c r="BM333" s="314"/>
      <c r="BN333" s="319"/>
      <c r="BO333" s="315"/>
      <c r="BP333" s="314"/>
      <c r="BQ333" s="316"/>
      <c r="BR333" s="314"/>
      <c r="BS333" s="262"/>
      <c r="BT333" s="262"/>
    </row>
    <row r="334" spans="1:72" ht="45.75" customHeight="1">
      <c r="A334" s="342"/>
      <c r="B334" s="342"/>
      <c r="C334" s="342"/>
      <c r="D334" s="343"/>
      <c r="E334" s="342"/>
      <c r="F334" s="342"/>
      <c r="G334" s="344"/>
      <c r="H334" s="344"/>
      <c r="I334" s="344"/>
      <c r="J334" s="334"/>
      <c r="K334" s="335"/>
      <c r="L334" s="336"/>
      <c r="M334" s="336"/>
      <c r="N334" s="337"/>
      <c r="O334" s="337"/>
      <c r="P334" s="315"/>
      <c r="Q334" s="314"/>
      <c r="R334" s="317"/>
      <c r="S334" s="315"/>
      <c r="T334" s="315"/>
      <c r="U334" s="315"/>
      <c r="V334" s="258"/>
      <c r="W334" s="322"/>
      <c r="X334" s="318"/>
      <c r="Y334" s="315"/>
      <c r="Z334" s="318"/>
      <c r="AA334" s="314"/>
      <c r="AB334" s="336"/>
      <c r="AC334" s="314"/>
      <c r="AD334" s="316"/>
      <c r="AE334" s="315"/>
      <c r="AF334" s="315"/>
      <c r="AG334" s="315"/>
      <c r="AH334" s="315"/>
      <c r="AI334" s="377"/>
      <c r="AJ334" s="407"/>
      <c r="AK334" s="377"/>
      <c r="AL334" s="314"/>
      <c r="AM334" s="314"/>
      <c r="AN334" s="314"/>
      <c r="AO334" s="315"/>
      <c r="AP334" s="257"/>
      <c r="AQ334" s="257"/>
      <c r="AR334" s="257"/>
      <c r="AS334" s="315"/>
      <c r="AT334" s="257"/>
      <c r="AU334" s="257"/>
      <c r="AV334" s="316"/>
      <c r="AW334" s="314"/>
      <c r="AX334" s="315"/>
      <c r="AY334" s="315"/>
      <c r="AZ334" s="315"/>
      <c r="BA334" s="315"/>
      <c r="BB334" s="315"/>
      <c r="BC334" s="315"/>
      <c r="BD334" s="319"/>
      <c r="BE334" s="319"/>
      <c r="BF334" s="319"/>
      <c r="BG334" s="319"/>
      <c r="BH334" s="319"/>
      <c r="BI334" s="319"/>
      <c r="BJ334" s="319"/>
      <c r="BK334" s="315"/>
      <c r="BL334" s="316"/>
      <c r="BM334" s="314"/>
      <c r="BN334" s="319"/>
      <c r="BO334" s="315"/>
      <c r="BP334" s="314"/>
      <c r="BQ334" s="316"/>
      <c r="BR334" s="314"/>
      <c r="BS334" s="262"/>
      <c r="BT334" s="262"/>
    </row>
    <row r="335" spans="1:72" ht="45.75" customHeight="1">
      <c r="A335" s="342"/>
      <c r="B335" s="342"/>
      <c r="C335" s="342"/>
      <c r="D335" s="343"/>
      <c r="E335" s="342"/>
      <c r="F335" s="342"/>
      <c r="G335" s="344"/>
      <c r="H335" s="344"/>
      <c r="I335" s="344"/>
      <c r="J335" s="334"/>
      <c r="K335" s="335"/>
      <c r="L335" s="336"/>
      <c r="M335" s="336"/>
      <c r="N335" s="337"/>
      <c r="O335" s="337"/>
      <c r="P335" s="315"/>
      <c r="Q335" s="314"/>
      <c r="R335" s="317"/>
      <c r="S335" s="315"/>
      <c r="T335" s="315"/>
      <c r="U335" s="315"/>
      <c r="V335" s="258"/>
      <c r="W335" s="322"/>
      <c r="X335" s="318"/>
      <c r="Y335" s="315"/>
      <c r="Z335" s="318"/>
      <c r="AA335" s="314"/>
      <c r="AB335" s="336"/>
      <c r="AC335" s="314"/>
      <c r="AD335" s="316"/>
      <c r="AE335" s="315"/>
      <c r="AF335" s="315"/>
      <c r="AG335" s="315"/>
      <c r="AH335" s="315"/>
      <c r="AI335" s="377"/>
      <c r="AJ335" s="407"/>
      <c r="AK335" s="377"/>
      <c r="AL335" s="314"/>
      <c r="AM335" s="314"/>
      <c r="AN335" s="314"/>
      <c r="AO335" s="315"/>
      <c r="AP335" s="257"/>
      <c r="AQ335" s="257"/>
      <c r="AR335" s="257"/>
      <c r="AS335" s="315"/>
      <c r="AT335" s="257"/>
      <c r="AU335" s="257"/>
      <c r="AV335" s="316"/>
      <c r="AW335" s="314"/>
      <c r="AX335" s="315"/>
      <c r="AY335" s="315"/>
      <c r="AZ335" s="315"/>
      <c r="BA335" s="315"/>
      <c r="BB335" s="315"/>
      <c r="BC335" s="315"/>
      <c r="BD335" s="319"/>
      <c r="BE335" s="319"/>
      <c r="BF335" s="319"/>
      <c r="BG335" s="319"/>
      <c r="BH335" s="319"/>
      <c r="BI335" s="319"/>
      <c r="BJ335" s="319"/>
      <c r="BK335" s="315"/>
      <c r="BL335" s="316"/>
      <c r="BM335" s="314"/>
      <c r="BN335" s="319"/>
      <c r="BO335" s="315"/>
      <c r="BP335" s="314"/>
      <c r="BQ335" s="316"/>
      <c r="BR335" s="314"/>
      <c r="BS335" s="262"/>
      <c r="BT335" s="262"/>
    </row>
    <row r="336" spans="1:72" ht="45.75" customHeight="1">
      <c r="A336" s="342"/>
      <c r="B336" s="342"/>
      <c r="C336" s="342"/>
      <c r="D336" s="343"/>
      <c r="E336" s="342"/>
      <c r="F336" s="342"/>
      <c r="G336" s="344"/>
      <c r="H336" s="344"/>
      <c r="I336" s="344"/>
      <c r="J336" s="334"/>
      <c r="K336" s="335"/>
      <c r="L336" s="336"/>
      <c r="M336" s="336"/>
      <c r="N336" s="337"/>
      <c r="O336" s="337"/>
      <c r="P336" s="315"/>
      <c r="Q336" s="314"/>
      <c r="R336" s="317"/>
      <c r="S336" s="315"/>
      <c r="T336" s="315"/>
      <c r="U336" s="315"/>
      <c r="V336" s="258"/>
      <c r="W336" s="322"/>
      <c r="X336" s="318"/>
      <c r="Y336" s="315"/>
      <c r="Z336" s="318"/>
      <c r="AA336" s="314"/>
      <c r="AB336" s="336"/>
      <c r="AC336" s="314"/>
      <c r="AD336" s="316"/>
      <c r="AE336" s="315"/>
      <c r="AF336" s="315"/>
      <c r="AG336" s="315"/>
      <c r="AH336" s="315"/>
      <c r="AI336" s="377"/>
      <c r="AJ336" s="407"/>
      <c r="AK336" s="377"/>
      <c r="AL336" s="314"/>
      <c r="AM336" s="314"/>
      <c r="AN336" s="314"/>
      <c r="AO336" s="315"/>
      <c r="AP336" s="257"/>
      <c r="AQ336" s="257"/>
      <c r="AR336" s="257"/>
      <c r="AS336" s="315"/>
      <c r="AT336" s="257"/>
      <c r="AU336" s="257"/>
      <c r="AV336" s="316"/>
      <c r="AW336" s="314"/>
      <c r="AX336" s="315"/>
      <c r="AY336" s="315"/>
      <c r="AZ336" s="315"/>
      <c r="BA336" s="315"/>
      <c r="BB336" s="315"/>
      <c r="BC336" s="315"/>
      <c r="BD336" s="319"/>
      <c r="BE336" s="319"/>
      <c r="BF336" s="319"/>
      <c r="BG336" s="319"/>
      <c r="BH336" s="319"/>
      <c r="BI336" s="319"/>
      <c r="BJ336" s="319"/>
      <c r="BK336" s="315"/>
      <c r="BL336" s="316"/>
      <c r="BM336" s="314"/>
      <c r="BN336" s="319"/>
      <c r="BO336" s="315"/>
      <c r="BP336" s="314"/>
      <c r="BQ336" s="316"/>
      <c r="BR336" s="314"/>
      <c r="BS336" s="262"/>
      <c r="BT336" s="262"/>
    </row>
    <row r="337" spans="1:72" ht="45.75" customHeight="1">
      <c r="A337" s="342"/>
      <c r="B337" s="342"/>
      <c r="C337" s="342"/>
      <c r="D337" s="343"/>
      <c r="E337" s="342"/>
      <c r="F337" s="342"/>
      <c r="G337" s="344"/>
      <c r="H337" s="344"/>
      <c r="I337" s="344"/>
      <c r="J337" s="334"/>
      <c r="K337" s="335"/>
      <c r="L337" s="336"/>
      <c r="M337" s="336"/>
      <c r="N337" s="337"/>
      <c r="O337" s="337"/>
      <c r="P337" s="315"/>
      <c r="Q337" s="314"/>
      <c r="R337" s="317"/>
      <c r="S337" s="315"/>
      <c r="T337" s="315"/>
      <c r="U337" s="315"/>
      <c r="V337" s="258"/>
      <c r="W337" s="322"/>
      <c r="X337" s="318"/>
      <c r="Y337" s="315"/>
      <c r="Z337" s="318"/>
      <c r="AA337" s="314"/>
      <c r="AB337" s="336"/>
      <c r="AC337" s="314"/>
      <c r="AD337" s="316"/>
      <c r="AE337" s="315"/>
      <c r="AF337" s="315"/>
      <c r="AG337" s="315"/>
      <c r="AH337" s="315"/>
      <c r="AI337" s="377"/>
      <c r="AJ337" s="407"/>
      <c r="AK337" s="377"/>
      <c r="AL337" s="314"/>
      <c r="AM337" s="314"/>
      <c r="AN337" s="314"/>
      <c r="AO337" s="315"/>
      <c r="AP337" s="257"/>
      <c r="AQ337" s="257"/>
      <c r="AR337" s="257"/>
      <c r="AS337" s="315"/>
      <c r="AT337" s="257"/>
      <c r="AU337" s="257"/>
      <c r="AV337" s="316"/>
      <c r="AW337" s="314"/>
      <c r="AX337" s="315"/>
      <c r="AY337" s="315"/>
      <c r="AZ337" s="315"/>
      <c r="BA337" s="315"/>
      <c r="BB337" s="315"/>
      <c r="BC337" s="315"/>
      <c r="BD337" s="319"/>
      <c r="BE337" s="319"/>
      <c r="BF337" s="319"/>
      <c r="BG337" s="319"/>
      <c r="BH337" s="319"/>
      <c r="BI337" s="319"/>
      <c r="BJ337" s="319"/>
      <c r="BK337" s="315"/>
      <c r="BL337" s="316"/>
      <c r="BM337" s="314"/>
      <c r="BN337" s="319"/>
      <c r="BO337" s="315"/>
      <c r="BP337" s="314"/>
      <c r="BQ337" s="316"/>
      <c r="BR337" s="314"/>
      <c r="BS337" s="262"/>
      <c r="BT337" s="262"/>
    </row>
    <row r="338" spans="1:72" ht="45.75" customHeight="1">
      <c r="A338" s="342"/>
      <c r="B338" s="342"/>
      <c r="C338" s="342"/>
      <c r="D338" s="343"/>
      <c r="E338" s="342"/>
      <c r="F338" s="342"/>
      <c r="G338" s="344"/>
      <c r="H338" s="344"/>
      <c r="I338" s="344"/>
      <c r="J338" s="334"/>
      <c r="K338" s="335"/>
      <c r="L338" s="336"/>
      <c r="M338" s="336"/>
      <c r="N338" s="337"/>
      <c r="O338" s="337"/>
      <c r="P338" s="315"/>
      <c r="Q338" s="314"/>
      <c r="R338" s="317"/>
      <c r="S338" s="315"/>
      <c r="T338" s="315"/>
      <c r="U338" s="315"/>
      <c r="V338" s="258"/>
      <c r="W338" s="322"/>
      <c r="X338" s="318"/>
      <c r="Y338" s="315"/>
      <c r="Z338" s="318"/>
      <c r="AA338" s="314"/>
      <c r="AB338" s="336"/>
      <c r="AC338" s="314"/>
      <c r="AD338" s="316"/>
      <c r="AE338" s="315"/>
      <c r="AF338" s="315"/>
      <c r="AG338" s="315"/>
      <c r="AH338" s="315"/>
      <c r="AI338" s="377"/>
      <c r="AJ338" s="407"/>
      <c r="AK338" s="377"/>
      <c r="AL338" s="314"/>
      <c r="AM338" s="314"/>
      <c r="AN338" s="314"/>
      <c r="AO338" s="315"/>
      <c r="AP338" s="257"/>
      <c r="AQ338" s="257"/>
      <c r="AR338" s="257"/>
      <c r="AS338" s="315"/>
      <c r="AT338" s="257"/>
      <c r="AU338" s="257"/>
      <c r="AV338" s="316"/>
      <c r="AW338" s="314"/>
      <c r="AX338" s="315"/>
      <c r="AY338" s="315"/>
      <c r="AZ338" s="315"/>
      <c r="BA338" s="315"/>
      <c r="BB338" s="315"/>
      <c r="BC338" s="315"/>
      <c r="BD338" s="319"/>
      <c r="BE338" s="319"/>
      <c r="BF338" s="319"/>
      <c r="BG338" s="319"/>
      <c r="BH338" s="319"/>
      <c r="BI338" s="319"/>
      <c r="BJ338" s="319"/>
      <c r="BK338" s="315"/>
      <c r="BL338" s="316"/>
      <c r="BM338" s="314"/>
      <c r="BN338" s="319"/>
      <c r="BO338" s="315"/>
      <c r="BP338" s="314"/>
      <c r="BQ338" s="316"/>
      <c r="BR338" s="314"/>
      <c r="BS338" s="262"/>
      <c r="BT338" s="262"/>
    </row>
    <row r="339" spans="1:72" ht="45.75" customHeight="1">
      <c r="A339" s="342"/>
      <c r="B339" s="342"/>
      <c r="C339" s="342"/>
      <c r="D339" s="343"/>
      <c r="E339" s="342"/>
      <c r="F339" s="342"/>
      <c r="G339" s="344"/>
      <c r="H339" s="344"/>
      <c r="I339" s="344"/>
      <c r="J339" s="334"/>
      <c r="K339" s="335"/>
      <c r="L339" s="336"/>
      <c r="M339" s="336"/>
      <c r="N339" s="337"/>
      <c r="O339" s="337"/>
      <c r="P339" s="315"/>
      <c r="Q339" s="314"/>
      <c r="R339" s="317"/>
      <c r="S339" s="315"/>
      <c r="T339" s="315"/>
      <c r="U339" s="315"/>
      <c r="V339" s="258"/>
      <c r="W339" s="322"/>
      <c r="X339" s="318"/>
      <c r="Y339" s="315"/>
      <c r="Z339" s="318"/>
      <c r="AA339" s="314"/>
      <c r="AB339" s="336"/>
      <c r="AC339" s="314"/>
      <c r="AD339" s="316"/>
      <c r="AE339" s="315"/>
      <c r="AF339" s="315"/>
      <c r="AG339" s="315"/>
      <c r="AH339" s="315"/>
      <c r="AI339" s="377"/>
      <c r="AJ339" s="407"/>
      <c r="AK339" s="377"/>
      <c r="AL339" s="314"/>
      <c r="AM339" s="314"/>
      <c r="AN339" s="314"/>
      <c r="AO339" s="315"/>
      <c r="AP339" s="257"/>
      <c r="AQ339" s="257"/>
      <c r="AR339" s="257"/>
      <c r="AS339" s="315"/>
      <c r="AT339" s="257"/>
      <c r="AU339" s="257"/>
      <c r="AV339" s="316"/>
      <c r="AW339" s="314"/>
      <c r="AX339" s="315"/>
      <c r="AY339" s="315"/>
      <c r="AZ339" s="315"/>
      <c r="BA339" s="315"/>
      <c r="BB339" s="315"/>
      <c r="BC339" s="315"/>
      <c r="BD339" s="319"/>
      <c r="BE339" s="319"/>
      <c r="BF339" s="319"/>
      <c r="BG339" s="319"/>
      <c r="BH339" s="319"/>
      <c r="BI339" s="319"/>
      <c r="BJ339" s="319"/>
      <c r="BK339" s="315"/>
      <c r="BL339" s="316"/>
      <c r="BM339" s="314"/>
      <c r="BN339" s="319"/>
      <c r="BO339" s="315"/>
      <c r="BP339" s="314"/>
      <c r="BQ339" s="316"/>
      <c r="BR339" s="314"/>
      <c r="BS339" s="262"/>
      <c r="BT339" s="262"/>
    </row>
    <row r="340" spans="1:72" ht="45.75" customHeight="1">
      <c r="A340" s="342"/>
      <c r="B340" s="342"/>
      <c r="C340" s="342"/>
      <c r="D340" s="343"/>
      <c r="E340" s="342"/>
      <c r="F340" s="342"/>
      <c r="G340" s="344"/>
      <c r="H340" s="344"/>
      <c r="I340" s="344"/>
      <c r="J340" s="334"/>
      <c r="K340" s="335"/>
      <c r="L340" s="336"/>
      <c r="M340" s="336"/>
      <c r="N340" s="337"/>
      <c r="O340" s="337"/>
      <c r="P340" s="315"/>
      <c r="Q340" s="314"/>
      <c r="R340" s="317"/>
      <c r="S340" s="315"/>
      <c r="T340" s="315"/>
      <c r="U340" s="315"/>
      <c r="V340" s="258"/>
      <c r="W340" s="322"/>
      <c r="X340" s="318"/>
      <c r="Y340" s="315"/>
      <c r="Z340" s="318"/>
      <c r="AA340" s="314"/>
      <c r="AB340" s="336"/>
      <c r="AC340" s="314"/>
      <c r="AD340" s="316"/>
      <c r="AE340" s="315"/>
      <c r="AF340" s="315"/>
      <c r="AG340" s="315"/>
      <c r="AH340" s="315"/>
      <c r="AI340" s="377"/>
      <c r="AJ340" s="407"/>
      <c r="AK340" s="377"/>
      <c r="AL340" s="314"/>
      <c r="AM340" s="314"/>
      <c r="AN340" s="314"/>
      <c r="AO340" s="315"/>
      <c r="AP340" s="257"/>
      <c r="AQ340" s="257"/>
      <c r="AR340" s="257"/>
      <c r="AS340" s="315"/>
      <c r="AT340" s="257"/>
      <c r="AU340" s="257"/>
      <c r="AV340" s="316"/>
      <c r="AW340" s="314"/>
      <c r="AX340" s="315"/>
      <c r="AY340" s="315"/>
      <c r="AZ340" s="315"/>
      <c r="BA340" s="315"/>
      <c r="BB340" s="315"/>
      <c r="BC340" s="315"/>
      <c r="BD340" s="319"/>
      <c r="BE340" s="319"/>
      <c r="BF340" s="319"/>
      <c r="BG340" s="319"/>
      <c r="BH340" s="319"/>
      <c r="BI340" s="319"/>
      <c r="BJ340" s="319"/>
      <c r="BK340" s="315"/>
      <c r="BL340" s="316"/>
      <c r="BM340" s="314"/>
      <c r="BN340" s="319"/>
      <c r="BO340" s="315"/>
      <c r="BP340" s="314"/>
      <c r="BQ340" s="316"/>
      <c r="BR340" s="314"/>
      <c r="BS340" s="262"/>
      <c r="BT340" s="262"/>
    </row>
    <row r="341" spans="1:72" ht="45.75" customHeight="1">
      <c r="A341" s="342"/>
      <c r="B341" s="342"/>
      <c r="C341" s="342"/>
      <c r="D341" s="343"/>
      <c r="E341" s="342"/>
      <c r="F341" s="342"/>
      <c r="G341" s="344"/>
      <c r="H341" s="344"/>
      <c r="I341" s="344"/>
      <c r="J341" s="334"/>
      <c r="K341" s="335"/>
      <c r="L341" s="336"/>
      <c r="M341" s="336"/>
      <c r="N341" s="337"/>
      <c r="O341" s="337"/>
      <c r="P341" s="315"/>
      <c r="Q341" s="314"/>
      <c r="R341" s="317"/>
      <c r="S341" s="315"/>
      <c r="T341" s="315"/>
      <c r="U341" s="315"/>
      <c r="V341" s="258"/>
      <c r="W341" s="322"/>
      <c r="X341" s="318"/>
      <c r="Y341" s="315"/>
      <c r="Z341" s="318"/>
      <c r="AA341" s="314"/>
      <c r="AB341" s="336"/>
      <c r="AC341" s="314"/>
      <c r="AD341" s="316"/>
      <c r="AE341" s="315"/>
      <c r="AF341" s="315"/>
      <c r="AG341" s="315"/>
      <c r="AH341" s="315"/>
      <c r="AI341" s="377"/>
      <c r="AJ341" s="407"/>
      <c r="AK341" s="377"/>
      <c r="AL341" s="314"/>
      <c r="AM341" s="314"/>
      <c r="AN341" s="314"/>
      <c r="AO341" s="315"/>
      <c r="AP341" s="257"/>
      <c r="AQ341" s="257"/>
      <c r="AR341" s="257"/>
      <c r="AS341" s="315"/>
      <c r="AT341" s="257"/>
      <c r="AU341" s="257"/>
      <c r="AV341" s="316"/>
      <c r="AW341" s="314"/>
      <c r="AX341" s="315"/>
      <c r="AY341" s="315"/>
      <c r="AZ341" s="315"/>
      <c r="BA341" s="315"/>
      <c r="BB341" s="315"/>
      <c r="BC341" s="315"/>
      <c r="BD341" s="319"/>
      <c r="BE341" s="319"/>
      <c r="BF341" s="319"/>
      <c r="BG341" s="319"/>
      <c r="BH341" s="319"/>
      <c r="BI341" s="319"/>
      <c r="BJ341" s="319"/>
      <c r="BK341" s="315"/>
      <c r="BL341" s="316"/>
      <c r="BM341" s="314"/>
      <c r="BN341" s="319"/>
      <c r="BO341" s="315"/>
      <c r="BP341" s="314"/>
      <c r="BQ341" s="316"/>
      <c r="BR341" s="314"/>
      <c r="BS341" s="262"/>
      <c r="BT341" s="262"/>
    </row>
    <row r="342" spans="1:72" ht="45.75" customHeight="1">
      <c r="A342" s="342"/>
      <c r="B342" s="342"/>
      <c r="C342" s="342"/>
      <c r="D342" s="343"/>
      <c r="E342" s="342"/>
      <c r="F342" s="342"/>
      <c r="G342" s="344"/>
      <c r="H342" s="344"/>
      <c r="I342" s="344"/>
      <c r="J342" s="334"/>
      <c r="K342" s="335"/>
      <c r="L342" s="336"/>
      <c r="M342" s="336"/>
      <c r="N342" s="337"/>
      <c r="O342" s="337"/>
      <c r="P342" s="315"/>
      <c r="Q342" s="314"/>
      <c r="R342" s="317"/>
      <c r="S342" s="315"/>
      <c r="T342" s="315"/>
      <c r="U342" s="315"/>
      <c r="V342" s="258"/>
      <c r="W342" s="322"/>
      <c r="X342" s="318"/>
      <c r="Y342" s="315"/>
      <c r="Z342" s="318"/>
      <c r="AA342" s="314"/>
      <c r="AB342" s="336"/>
      <c r="AC342" s="314"/>
      <c r="AD342" s="316"/>
      <c r="AE342" s="315"/>
      <c r="AF342" s="315"/>
      <c r="AG342" s="315"/>
      <c r="AH342" s="315"/>
      <c r="AI342" s="377"/>
      <c r="AJ342" s="407"/>
      <c r="AK342" s="377"/>
      <c r="AL342" s="314"/>
      <c r="AM342" s="314"/>
      <c r="AN342" s="314"/>
      <c r="AO342" s="315"/>
      <c r="AP342" s="257"/>
      <c r="AQ342" s="257"/>
      <c r="AR342" s="257"/>
      <c r="AS342" s="315"/>
      <c r="AT342" s="257"/>
      <c r="AU342" s="257"/>
      <c r="AV342" s="316"/>
      <c r="AW342" s="314"/>
      <c r="AX342" s="315"/>
      <c r="AY342" s="315"/>
      <c r="AZ342" s="315"/>
      <c r="BA342" s="315"/>
      <c r="BB342" s="315"/>
      <c r="BC342" s="315"/>
      <c r="BD342" s="319"/>
      <c r="BE342" s="319"/>
      <c r="BF342" s="319"/>
      <c r="BG342" s="319"/>
      <c r="BH342" s="319"/>
      <c r="BI342" s="319"/>
      <c r="BJ342" s="319"/>
      <c r="BK342" s="315"/>
      <c r="BL342" s="316"/>
      <c r="BM342" s="314"/>
      <c r="BN342" s="319"/>
      <c r="BO342" s="315"/>
      <c r="BP342" s="314"/>
      <c r="BQ342" s="316"/>
      <c r="BR342" s="314"/>
      <c r="BS342" s="262"/>
      <c r="BT342" s="262"/>
    </row>
    <row r="343" spans="1:72" ht="45.75" customHeight="1">
      <c r="A343" s="342"/>
      <c r="B343" s="342"/>
      <c r="C343" s="342"/>
      <c r="D343" s="343"/>
      <c r="E343" s="342"/>
      <c r="F343" s="342"/>
      <c r="G343" s="344"/>
      <c r="H343" s="344"/>
      <c r="I343" s="344"/>
      <c r="J343" s="334"/>
      <c r="K343" s="335"/>
      <c r="L343" s="336"/>
      <c r="M343" s="336"/>
      <c r="N343" s="337"/>
      <c r="O343" s="337"/>
      <c r="P343" s="315"/>
      <c r="Q343" s="314"/>
      <c r="R343" s="317"/>
      <c r="S343" s="315"/>
      <c r="T343" s="315"/>
      <c r="U343" s="315"/>
      <c r="V343" s="258"/>
      <c r="W343" s="322"/>
      <c r="X343" s="318"/>
      <c r="Y343" s="315"/>
      <c r="Z343" s="318"/>
      <c r="AA343" s="314"/>
      <c r="AB343" s="336"/>
      <c r="AC343" s="314"/>
      <c r="AD343" s="316"/>
      <c r="AE343" s="315"/>
      <c r="AF343" s="315"/>
      <c r="AG343" s="315"/>
      <c r="AH343" s="315"/>
      <c r="AI343" s="377"/>
      <c r="AJ343" s="407"/>
      <c r="AK343" s="377"/>
      <c r="AL343" s="314"/>
      <c r="AM343" s="314"/>
      <c r="AN343" s="314"/>
      <c r="AO343" s="315"/>
      <c r="AP343" s="257"/>
      <c r="AQ343" s="257"/>
      <c r="AR343" s="257"/>
      <c r="AS343" s="315"/>
      <c r="AT343" s="257"/>
      <c r="AU343" s="257"/>
      <c r="AV343" s="316"/>
      <c r="AW343" s="314"/>
      <c r="AX343" s="315"/>
      <c r="AY343" s="315"/>
      <c r="AZ343" s="315"/>
      <c r="BA343" s="315"/>
      <c r="BB343" s="315"/>
      <c r="BC343" s="315"/>
      <c r="BD343" s="319"/>
      <c r="BE343" s="319"/>
      <c r="BF343" s="319"/>
      <c r="BG343" s="319"/>
      <c r="BH343" s="319"/>
      <c r="BI343" s="319"/>
      <c r="BJ343" s="319"/>
      <c r="BK343" s="315"/>
      <c r="BL343" s="316"/>
      <c r="BM343" s="314"/>
      <c r="BN343" s="319"/>
      <c r="BO343" s="315"/>
      <c r="BP343" s="314"/>
      <c r="BQ343" s="316"/>
      <c r="BR343" s="314"/>
      <c r="BS343" s="262"/>
      <c r="BT343" s="262"/>
    </row>
    <row r="344" spans="1:72" ht="45.75" customHeight="1">
      <c r="A344" s="342"/>
      <c r="B344" s="342"/>
      <c r="C344" s="342"/>
      <c r="D344" s="343"/>
      <c r="E344" s="342"/>
      <c r="F344" s="342"/>
      <c r="G344" s="344"/>
      <c r="H344" s="344"/>
      <c r="I344" s="344"/>
      <c r="J344" s="334"/>
      <c r="K344" s="335"/>
      <c r="L344" s="336"/>
      <c r="M344" s="336"/>
      <c r="N344" s="337"/>
      <c r="O344" s="337"/>
      <c r="P344" s="315"/>
      <c r="Q344" s="314"/>
      <c r="R344" s="317"/>
      <c r="S344" s="315"/>
      <c r="T344" s="315"/>
      <c r="U344" s="315"/>
      <c r="V344" s="258"/>
      <c r="W344" s="322"/>
      <c r="X344" s="318"/>
      <c r="Y344" s="315"/>
      <c r="Z344" s="318"/>
      <c r="AA344" s="314"/>
      <c r="AB344" s="336"/>
      <c r="AC344" s="314"/>
      <c r="AD344" s="316"/>
      <c r="AE344" s="315"/>
      <c r="AF344" s="315"/>
      <c r="AG344" s="315"/>
      <c r="AH344" s="315"/>
      <c r="AI344" s="377"/>
      <c r="AJ344" s="407"/>
      <c r="AK344" s="377"/>
      <c r="AL344" s="314"/>
      <c r="AM344" s="314"/>
      <c r="AN344" s="314"/>
      <c r="AO344" s="315"/>
      <c r="AP344" s="257"/>
      <c r="AQ344" s="257"/>
      <c r="AR344" s="257"/>
      <c r="AS344" s="315"/>
      <c r="AT344" s="257"/>
      <c r="AU344" s="257"/>
      <c r="AV344" s="316"/>
      <c r="AW344" s="314"/>
      <c r="AX344" s="315"/>
      <c r="AY344" s="315"/>
      <c r="AZ344" s="315"/>
      <c r="BA344" s="315"/>
      <c r="BB344" s="315"/>
      <c r="BC344" s="315"/>
      <c r="BD344" s="319"/>
      <c r="BE344" s="319"/>
      <c r="BF344" s="319"/>
      <c r="BG344" s="319"/>
      <c r="BH344" s="319"/>
      <c r="BI344" s="319"/>
      <c r="BJ344" s="319"/>
      <c r="BK344" s="315"/>
      <c r="BL344" s="316"/>
      <c r="BM344" s="314"/>
      <c r="BN344" s="319"/>
      <c r="BO344" s="315"/>
      <c r="BP344" s="314"/>
      <c r="BQ344" s="316"/>
      <c r="BR344" s="314"/>
      <c r="BS344" s="262"/>
      <c r="BT344" s="262"/>
    </row>
    <row r="345" spans="1:72" ht="45.75" customHeight="1">
      <c r="A345" s="342"/>
      <c r="B345" s="342"/>
      <c r="C345" s="342"/>
      <c r="D345" s="343"/>
      <c r="E345" s="342"/>
      <c r="F345" s="342"/>
      <c r="G345" s="344"/>
      <c r="H345" s="344"/>
      <c r="I345" s="344"/>
      <c r="J345" s="334"/>
      <c r="K345" s="335"/>
      <c r="L345" s="336"/>
      <c r="M345" s="336"/>
      <c r="N345" s="337"/>
      <c r="O345" s="337"/>
      <c r="P345" s="315"/>
      <c r="Q345" s="314"/>
      <c r="R345" s="317"/>
      <c r="S345" s="315"/>
      <c r="T345" s="315"/>
      <c r="U345" s="315"/>
      <c r="V345" s="258"/>
      <c r="W345" s="322"/>
      <c r="X345" s="318"/>
      <c r="Y345" s="315"/>
      <c r="Z345" s="318"/>
      <c r="AA345" s="314"/>
      <c r="AB345" s="336"/>
      <c r="AC345" s="314"/>
      <c r="AD345" s="316"/>
      <c r="AE345" s="315"/>
      <c r="AF345" s="315"/>
      <c r="AG345" s="315"/>
      <c r="AH345" s="315"/>
      <c r="AI345" s="377"/>
      <c r="AJ345" s="407"/>
      <c r="AK345" s="377"/>
      <c r="AL345" s="314"/>
      <c r="AM345" s="314"/>
      <c r="AN345" s="314"/>
      <c r="AO345" s="315"/>
      <c r="AP345" s="257"/>
      <c r="AQ345" s="257"/>
      <c r="AR345" s="257"/>
      <c r="AS345" s="315"/>
      <c r="AT345" s="257"/>
      <c r="AU345" s="257"/>
      <c r="AV345" s="316"/>
      <c r="AW345" s="314"/>
      <c r="AX345" s="315"/>
      <c r="AY345" s="315"/>
      <c r="AZ345" s="315"/>
      <c r="BA345" s="315"/>
      <c r="BB345" s="315"/>
      <c r="BC345" s="315"/>
      <c r="BD345" s="319"/>
      <c r="BE345" s="319"/>
      <c r="BF345" s="319"/>
      <c r="BG345" s="319"/>
      <c r="BH345" s="319"/>
      <c r="BI345" s="319"/>
      <c r="BJ345" s="319"/>
      <c r="BK345" s="315"/>
      <c r="BL345" s="316"/>
      <c r="BM345" s="314"/>
      <c r="BN345" s="319"/>
      <c r="BO345" s="315"/>
      <c r="BP345" s="314"/>
      <c r="BQ345" s="316"/>
      <c r="BR345" s="314"/>
      <c r="BS345" s="262"/>
      <c r="BT345" s="262"/>
    </row>
    <row r="346" spans="1:72" ht="45.75" customHeight="1">
      <c r="A346" s="342"/>
      <c r="B346" s="342"/>
      <c r="C346" s="342"/>
      <c r="D346" s="343"/>
      <c r="E346" s="342"/>
      <c r="F346" s="342"/>
      <c r="G346" s="344"/>
      <c r="H346" s="344"/>
      <c r="I346" s="344"/>
      <c r="J346" s="334"/>
      <c r="K346" s="335"/>
      <c r="L346" s="336"/>
      <c r="M346" s="336"/>
      <c r="N346" s="337"/>
      <c r="O346" s="337"/>
      <c r="P346" s="315"/>
      <c r="Q346" s="314"/>
      <c r="R346" s="317"/>
      <c r="S346" s="315"/>
      <c r="T346" s="315"/>
      <c r="U346" s="315"/>
      <c r="V346" s="258"/>
      <c r="W346" s="322"/>
      <c r="X346" s="318"/>
      <c r="Y346" s="315"/>
      <c r="Z346" s="318"/>
      <c r="AA346" s="314"/>
      <c r="AB346" s="336"/>
      <c r="AC346" s="314"/>
      <c r="AD346" s="316"/>
      <c r="AE346" s="315"/>
      <c r="AF346" s="315"/>
      <c r="AG346" s="315"/>
      <c r="AH346" s="315"/>
      <c r="AI346" s="377"/>
      <c r="AJ346" s="407"/>
      <c r="AK346" s="377"/>
      <c r="AL346" s="314"/>
      <c r="AM346" s="314"/>
      <c r="AN346" s="314"/>
      <c r="AO346" s="315"/>
      <c r="AP346" s="257"/>
      <c r="AQ346" s="257"/>
      <c r="AR346" s="257"/>
      <c r="AS346" s="315"/>
      <c r="AT346" s="257"/>
      <c r="AU346" s="257"/>
      <c r="AV346" s="316"/>
      <c r="AW346" s="314"/>
      <c r="AX346" s="315"/>
      <c r="AY346" s="315"/>
      <c r="AZ346" s="315"/>
      <c r="BA346" s="315"/>
      <c r="BB346" s="315"/>
      <c r="BC346" s="315"/>
      <c r="BD346" s="319"/>
      <c r="BE346" s="319"/>
      <c r="BF346" s="319"/>
      <c r="BG346" s="319"/>
      <c r="BH346" s="319"/>
      <c r="BI346" s="319"/>
      <c r="BJ346" s="319"/>
      <c r="BK346" s="315"/>
      <c r="BL346" s="316"/>
      <c r="BM346" s="314"/>
      <c r="BN346" s="319"/>
      <c r="BO346" s="315"/>
      <c r="BP346" s="314"/>
      <c r="BQ346" s="316"/>
      <c r="BR346" s="314"/>
      <c r="BS346" s="262"/>
      <c r="BT346" s="262"/>
    </row>
    <row r="347" spans="1:72" ht="45.75" customHeight="1">
      <c r="A347" s="342"/>
      <c r="B347" s="342"/>
      <c r="C347" s="342"/>
      <c r="D347" s="343"/>
      <c r="E347" s="342"/>
      <c r="F347" s="342"/>
      <c r="G347" s="344"/>
      <c r="H347" s="344"/>
      <c r="I347" s="344"/>
      <c r="J347" s="334"/>
      <c r="K347" s="335"/>
      <c r="L347" s="336"/>
      <c r="M347" s="336"/>
      <c r="N347" s="337"/>
      <c r="O347" s="337"/>
      <c r="P347" s="315"/>
      <c r="Q347" s="314"/>
      <c r="R347" s="317"/>
      <c r="S347" s="315"/>
      <c r="T347" s="315"/>
      <c r="U347" s="315"/>
      <c r="V347" s="258"/>
      <c r="W347" s="322"/>
      <c r="X347" s="318"/>
      <c r="Y347" s="315"/>
      <c r="Z347" s="318"/>
      <c r="AA347" s="314"/>
      <c r="AB347" s="336"/>
      <c r="AC347" s="314"/>
      <c r="AD347" s="316"/>
      <c r="AE347" s="315"/>
      <c r="AF347" s="315"/>
      <c r="AG347" s="315"/>
      <c r="AH347" s="315"/>
      <c r="AI347" s="377"/>
      <c r="AJ347" s="407"/>
      <c r="AK347" s="377"/>
      <c r="AL347" s="314"/>
      <c r="AM347" s="314"/>
      <c r="AN347" s="314"/>
      <c r="AO347" s="315"/>
      <c r="AP347" s="257"/>
      <c r="AQ347" s="257"/>
      <c r="AR347" s="257"/>
      <c r="AS347" s="315"/>
      <c r="AT347" s="257"/>
      <c r="AU347" s="257"/>
      <c r="AV347" s="316"/>
      <c r="AW347" s="314"/>
      <c r="AX347" s="315"/>
      <c r="AY347" s="315"/>
      <c r="AZ347" s="315"/>
      <c r="BA347" s="315"/>
      <c r="BB347" s="315"/>
      <c r="BC347" s="315"/>
      <c r="BD347" s="319"/>
      <c r="BE347" s="319"/>
      <c r="BF347" s="319"/>
      <c r="BG347" s="319"/>
      <c r="BH347" s="319"/>
      <c r="BI347" s="319"/>
      <c r="BJ347" s="319"/>
      <c r="BK347" s="315"/>
      <c r="BL347" s="316"/>
      <c r="BM347" s="314"/>
      <c r="BN347" s="319"/>
      <c r="BO347" s="315"/>
      <c r="BP347" s="314"/>
      <c r="BQ347" s="316"/>
      <c r="BR347" s="314"/>
      <c r="BS347" s="262"/>
      <c r="BT347" s="262"/>
    </row>
    <row r="348" spans="1:72" ht="45.75" customHeight="1">
      <c r="A348" s="342"/>
      <c r="B348" s="342"/>
      <c r="C348" s="342"/>
      <c r="D348" s="343"/>
      <c r="E348" s="342"/>
      <c r="F348" s="342"/>
      <c r="G348" s="344"/>
      <c r="H348" s="344"/>
      <c r="I348" s="344"/>
      <c r="J348" s="334"/>
      <c r="K348" s="335"/>
      <c r="L348" s="336"/>
      <c r="M348" s="336"/>
      <c r="N348" s="337"/>
      <c r="O348" s="337"/>
      <c r="P348" s="315"/>
      <c r="Q348" s="314"/>
      <c r="R348" s="317"/>
      <c r="S348" s="315"/>
      <c r="T348" s="315"/>
      <c r="U348" s="315"/>
      <c r="V348" s="258"/>
      <c r="W348" s="322"/>
      <c r="X348" s="318"/>
      <c r="Y348" s="315"/>
      <c r="Z348" s="318"/>
      <c r="AA348" s="314"/>
      <c r="AB348" s="336"/>
      <c r="AC348" s="314"/>
      <c r="AD348" s="316"/>
      <c r="AE348" s="315"/>
      <c r="AF348" s="315"/>
      <c r="AG348" s="315"/>
      <c r="AH348" s="315"/>
      <c r="AI348" s="377"/>
      <c r="AJ348" s="407"/>
      <c r="AK348" s="377"/>
      <c r="AL348" s="314"/>
      <c r="AM348" s="314"/>
      <c r="AN348" s="314"/>
      <c r="AO348" s="315"/>
      <c r="AP348" s="257"/>
      <c r="AQ348" s="257"/>
      <c r="AR348" s="257"/>
      <c r="AS348" s="315"/>
      <c r="AT348" s="257"/>
      <c r="AU348" s="257"/>
      <c r="AV348" s="316"/>
      <c r="AW348" s="314"/>
      <c r="AX348" s="315"/>
      <c r="AY348" s="315"/>
      <c r="AZ348" s="315"/>
      <c r="BA348" s="315"/>
      <c r="BB348" s="315"/>
      <c r="BC348" s="315"/>
      <c r="BD348" s="319"/>
      <c r="BE348" s="319"/>
      <c r="BF348" s="319"/>
      <c r="BG348" s="319"/>
      <c r="BH348" s="319"/>
      <c r="BI348" s="319"/>
      <c r="BJ348" s="319"/>
      <c r="BK348" s="315"/>
      <c r="BL348" s="316"/>
      <c r="BM348" s="314"/>
      <c r="BN348" s="319"/>
      <c r="BO348" s="315"/>
      <c r="BP348" s="314"/>
      <c r="BQ348" s="316"/>
      <c r="BR348" s="314"/>
      <c r="BS348" s="262"/>
      <c r="BT348" s="262"/>
    </row>
    <row r="349" spans="1:72" ht="45.75" customHeight="1">
      <c r="A349" s="342"/>
      <c r="B349" s="342"/>
      <c r="C349" s="342"/>
      <c r="D349" s="343"/>
      <c r="E349" s="342"/>
      <c r="F349" s="342"/>
      <c r="G349" s="344"/>
      <c r="H349" s="344"/>
      <c r="I349" s="344"/>
      <c r="J349" s="334"/>
      <c r="K349" s="335"/>
      <c r="L349" s="336"/>
      <c r="M349" s="336"/>
      <c r="N349" s="337"/>
      <c r="O349" s="337"/>
      <c r="P349" s="315"/>
      <c r="Q349" s="314"/>
      <c r="R349" s="317"/>
      <c r="S349" s="315"/>
      <c r="T349" s="315"/>
      <c r="U349" s="315"/>
      <c r="V349" s="258"/>
      <c r="W349" s="322"/>
      <c r="X349" s="318"/>
      <c r="Y349" s="315"/>
      <c r="Z349" s="318"/>
      <c r="AA349" s="314"/>
      <c r="AB349" s="336"/>
      <c r="AC349" s="314"/>
      <c r="AD349" s="316"/>
      <c r="AE349" s="315"/>
      <c r="AF349" s="315"/>
      <c r="AG349" s="315"/>
      <c r="AH349" s="315"/>
      <c r="AI349" s="377"/>
      <c r="AJ349" s="407"/>
      <c r="AK349" s="377"/>
      <c r="AL349" s="314"/>
      <c r="AM349" s="314"/>
      <c r="AN349" s="314"/>
      <c r="AO349" s="315"/>
      <c r="AP349" s="257"/>
      <c r="AQ349" s="257"/>
      <c r="AR349" s="257"/>
      <c r="AS349" s="315"/>
      <c r="AT349" s="257"/>
      <c r="AU349" s="257"/>
      <c r="AV349" s="316"/>
      <c r="AW349" s="314"/>
      <c r="AX349" s="315"/>
      <c r="AY349" s="315"/>
      <c r="AZ349" s="315"/>
      <c r="BA349" s="315"/>
      <c r="BB349" s="315"/>
      <c r="BC349" s="315"/>
      <c r="BD349" s="319"/>
      <c r="BE349" s="319"/>
      <c r="BF349" s="319"/>
      <c r="BG349" s="319"/>
      <c r="BH349" s="319"/>
      <c r="BI349" s="319"/>
      <c r="BJ349" s="319"/>
      <c r="BK349" s="315"/>
      <c r="BL349" s="316"/>
      <c r="BM349" s="314"/>
      <c r="BN349" s="319"/>
      <c r="BO349" s="315"/>
      <c r="BP349" s="314"/>
      <c r="BQ349" s="316"/>
      <c r="BR349" s="314"/>
      <c r="BS349" s="262"/>
      <c r="BT349" s="262"/>
    </row>
    <row r="350" spans="1:72" ht="45.75" customHeight="1">
      <c r="A350" s="342"/>
      <c r="B350" s="342"/>
      <c r="C350" s="342"/>
      <c r="D350" s="343"/>
      <c r="E350" s="342"/>
      <c r="F350" s="342"/>
      <c r="G350" s="344"/>
      <c r="H350" s="344"/>
      <c r="I350" s="344"/>
      <c r="J350" s="334"/>
      <c r="K350" s="335"/>
      <c r="L350" s="336"/>
      <c r="M350" s="336"/>
      <c r="N350" s="337"/>
      <c r="O350" s="337"/>
      <c r="P350" s="315"/>
      <c r="Q350" s="314"/>
      <c r="R350" s="317"/>
      <c r="S350" s="315"/>
      <c r="T350" s="315"/>
      <c r="U350" s="315"/>
      <c r="V350" s="258"/>
      <c r="W350" s="322"/>
      <c r="X350" s="318"/>
      <c r="Y350" s="315"/>
      <c r="Z350" s="318"/>
      <c r="AA350" s="314"/>
      <c r="AB350" s="336"/>
      <c r="AC350" s="314"/>
      <c r="AD350" s="316"/>
      <c r="AE350" s="315"/>
      <c r="AF350" s="315"/>
      <c r="AG350" s="315"/>
      <c r="AH350" s="315"/>
      <c r="AI350" s="377"/>
      <c r="AJ350" s="407"/>
      <c r="AK350" s="377"/>
      <c r="AL350" s="314"/>
      <c r="AM350" s="314"/>
      <c r="AN350" s="314"/>
      <c r="AO350" s="315"/>
      <c r="AP350" s="257"/>
      <c r="AQ350" s="257"/>
      <c r="AR350" s="257"/>
      <c r="AS350" s="315"/>
      <c r="AT350" s="257"/>
      <c r="AU350" s="257"/>
      <c r="AV350" s="316"/>
      <c r="AW350" s="314"/>
      <c r="AX350" s="315"/>
      <c r="AY350" s="315"/>
      <c r="AZ350" s="315"/>
      <c r="BA350" s="315"/>
      <c r="BB350" s="315"/>
      <c r="BC350" s="315"/>
      <c r="BD350" s="319"/>
      <c r="BE350" s="319"/>
      <c r="BF350" s="319"/>
      <c r="BG350" s="319"/>
      <c r="BH350" s="319"/>
      <c r="BI350" s="319"/>
      <c r="BJ350" s="319"/>
      <c r="BK350" s="315"/>
      <c r="BL350" s="316"/>
      <c r="BM350" s="314"/>
      <c r="BN350" s="319"/>
      <c r="BO350" s="315"/>
      <c r="BP350" s="314"/>
      <c r="BQ350" s="316"/>
      <c r="BR350" s="314"/>
      <c r="BS350" s="262"/>
      <c r="BT350" s="262"/>
    </row>
    <row r="351" spans="1:72" ht="45.75" customHeight="1">
      <c r="A351" s="342"/>
      <c r="B351" s="342"/>
      <c r="C351" s="342"/>
      <c r="D351" s="343"/>
      <c r="E351" s="342"/>
      <c r="F351" s="342"/>
      <c r="G351" s="344"/>
      <c r="H351" s="344"/>
      <c r="I351" s="344"/>
      <c r="J351" s="334"/>
      <c r="K351" s="335"/>
      <c r="L351" s="336"/>
      <c r="M351" s="336"/>
      <c r="N351" s="337"/>
      <c r="O351" s="337"/>
      <c r="P351" s="315"/>
      <c r="Q351" s="314"/>
      <c r="R351" s="317"/>
      <c r="S351" s="315"/>
      <c r="T351" s="315"/>
      <c r="U351" s="315"/>
      <c r="V351" s="258"/>
      <c r="W351" s="322"/>
      <c r="X351" s="318"/>
      <c r="Y351" s="315"/>
      <c r="Z351" s="318"/>
      <c r="AA351" s="314"/>
      <c r="AB351" s="336"/>
      <c r="AC351" s="314"/>
      <c r="AD351" s="316"/>
      <c r="AE351" s="315"/>
      <c r="AF351" s="315"/>
      <c r="AG351" s="315"/>
      <c r="AH351" s="315"/>
      <c r="AI351" s="377"/>
      <c r="AJ351" s="407"/>
      <c r="AK351" s="377"/>
      <c r="AL351" s="314"/>
      <c r="AM351" s="314"/>
      <c r="AN351" s="314"/>
      <c r="AO351" s="315"/>
      <c r="AP351" s="257"/>
      <c r="AQ351" s="257"/>
      <c r="AR351" s="257"/>
      <c r="AS351" s="315"/>
      <c r="AT351" s="257"/>
      <c r="AU351" s="257"/>
      <c r="AV351" s="316"/>
      <c r="AW351" s="314"/>
      <c r="AX351" s="315"/>
      <c r="AY351" s="315"/>
      <c r="AZ351" s="315"/>
      <c r="BA351" s="315"/>
      <c r="BB351" s="315"/>
      <c r="BC351" s="315"/>
      <c r="BD351" s="319"/>
      <c r="BE351" s="319"/>
      <c r="BF351" s="319"/>
      <c r="BG351" s="319"/>
      <c r="BH351" s="319"/>
      <c r="BI351" s="319"/>
      <c r="BJ351" s="319"/>
      <c r="BK351" s="315"/>
      <c r="BL351" s="316"/>
      <c r="BM351" s="314"/>
      <c r="BN351" s="319"/>
      <c r="BO351" s="315"/>
      <c r="BP351" s="314"/>
      <c r="BQ351" s="316"/>
      <c r="BR351" s="314"/>
      <c r="BS351" s="262"/>
      <c r="BT351" s="262"/>
    </row>
    <row r="352" spans="1:72" ht="45.75" customHeight="1">
      <c r="A352" s="342"/>
      <c r="B352" s="342"/>
      <c r="C352" s="342"/>
      <c r="D352" s="343"/>
      <c r="E352" s="342"/>
      <c r="F352" s="342"/>
      <c r="G352" s="344"/>
      <c r="H352" s="344"/>
      <c r="I352" s="344"/>
      <c r="J352" s="334"/>
      <c r="K352" s="335"/>
      <c r="L352" s="336"/>
      <c r="M352" s="336"/>
      <c r="N352" s="337"/>
      <c r="O352" s="337"/>
      <c r="P352" s="315"/>
      <c r="Q352" s="314"/>
      <c r="R352" s="317"/>
      <c r="S352" s="315"/>
      <c r="T352" s="315"/>
      <c r="U352" s="315"/>
      <c r="V352" s="258"/>
      <c r="W352" s="322"/>
      <c r="X352" s="318"/>
      <c r="Y352" s="315"/>
      <c r="Z352" s="318"/>
      <c r="AA352" s="314"/>
      <c r="AB352" s="336"/>
      <c r="AC352" s="314"/>
      <c r="AD352" s="316"/>
      <c r="AE352" s="315"/>
      <c r="AF352" s="315"/>
      <c r="AG352" s="315"/>
      <c r="AH352" s="315"/>
      <c r="AI352" s="377"/>
      <c r="AJ352" s="407"/>
      <c r="AK352" s="377"/>
      <c r="AL352" s="314"/>
      <c r="AM352" s="314"/>
      <c r="AN352" s="314"/>
      <c r="AO352" s="315"/>
      <c r="AP352" s="257"/>
      <c r="AQ352" s="257"/>
      <c r="AR352" s="257"/>
      <c r="AS352" s="315"/>
      <c r="AT352" s="257"/>
      <c r="AU352" s="257"/>
      <c r="AV352" s="316"/>
      <c r="AW352" s="314"/>
      <c r="AX352" s="315"/>
      <c r="AY352" s="315"/>
      <c r="AZ352" s="315"/>
      <c r="BA352" s="315"/>
      <c r="BB352" s="315"/>
      <c r="BC352" s="315"/>
      <c r="BD352" s="319"/>
      <c r="BE352" s="319"/>
      <c r="BF352" s="319"/>
      <c r="BG352" s="319"/>
      <c r="BH352" s="319"/>
      <c r="BI352" s="319"/>
      <c r="BJ352" s="319"/>
      <c r="BK352" s="315"/>
      <c r="BL352" s="316"/>
      <c r="BM352" s="314"/>
      <c r="BN352" s="319"/>
      <c r="BO352" s="315"/>
      <c r="BP352" s="314"/>
      <c r="BQ352" s="316"/>
      <c r="BR352" s="314"/>
      <c r="BS352" s="262"/>
      <c r="BT352" s="262"/>
    </row>
    <row r="353" spans="1:72" ht="45.75" customHeight="1">
      <c r="A353" s="342"/>
      <c r="B353" s="342"/>
      <c r="C353" s="342"/>
      <c r="D353" s="343"/>
      <c r="E353" s="342"/>
      <c r="F353" s="342"/>
      <c r="G353" s="344"/>
      <c r="H353" s="344"/>
      <c r="I353" s="344"/>
      <c r="J353" s="334"/>
      <c r="K353" s="335"/>
      <c r="L353" s="336"/>
      <c r="M353" s="336"/>
      <c r="N353" s="337"/>
      <c r="O353" s="337"/>
      <c r="P353" s="315"/>
      <c r="Q353" s="314"/>
      <c r="R353" s="317"/>
      <c r="S353" s="315"/>
      <c r="T353" s="315"/>
      <c r="U353" s="315"/>
      <c r="V353" s="258"/>
      <c r="W353" s="322"/>
      <c r="X353" s="318"/>
      <c r="Y353" s="315"/>
      <c r="Z353" s="318"/>
      <c r="AA353" s="314"/>
      <c r="AB353" s="336"/>
      <c r="AC353" s="314"/>
      <c r="AD353" s="316"/>
      <c r="AE353" s="315"/>
      <c r="AF353" s="315"/>
      <c r="AG353" s="315"/>
      <c r="AH353" s="315"/>
      <c r="AI353" s="377"/>
      <c r="AJ353" s="407"/>
      <c r="AK353" s="377"/>
      <c r="AL353" s="314"/>
      <c r="AM353" s="314"/>
      <c r="AN353" s="314"/>
      <c r="AO353" s="315"/>
      <c r="AP353" s="257"/>
      <c r="AQ353" s="257"/>
      <c r="AR353" s="257"/>
      <c r="AS353" s="315"/>
      <c r="AT353" s="257"/>
      <c r="AU353" s="257"/>
      <c r="AV353" s="316"/>
      <c r="AW353" s="314"/>
      <c r="AX353" s="315"/>
      <c r="AY353" s="315"/>
      <c r="AZ353" s="315"/>
      <c r="BA353" s="315"/>
      <c r="BB353" s="315"/>
      <c r="BC353" s="315"/>
      <c r="BD353" s="319"/>
      <c r="BE353" s="319"/>
      <c r="BF353" s="319"/>
      <c r="BG353" s="319"/>
      <c r="BH353" s="319"/>
      <c r="BI353" s="319"/>
      <c r="BJ353" s="319"/>
      <c r="BK353" s="315"/>
      <c r="BL353" s="316"/>
      <c r="BM353" s="314"/>
      <c r="BN353" s="319"/>
      <c r="BO353" s="315"/>
      <c r="BP353" s="314"/>
      <c r="BQ353" s="316"/>
      <c r="BR353" s="314"/>
      <c r="BS353" s="262"/>
      <c r="BT353" s="262"/>
    </row>
    <row r="354" spans="1:72" ht="45.75" customHeight="1">
      <c r="A354" s="342"/>
      <c r="B354" s="342"/>
      <c r="C354" s="342"/>
      <c r="D354" s="343"/>
      <c r="E354" s="342"/>
      <c r="F354" s="342"/>
      <c r="G354" s="344"/>
      <c r="H354" s="344"/>
      <c r="I354" s="344"/>
      <c r="J354" s="334"/>
      <c r="K354" s="335"/>
      <c r="L354" s="336"/>
      <c r="M354" s="336"/>
      <c r="N354" s="337"/>
      <c r="O354" s="337"/>
      <c r="P354" s="315"/>
      <c r="Q354" s="314"/>
      <c r="R354" s="317"/>
      <c r="S354" s="315"/>
      <c r="T354" s="315"/>
      <c r="U354" s="315"/>
      <c r="V354" s="258"/>
      <c r="W354" s="322"/>
      <c r="X354" s="318"/>
      <c r="Y354" s="315"/>
      <c r="Z354" s="318"/>
      <c r="AA354" s="314"/>
      <c r="AB354" s="336"/>
      <c r="AC354" s="314"/>
      <c r="AD354" s="316"/>
      <c r="AE354" s="315"/>
      <c r="AF354" s="315"/>
      <c r="AG354" s="315"/>
      <c r="AH354" s="315"/>
      <c r="AI354" s="377"/>
      <c r="AJ354" s="407"/>
      <c r="AK354" s="377"/>
      <c r="AL354" s="314"/>
      <c r="AM354" s="314"/>
      <c r="AN354" s="314"/>
      <c r="AO354" s="315"/>
      <c r="AP354" s="257"/>
      <c r="AQ354" s="257"/>
      <c r="AR354" s="257"/>
      <c r="AS354" s="315"/>
      <c r="AT354" s="257"/>
      <c r="AU354" s="257"/>
      <c r="AV354" s="316"/>
      <c r="AW354" s="314"/>
      <c r="AX354" s="315"/>
      <c r="AY354" s="315"/>
      <c r="AZ354" s="315"/>
      <c r="BA354" s="315"/>
      <c r="BB354" s="315"/>
      <c r="BC354" s="315"/>
      <c r="BD354" s="319"/>
      <c r="BE354" s="319"/>
      <c r="BF354" s="319"/>
      <c r="BG354" s="319"/>
      <c r="BH354" s="319"/>
      <c r="BI354" s="319"/>
      <c r="BJ354" s="319"/>
      <c r="BK354" s="315"/>
      <c r="BL354" s="316"/>
      <c r="BM354" s="314"/>
      <c r="BN354" s="319"/>
      <c r="BO354" s="315"/>
      <c r="BP354" s="314"/>
      <c r="BQ354" s="316"/>
      <c r="BR354" s="314"/>
      <c r="BS354" s="262"/>
      <c r="BT354" s="262"/>
    </row>
    <row r="355" spans="1:72" ht="45.75" customHeight="1">
      <c r="A355" s="342"/>
      <c r="B355" s="342"/>
      <c r="C355" s="342"/>
      <c r="D355" s="343"/>
      <c r="E355" s="342"/>
      <c r="F355" s="342"/>
      <c r="G355" s="344"/>
      <c r="H355" s="344"/>
      <c r="I355" s="344"/>
      <c r="J355" s="334"/>
      <c r="K355" s="335"/>
      <c r="L355" s="336"/>
      <c r="M355" s="336"/>
      <c r="N355" s="337"/>
      <c r="O355" s="337"/>
      <c r="P355" s="315"/>
      <c r="Q355" s="314"/>
      <c r="R355" s="317"/>
      <c r="S355" s="315"/>
      <c r="T355" s="315"/>
      <c r="U355" s="315"/>
      <c r="V355" s="258"/>
      <c r="W355" s="322"/>
      <c r="X355" s="318"/>
      <c r="Y355" s="315"/>
      <c r="Z355" s="318"/>
      <c r="AA355" s="314"/>
      <c r="AB355" s="336"/>
      <c r="AC355" s="314"/>
      <c r="AD355" s="316"/>
      <c r="AE355" s="315"/>
      <c r="AF355" s="315"/>
      <c r="AG355" s="315"/>
      <c r="AH355" s="315"/>
      <c r="AI355" s="377"/>
      <c r="AJ355" s="407"/>
      <c r="AK355" s="377"/>
      <c r="AL355" s="314"/>
      <c r="AM355" s="314"/>
      <c r="AN355" s="314"/>
      <c r="AO355" s="315"/>
      <c r="AP355" s="257"/>
      <c r="AQ355" s="257"/>
      <c r="AR355" s="257"/>
      <c r="AS355" s="315"/>
      <c r="AT355" s="257"/>
      <c r="AU355" s="257"/>
      <c r="AV355" s="316"/>
      <c r="AW355" s="314"/>
      <c r="AX355" s="315"/>
      <c r="AY355" s="315"/>
      <c r="AZ355" s="315"/>
      <c r="BA355" s="315"/>
      <c r="BB355" s="315"/>
      <c r="BC355" s="315"/>
      <c r="BD355" s="319"/>
      <c r="BE355" s="319"/>
      <c r="BF355" s="319"/>
      <c r="BG355" s="319"/>
      <c r="BH355" s="319"/>
      <c r="BI355" s="319"/>
      <c r="BJ355" s="319"/>
      <c r="BK355" s="315"/>
      <c r="BL355" s="316"/>
      <c r="BM355" s="314"/>
      <c r="BN355" s="319"/>
      <c r="BO355" s="315"/>
      <c r="BP355" s="314"/>
      <c r="BQ355" s="316"/>
      <c r="BR355" s="314"/>
      <c r="BS355" s="262"/>
      <c r="BT355" s="262"/>
    </row>
    <row r="356" spans="1:72" ht="45.75" customHeight="1">
      <c r="A356" s="342"/>
      <c r="B356" s="342"/>
      <c r="C356" s="342"/>
      <c r="D356" s="343"/>
      <c r="E356" s="342"/>
      <c r="F356" s="342"/>
      <c r="G356" s="344"/>
      <c r="H356" s="344"/>
      <c r="I356" s="344"/>
      <c r="J356" s="334"/>
      <c r="K356" s="335"/>
      <c r="L356" s="336"/>
      <c r="M356" s="336"/>
      <c r="N356" s="337"/>
      <c r="O356" s="337"/>
      <c r="P356" s="315"/>
      <c r="Q356" s="314"/>
      <c r="R356" s="317"/>
      <c r="S356" s="315"/>
      <c r="T356" s="315"/>
      <c r="U356" s="315"/>
      <c r="V356" s="258"/>
      <c r="W356" s="322"/>
      <c r="X356" s="318"/>
      <c r="Y356" s="315"/>
      <c r="Z356" s="318"/>
      <c r="AA356" s="314"/>
      <c r="AB356" s="336"/>
      <c r="AC356" s="314"/>
      <c r="AD356" s="316"/>
      <c r="AE356" s="315"/>
      <c r="AF356" s="315"/>
      <c r="AG356" s="315"/>
      <c r="AH356" s="315"/>
      <c r="AI356" s="377"/>
      <c r="AJ356" s="407"/>
      <c r="AK356" s="377"/>
      <c r="AL356" s="314"/>
      <c r="AM356" s="314"/>
      <c r="AN356" s="314"/>
      <c r="AO356" s="315"/>
      <c r="AP356" s="257"/>
      <c r="AQ356" s="257"/>
      <c r="AR356" s="257"/>
      <c r="AS356" s="315"/>
      <c r="AT356" s="257"/>
      <c r="AU356" s="257"/>
      <c r="AV356" s="316"/>
      <c r="AW356" s="314"/>
      <c r="AX356" s="315"/>
      <c r="AY356" s="315"/>
      <c r="AZ356" s="315"/>
      <c r="BA356" s="315"/>
      <c r="BB356" s="315"/>
      <c r="BC356" s="315"/>
      <c r="BD356" s="319"/>
      <c r="BE356" s="319"/>
      <c r="BF356" s="319"/>
      <c r="BG356" s="319"/>
      <c r="BH356" s="319"/>
      <c r="BI356" s="319"/>
      <c r="BJ356" s="319"/>
      <c r="BK356" s="315"/>
      <c r="BL356" s="316"/>
      <c r="BM356" s="314"/>
      <c r="BN356" s="319"/>
      <c r="BO356" s="315"/>
      <c r="BP356" s="314"/>
      <c r="BQ356" s="316"/>
      <c r="BR356" s="314"/>
      <c r="BS356" s="262"/>
      <c r="BT356" s="262"/>
    </row>
    <row r="357" spans="1:72" ht="45.75" customHeight="1">
      <c r="A357" s="342"/>
      <c r="B357" s="342"/>
      <c r="C357" s="342"/>
      <c r="D357" s="343"/>
      <c r="E357" s="342"/>
      <c r="F357" s="342"/>
      <c r="G357" s="344"/>
      <c r="H357" s="344"/>
      <c r="I357" s="344"/>
      <c r="J357" s="334"/>
      <c r="K357" s="335"/>
      <c r="L357" s="336"/>
      <c r="M357" s="336"/>
      <c r="N357" s="337"/>
      <c r="O357" s="337"/>
      <c r="P357" s="315"/>
      <c r="Q357" s="314"/>
      <c r="R357" s="317"/>
      <c r="S357" s="315"/>
      <c r="T357" s="315"/>
      <c r="U357" s="315"/>
      <c r="V357" s="258"/>
      <c r="W357" s="322"/>
      <c r="X357" s="318"/>
      <c r="Y357" s="315"/>
      <c r="Z357" s="318"/>
      <c r="AA357" s="314"/>
      <c r="AB357" s="336"/>
      <c r="AC357" s="314"/>
      <c r="AD357" s="316"/>
      <c r="AE357" s="315"/>
      <c r="AF357" s="315"/>
      <c r="AG357" s="315"/>
      <c r="AH357" s="315"/>
      <c r="AI357" s="377"/>
      <c r="AJ357" s="407"/>
      <c r="AK357" s="377"/>
      <c r="AL357" s="314"/>
      <c r="AM357" s="314"/>
      <c r="AN357" s="314"/>
      <c r="AO357" s="315"/>
      <c r="AP357" s="257"/>
      <c r="AQ357" s="257"/>
      <c r="AR357" s="257"/>
      <c r="AS357" s="315"/>
      <c r="AT357" s="257"/>
      <c r="AU357" s="257"/>
      <c r="AV357" s="316"/>
      <c r="AW357" s="314"/>
      <c r="AX357" s="315"/>
      <c r="AY357" s="315"/>
      <c r="AZ357" s="315"/>
      <c r="BA357" s="315"/>
      <c r="BB357" s="315"/>
      <c r="BC357" s="315"/>
      <c r="BD357" s="319"/>
      <c r="BE357" s="319"/>
      <c r="BF357" s="319"/>
      <c r="BG357" s="319"/>
      <c r="BH357" s="319"/>
      <c r="BI357" s="319"/>
      <c r="BJ357" s="319"/>
      <c r="BK357" s="315"/>
      <c r="BL357" s="316"/>
      <c r="BM357" s="314"/>
      <c r="BN357" s="319"/>
      <c r="BO357" s="315"/>
      <c r="BP357" s="314"/>
      <c r="BQ357" s="316"/>
      <c r="BR357" s="314"/>
      <c r="BS357" s="262"/>
      <c r="BT357" s="262"/>
    </row>
    <row r="358" spans="1:72" ht="45.75" customHeight="1">
      <c r="A358" s="342"/>
      <c r="B358" s="342"/>
      <c r="C358" s="342"/>
      <c r="D358" s="343"/>
      <c r="E358" s="342"/>
      <c r="F358" s="342"/>
      <c r="G358" s="344"/>
      <c r="H358" s="344"/>
      <c r="I358" s="344"/>
      <c r="J358" s="334"/>
      <c r="K358" s="335"/>
      <c r="L358" s="336"/>
      <c r="M358" s="336"/>
      <c r="N358" s="337"/>
      <c r="O358" s="337"/>
      <c r="P358" s="315"/>
      <c r="Q358" s="314"/>
      <c r="R358" s="317"/>
      <c r="S358" s="315"/>
      <c r="T358" s="315"/>
      <c r="U358" s="315"/>
      <c r="V358" s="258"/>
      <c r="W358" s="322"/>
      <c r="X358" s="318"/>
      <c r="Y358" s="315"/>
      <c r="Z358" s="318"/>
      <c r="AA358" s="314"/>
      <c r="AB358" s="336"/>
      <c r="AC358" s="314"/>
      <c r="AD358" s="316"/>
      <c r="AE358" s="315"/>
      <c r="AF358" s="315"/>
      <c r="AG358" s="315"/>
      <c r="AH358" s="315"/>
      <c r="AI358" s="377"/>
      <c r="AJ358" s="407"/>
      <c r="AK358" s="377"/>
      <c r="AL358" s="314"/>
      <c r="AM358" s="314"/>
      <c r="AN358" s="314"/>
      <c r="AO358" s="315"/>
      <c r="AP358" s="257"/>
      <c r="AQ358" s="257"/>
      <c r="AR358" s="257"/>
      <c r="AS358" s="315"/>
      <c r="AT358" s="257"/>
      <c r="AU358" s="257"/>
      <c r="AV358" s="316"/>
      <c r="AW358" s="314"/>
      <c r="AX358" s="315"/>
      <c r="AY358" s="315"/>
      <c r="AZ358" s="315"/>
      <c r="BA358" s="315"/>
      <c r="BB358" s="315"/>
      <c r="BC358" s="315"/>
      <c r="BD358" s="319"/>
      <c r="BE358" s="319"/>
      <c r="BF358" s="319"/>
      <c r="BG358" s="319"/>
      <c r="BH358" s="319"/>
      <c r="BI358" s="319"/>
      <c r="BJ358" s="319"/>
      <c r="BK358" s="315"/>
      <c r="BL358" s="316"/>
      <c r="BM358" s="314"/>
      <c r="BN358" s="319"/>
      <c r="BO358" s="315"/>
      <c r="BP358" s="314"/>
      <c r="BQ358" s="316"/>
      <c r="BR358" s="314"/>
      <c r="BS358" s="262"/>
      <c r="BT358" s="262"/>
    </row>
    <row r="359" spans="1:72" ht="45.75" customHeight="1">
      <c r="A359" s="342"/>
      <c r="B359" s="342"/>
      <c r="C359" s="342"/>
      <c r="D359" s="343"/>
      <c r="E359" s="342"/>
      <c r="F359" s="342"/>
      <c r="G359" s="344"/>
      <c r="H359" s="344"/>
      <c r="I359" s="344"/>
      <c r="J359" s="334"/>
      <c r="K359" s="335"/>
      <c r="L359" s="336"/>
      <c r="M359" s="336"/>
      <c r="N359" s="337"/>
      <c r="O359" s="337"/>
      <c r="P359" s="315"/>
      <c r="Q359" s="314"/>
      <c r="R359" s="317"/>
      <c r="S359" s="315"/>
      <c r="T359" s="315"/>
      <c r="U359" s="315"/>
      <c r="V359" s="258"/>
      <c r="W359" s="322"/>
      <c r="X359" s="318"/>
      <c r="Y359" s="315"/>
      <c r="Z359" s="318"/>
      <c r="AA359" s="314"/>
      <c r="AB359" s="336"/>
      <c r="AC359" s="314"/>
      <c r="AD359" s="316"/>
      <c r="AE359" s="315"/>
      <c r="AF359" s="315"/>
      <c r="AG359" s="315"/>
      <c r="AH359" s="315"/>
      <c r="AI359" s="377"/>
      <c r="AJ359" s="407"/>
      <c r="AK359" s="377"/>
      <c r="AL359" s="314"/>
      <c r="AM359" s="314"/>
      <c r="AN359" s="314"/>
      <c r="AO359" s="315"/>
      <c r="AP359" s="257"/>
      <c r="AQ359" s="257"/>
      <c r="AR359" s="257"/>
      <c r="AS359" s="315"/>
      <c r="AT359" s="257"/>
      <c r="AU359" s="257"/>
      <c r="AV359" s="316"/>
      <c r="AW359" s="314"/>
      <c r="AX359" s="315"/>
      <c r="AY359" s="315"/>
      <c r="AZ359" s="315"/>
      <c r="BA359" s="315"/>
      <c r="BB359" s="315"/>
      <c r="BC359" s="315"/>
      <c r="BD359" s="319"/>
      <c r="BE359" s="319"/>
      <c r="BF359" s="319"/>
      <c r="BG359" s="319"/>
      <c r="BH359" s="319"/>
      <c r="BI359" s="319"/>
      <c r="BJ359" s="319"/>
      <c r="BK359" s="315"/>
      <c r="BL359" s="316"/>
      <c r="BM359" s="314"/>
      <c r="BN359" s="319"/>
      <c r="BO359" s="315"/>
      <c r="BP359" s="314"/>
      <c r="BQ359" s="316"/>
      <c r="BR359" s="314"/>
      <c r="BS359" s="262"/>
      <c r="BT359" s="262"/>
    </row>
    <row r="360" spans="1:72" ht="45.75" customHeight="1">
      <c r="A360" s="342"/>
      <c r="B360" s="342"/>
      <c r="C360" s="342"/>
      <c r="D360" s="343"/>
      <c r="E360" s="342"/>
      <c r="F360" s="342"/>
      <c r="G360" s="344"/>
      <c r="H360" s="344"/>
      <c r="I360" s="344"/>
      <c r="J360" s="334"/>
      <c r="K360" s="335"/>
      <c r="L360" s="336"/>
      <c r="M360" s="336"/>
      <c r="N360" s="337"/>
      <c r="O360" s="337"/>
      <c r="P360" s="315"/>
      <c r="Q360" s="314"/>
      <c r="R360" s="317"/>
      <c r="S360" s="315"/>
      <c r="T360" s="315"/>
      <c r="U360" s="315"/>
      <c r="V360" s="258"/>
      <c r="W360" s="322"/>
      <c r="X360" s="318"/>
      <c r="Y360" s="315"/>
      <c r="Z360" s="318"/>
      <c r="AA360" s="314"/>
      <c r="AB360" s="336"/>
      <c r="AC360" s="314"/>
      <c r="AD360" s="316"/>
      <c r="AE360" s="315"/>
      <c r="AF360" s="315"/>
      <c r="AG360" s="315"/>
      <c r="AH360" s="315"/>
      <c r="AI360" s="377"/>
      <c r="AJ360" s="407"/>
      <c r="AK360" s="377"/>
      <c r="AL360" s="314"/>
      <c r="AM360" s="314"/>
      <c r="AN360" s="314"/>
      <c r="AO360" s="315"/>
      <c r="AP360" s="257"/>
      <c r="AQ360" s="257"/>
      <c r="AR360" s="257"/>
      <c r="AS360" s="315"/>
      <c r="AT360" s="257"/>
      <c r="AU360" s="257"/>
      <c r="AV360" s="316"/>
      <c r="AW360" s="314"/>
      <c r="AX360" s="315"/>
      <c r="AY360" s="315"/>
      <c r="AZ360" s="315"/>
      <c r="BA360" s="315"/>
      <c r="BB360" s="315"/>
      <c r="BC360" s="315"/>
      <c r="BD360" s="319"/>
      <c r="BE360" s="319"/>
      <c r="BF360" s="319"/>
      <c r="BG360" s="319"/>
      <c r="BH360" s="319"/>
      <c r="BI360" s="319"/>
      <c r="BJ360" s="319"/>
      <c r="BK360" s="315"/>
      <c r="BL360" s="316"/>
      <c r="BM360" s="314"/>
      <c r="BN360" s="319"/>
      <c r="BO360" s="315"/>
      <c r="BP360" s="314"/>
      <c r="BQ360" s="316"/>
      <c r="BR360" s="314"/>
      <c r="BS360" s="262"/>
      <c r="BT360" s="262"/>
    </row>
    <row r="361" spans="1:72" ht="45.75" customHeight="1">
      <c r="A361" s="342"/>
      <c r="B361" s="342"/>
      <c r="C361" s="342"/>
      <c r="D361" s="343"/>
      <c r="E361" s="342"/>
      <c r="F361" s="342"/>
      <c r="G361" s="344"/>
      <c r="H361" s="344"/>
      <c r="I361" s="344"/>
      <c r="J361" s="334"/>
      <c r="K361" s="335"/>
      <c r="L361" s="336"/>
      <c r="M361" s="336"/>
      <c r="N361" s="337"/>
      <c r="O361" s="337"/>
      <c r="P361" s="315"/>
      <c r="Q361" s="314"/>
      <c r="R361" s="317"/>
      <c r="S361" s="315"/>
      <c r="T361" s="315"/>
      <c r="U361" s="315"/>
      <c r="V361" s="258"/>
      <c r="W361" s="322"/>
      <c r="X361" s="318"/>
      <c r="Y361" s="315"/>
      <c r="Z361" s="318"/>
      <c r="AA361" s="314"/>
      <c r="AB361" s="336"/>
      <c r="AC361" s="314"/>
      <c r="AD361" s="316"/>
      <c r="AE361" s="315"/>
      <c r="AF361" s="315"/>
      <c r="AG361" s="315"/>
      <c r="AH361" s="315"/>
      <c r="AI361" s="377"/>
      <c r="AJ361" s="407"/>
      <c r="AK361" s="377"/>
      <c r="AL361" s="314"/>
      <c r="AM361" s="314"/>
      <c r="AN361" s="314"/>
      <c r="AO361" s="315"/>
      <c r="AP361" s="257"/>
      <c r="AQ361" s="257"/>
      <c r="AR361" s="257"/>
      <c r="AS361" s="315"/>
      <c r="AT361" s="257"/>
      <c r="AU361" s="257"/>
      <c r="AV361" s="316"/>
      <c r="AW361" s="314"/>
      <c r="AX361" s="315"/>
      <c r="AY361" s="315"/>
      <c r="AZ361" s="315"/>
      <c r="BA361" s="315"/>
      <c r="BB361" s="315"/>
      <c r="BC361" s="315"/>
      <c r="BD361" s="319"/>
      <c r="BE361" s="319"/>
      <c r="BF361" s="319"/>
      <c r="BG361" s="319"/>
      <c r="BH361" s="319"/>
      <c r="BI361" s="319"/>
      <c r="BJ361" s="319"/>
      <c r="BK361" s="315"/>
      <c r="BL361" s="316"/>
      <c r="BM361" s="314"/>
      <c r="BN361" s="319"/>
      <c r="BO361" s="315"/>
      <c r="BP361" s="314"/>
      <c r="BQ361" s="316"/>
      <c r="BR361" s="314"/>
      <c r="BS361" s="262"/>
      <c r="BT361" s="262"/>
    </row>
    <row r="362" spans="1:72" ht="45.75" customHeight="1">
      <c r="A362" s="342"/>
      <c r="B362" s="342"/>
      <c r="C362" s="342"/>
      <c r="D362" s="343"/>
      <c r="E362" s="342"/>
      <c r="F362" s="342"/>
      <c r="G362" s="344"/>
      <c r="H362" s="344"/>
      <c r="I362" s="344"/>
      <c r="J362" s="334"/>
      <c r="K362" s="335"/>
      <c r="L362" s="336"/>
      <c r="M362" s="336"/>
      <c r="N362" s="337"/>
      <c r="O362" s="337"/>
      <c r="P362" s="315"/>
      <c r="Q362" s="314"/>
      <c r="R362" s="317"/>
      <c r="S362" s="315"/>
      <c r="T362" s="315"/>
      <c r="U362" s="315"/>
      <c r="V362" s="258"/>
      <c r="W362" s="322"/>
      <c r="X362" s="318"/>
      <c r="Y362" s="315"/>
      <c r="Z362" s="318"/>
      <c r="AA362" s="314"/>
      <c r="AB362" s="336"/>
      <c r="AC362" s="314"/>
      <c r="AD362" s="316"/>
      <c r="AE362" s="315"/>
      <c r="AF362" s="315"/>
      <c r="AG362" s="315"/>
      <c r="AH362" s="315"/>
      <c r="AI362" s="377"/>
      <c r="AJ362" s="407"/>
      <c r="AK362" s="377"/>
      <c r="AL362" s="314"/>
      <c r="AM362" s="314"/>
      <c r="AN362" s="314"/>
      <c r="AO362" s="315"/>
      <c r="AP362" s="257"/>
      <c r="AQ362" s="257"/>
      <c r="AR362" s="257"/>
      <c r="AS362" s="315"/>
      <c r="AT362" s="257"/>
      <c r="AU362" s="257"/>
      <c r="AV362" s="316"/>
      <c r="AW362" s="314"/>
      <c r="AX362" s="315"/>
      <c r="AY362" s="315"/>
      <c r="AZ362" s="315"/>
      <c r="BA362" s="315"/>
      <c r="BB362" s="315"/>
      <c r="BC362" s="315"/>
      <c r="BD362" s="319"/>
      <c r="BE362" s="319"/>
      <c r="BF362" s="319"/>
      <c r="BG362" s="319"/>
      <c r="BH362" s="319"/>
      <c r="BI362" s="319"/>
      <c r="BJ362" s="319"/>
      <c r="BK362" s="315"/>
      <c r="BL362" s="316"/>
      <c r="BM362" s="314"/>
      <c r="BN362" s="319"/>
      <c r="BO362" s="315"/>
      <c r="BP362" s="314"/>
      <c r="BQ362" s="316"/>
      <c r="BR362" s="314"/>
      <c r="BS362" s="262"/>
      <c r="BT362" s="262"/>
    </row>
    <row r="363" spans="1:72" ht="45.75" customHeight="1">
      <c r="A363" s="342"/>
      <c r="B363" s="342"/>
      <c r="C363" s="342"/>
      <c r="D363" s="343"/>
      <c r="E363" s="342"/>
      <c r="F363" s="342"/>
      <c r="G363" s="344"/>
      <c r="H363" s="344"/>
      <c r="I363" s="344"/>
      <c r="J363" s="334"/>
      <c r="K363" s="335"/>
      <c r="L363" s="336"/>
      <c r="M363" s="336"/>
      <c r="N363" s="337"/>
      <c r="O363" s="337"/>
      <c r="P363" s="315"/>
      <c r="Q363" s="314"/>
      <c r="R363" s="317"/>
      <c r="S363" s="315"/>
      <c r="T363" s="315"/>
      <c r="U363" s="315"/>
      <c r="V363" s="258"/>
      <c r="W363" s="322"/>
      <c r="X363" s="318"/>
      <c r="Y363" s="315"/>
      <c r="Z363" s="318"/>
      <c r="AA363" s="314"/>
      <c r="AB363" s="336"/>
      <c r="AC363" s="314"/>
      <c r="AD363" s="316"/>
      <c r="AE363" s="315"/>
      <c r="AF363" s="315"/>
      <c r="AG363" s="315"/>
      <c r="AH363" s="315"/>
      <c r="AI363" s="377"/>
      <c r="AJ363" s="407"/>
      <c r="AK363" s="377"/>
      <c r="AL363" s="314"/>
      <c r="AM363" s="314"/>
      <c r="AN363" s="314"/>
      <c r="AO363" s="315"/>
      <c r="AP363" s="257"/>
      <c r="AQ363" s="257"/>
      <c r="AR363" s="257"/>
      <c r="AS363" s="315"/>
      <c r="AT363" s="257"/>
      <c r="AU363" s="257"/>
      <c r="AV363" s="316"/>
      <c r="AW363" s="314"/>
      <c r="AX363" s="315"/>
      <c r="AY363" s="315"/>
      <c r="AZ363" s="315"/>
      <c r="BA363" s="315"/>
      <c r="BB363" s="315"/>
      <c r="BC363" s="315"/>
      <c r="BD363" s="319"/>
      <c r="BE363" s="319"/>
      <c r="BF363" s="319"/>
      <c r="BG363" s="319"/>
      <c r="BH363" s="319"/>
      <c r="BI363" s="319"/>
      <c r="BJ363" s="319"/>
      <c r="BK363" s="315"/>
      <c r="BL363" s="316"/>
      <c r="BM363" s="314"/>
      <c r="BN363" s="319"/>
      <c r="BO363" s="315"/>
      <c r="BP363" s="314"/>
      <c r="BQ363" s="316"/>
      <c r="BR363" s="314"/>
      <c r="BS363" s="262"/>
      <c r="BT363" s="262"/>
    </row>
    <row r="364" spans="1:72" ht="45.75" customHeight="1">
      <c r="A364" s="342"/>
      <c r="B364" s="342"/>
      <c r="C364" s="342"/>
      <c r="D364" s="343"/>
      <c r="E364" s="342"/>
      <c r="F364" s="342"/>
      <c r="G364" s="344"/>
      <c r="H364" s="344"/>
      <c r="I364" s="344"/>
      <c r="J364" s="334"/>
      <c r="K364" s="335"/>
      <c r="L364" s="336"/>
      <c r="M364" s="336"/>
      <c r="N364" s="337"/>
      <c r="O364" s="337"/>
      <c r="P364" s="315"/>
      <c r="Q364" s="314"/>
      <c r="R364" s="317"/>
      <c r="S364" s="315"/>
      <c r="T364" s="315"/>
      <c r="U364" s="315"/>
      <c r="V364" s="258"/>
      <c r="W364" s="322"/>
      <c r="X364" s="318"/>
      <c r="Y364" s="315"/>
      <c r="Z364" s="318"/>
      <c r="AA364" s="314"/>
      <c r="AB364" s="336"/>
      <c r="AC364" s="314"/>
      <c r="AD364" s="316"/>
      <c r="AE364" s="315"/>
      <c r="AF364" s="315"/>
      <c r="AG364" s="315"/>
      <c r="AH364" s="315"/>
      <c r="AI364" s="377"/>
      <c r="AJ364" s="407"/>
      <c r="AK364" s="377"/>
      <c r="AL364" s="314"/>
      <c r="AM364" s="314"/>
      <c r="AN364" s="314"/>
      <c r="AO364" s="315"/>
      <c r="AP364" s="257"/>
      <c r="AQ364" s="257"/>
      <c r="AR364" s="257"/>
      <c r="AS364" s="315"/>
      <c r="AT364" s="257"/>
      <c r="AU364" s="257"/>
      <c r="AV364" s="316"/>
      <c r="AW364" s="314"/>
      <c r="AX364" s="315"/>
      <c r="AY364" s="315"/>
      <c r="AZ364" s="315"/>
      <c r="BA364" s="315"/>
      <c r="BB364" s="315"/>
      <c r="BC364" s="315"/>
      <c r="BD364" s="319"/>
      <c r="BE364" s="319"/>
      <c r="BF364" s="319"/>
      <c r="BG364" s="319"/>
      <c r="BH364" s="319"/>
      <c r="BI364" s="319"/>
      <c r="BJ364" s="319"/>
      <c r="BK364" s="315"/>
      <c r="BL364" s="316"/>
      <c r="BM364" s="314"/>
      <c r="BN364" s="319"/>
      <c r="BO364" s="315"/>
      <c r="BP364" s="314"/>
      <c r="BQ364" s="316"/>
      <c r="BR364" s="314"/>
      <c r="BS364" s="262"/>
      <c r="BT364" s="262"/>
    </row>
    <row r="365" spans="1:72" ht="45.75" customHeight="1">
      <c r="A365" s="342"/>
      <c r="B365" s="342"/>
      <c r="C365" s="342"/>
      <c r="D365" s="343"/>
      <c r="E365" s="342"/>
      <c r="F365" s="342"/>
      <c r="G365" s="344"/>
      <c r="H365" s="344"/>
      <c r="I365" s="344"/>
      <c r="J365" s="334"/>
      <c r="K365" s="335"/>
      <c r="L365" s="336"/>
      <c r="M365" s="336"/>
      <c r="N365" s="337"/>
      <c r="O365" s="337"/>
      <c r="P365" s="315"/>
      <c r="Q365" s="314"/>
      <c r="R365" s="317"/>
      <c r="S365" s="315"/>
      <c r="T365" s="315"/>
      <c r="U365" s="315"/>
      <c r="V365" s="258"/>
      <c r="W365" s="322"/>
      <c r="X365" s="318"/>
      <c r="Y365" s="315"/>
      <c r="Z365" s="318"/>
      <c r="AA365" s="314"/>
      <c r="AB365" s="336"/>
      <c r="AC365" s="314"/>
      <c r="AD365" s="316"/>
      <c r="AE365" s="315"/>
      <c r="AF365" s="315"/>
      <c r="AG365" s="315"/>
      <c r="AH365" s="315"/>
      <c r="AI365" s="377"/>
      <c r="AJ365" s="407"/>
      <c r="AK365" s="377"/>
      <c r="AL365" s="314"/>
      <c r="AM365" s="314"/>
      <c r="AN365" s="314"/>
      <c r="AO365" s="315"/>
      <c r="AP365" s="257"/>
      <c r="AQ365" s="257"/>
      <c r="AR365" s="257"/>
      <c r="AS365" s="315"/>
      <c r="AT365" s="257"/>
      <c r="AU365" s="257"/>
      <c r="AV365" s="316"/>
      <c r="AW365" s="314"/>
      <c r="AX365" s="315"/>
      <c r="AY365" s="315"/>
      <c r="AZ365" s="315"/>
      <c r="BA365" s="315"/>
      <c r="BB365" s="315"/>
      <c r="BC365" s="315"/>
      <c r="BD365" s="319"/>
      <c r="BE365" s="319"/>
      <c r="BF365" s="319"/>
      <c r="BG365" s="319"/>
      <c r="BH365" s="319"/>
      <c r="BI365" s="319"/>
      <c r="BJ365" s="319"/>
      <c r="BK365" s="315"/>
      <c r="BL365" s="316"/>
      <c r="BM365" s="314"/>
      <c r="BN365" s="319"/>
      <c r="BO365" s="315"/>
      <c r="BP365" s="314"/>
      <c r="BQ365" s="316"/>
      <c r="BR365" s="314"/>
      <c r="BS365" s="262"/>
      <c r="BT365" s="262"/>
    </row>
    <row r="366" spans="1:72" ht="45.75" customHeight="1">
      <c r="A366" s="342"/>
      <c r="B366" s="342"/>
      <c r="C366" s="342"/>
      <c r="D366" s="343"/>
      <c r="E366" s="342"/>
      <c r="F366" s="342"/>
      <c r="G366" s="344"/>
      <c r="H366" s="344"/>
      <c r="I366" s="344"/>
      <c r="J366" s="334"/>
      <c r="K366" s="335"/>
      <c r="L366" s="336"/>
      <c r="M366" s="336"/>
      <c r="N366" s="337"/>
      <c r="O366" s="337"/>
      <c r="P366" s="315"/>
      <c r="Q366" s="314"/>
      <c r="R366" s="317"/>
      <c r="S366" s="315"/>
      <c r="T366" s="315"/>
      <c r="U366" s="315"/>
      <c r="V366" s="258"/>
      <c r="W366" s="322"/>
      <c r="X366" s="318"/>
      <c r="Y366" s="315"/>
      <c r="Z366" s="318"/>
      <c r="AA366" s="314"/>
      <c r="AB366" s="336"/>
      <c r="AC366" s="314"/>
      <c r="AD366" s="316"/>
      <c r="AE366" s="315"/>
      <c r="AF366" s="315"/>
      <c r="AG366" s="315"/>
      <c r="AH366" s="315"/>
      <c r="AI366" s="377"/>
      <c r="AJ366" s="407"/>
      <c r="AK366" s="377"/>
      <c r="AL366" s="314"/>
      <c r="AM366" s="314"/>
      <c r="AN366" s="314"/>
      <c r="AO366" s="315"/>
      <c r="AP366" s="257"/>
      <c r="AQ366" s="257"/>
      <c r="AR366" s="257"/>
      <c r="AS366" s="315"/>
      <c r="AT366" s="257"/>
      <c r="AU366" s="257"/>
      <c r="AV366" s="316"/>
      <c r="AW366" s="314"/>
      <c r="AX366" s="315"/>
      <c r="AY366" s="315"/>
      <c r="AZ366" s="315"/>
      <c r="BA366" s="315"/>
      <c r="BB366" s="315"/>
      <c r="BC366" s="315"/>
      <c r="BD366" s="319"/>
      <c r="BE366" s="319"/>
      <c r="BF366" s="319"/>
      <c r="BG366" s="319"/>
      <c r="BH366" s="319"/>
      <c r="BI366" s="319"/>
      <c r="BJ366" s="319"/>
      <c r="BK366" s="315"/>
      <c r="BL366" s="316"/>
      <c r="BM366" s="314"/>
      <c r="BN366" s="319"/>
      <c r="BO366" s="315"/>
      <c r="BP366" s="314"/>
      <c r="BQ366" s="316"/>
      <c r="BR366" s="314"/>
      <c r="BS366" s="262"/>
      <c r="BT366" s="262"/>
    </row>
    <row r="367" spans="1:72" ht="45.75" customHeight="1">
      <c r="A367" s="342"/>
      <c r="B367" s="342"/>
      <c r="C367" s="342"/>
      <c r="D367" s="343"/>
      <c r="E367" s="342"/>
      <c r="F367" s="342"/>
      <c r="G367" s="344"/>
      <c r="H367" s="344"/>
      <c r="I367" s="344"/>
      <c r="J367" s="334"/>
      <c r="K367" s="335"/>
      <c r="L367" s="336"/>
      <c r="M367" s="336"/>
      <c r="N367" s="337"/>
      <c r="O367" s="337"/>
      <c r="P367" s="315"/>
      <c r="Q367" s="314"/>
      <c r="R367" s="317"/>
      <c r="S367" s="315"/>
      <c r="T367" s="315"/>
      <c r="U367" s="315"/>
      <c r="V367" s="258"/>
      <c r="W367" s="322"/>
      <c r="X367" s="318"/>
      <c r="Y367" s="315"/>
      <c r="Z367" s="318"/>
      <c r="AA367" s="314"/>
      <c r="AB367" s="336"/>
      <c r="AC367" s="314"/>
      <c r="AD367" s="316"/>
      <c r="AE367" s="315"/>
      <c r="AF367" s="315"/>
      <c r="AG367" s="315"/>
      <c r="AH367" s="315"/>
      <c r="AI367" s="377"/>
      <c r="AJ367" s="407"/>
      <c r="AK367" s="377"/>
      <c r="AL367" s="314"/>
      <c r="AM367" s="314"/>
      <c r="AN367" s="314"/>
      <c r="AO367" s="315"/>
      <c r="AP367" s="257"/>
      <c r="AQ367" s="257"/>
      <c r="AR367" s="257"/>
      <c r="AS367" s="315"/>
      <c r="AT367" s="257"/>
      <c r="AU367" s="257"/>
      <c r="AV367" s="316"/>
      <c r="AW367" s="314"/>
      <c r="AX367" s="315"/>
      <c r="AY367" s="315"/>
      <c r="AZ367" s="315"/>
      <c r="BA367" s="315"/>
      <c r="BB367" s="315"/>
      <c r="BC367" s="315"/>
      <c r="BD367" s="319"/>
      <c r="BE367" s="319"/>
      <c r="BF367" s="319"/>
      <c r="BG367" s="319"/>
      <c r="BH367" s="319"/>
      <c r="BI367" s="319"/>
      <c r="BJ367" s="319"/>
      <c r="BK367" s="315"/>
      <c r="BL367" s="316"/>
      <c r="BM367" s="314"/>
      <c r="BN367" s="319"/>
      <c r="BO367" s="315"/>
      <c r="BP367" s="314"/>
      <c r="BQ367" s="316"/>
      <c r="BR367" s="314"/>
      <c r="BS367" s="262"/>
      <c r="BT367" s="262"/>
    </row>
    <row r="368" spans="1:72" ht="45.75" customHeight="1">
      <c r="A368" s="342"/>
      <c r="B368" s="342"/>
      <c r="C368" s="342"/>
      <c r="D368" s="343"/>
      <c r="E368" s="342"/>
      <c r="F368" s="342"/>
      <c r="G368" s="344"/>
      <c r="H368" s="344"/>
      <c r="I368" s="344"/>
      <c r="J368" s="334"/>
      <c r="K368" s="335"/>
      <c r="L368" s="336"/>
      <c r="M368" s="336"/>
      <c r="N368" s="337"/>
      <c r="O368" s="337"/>
      <c r="P368" s="315"/>
      <c r="Q368" s="314"/>
      <c r="R368" s="317"/>
      <c r="S368" s="315"/>
      <c r="T368" s="315"/>
      <c r="U368" s="315"/>
      <c r="V368" s="258"/>
      <c r="W368" s="322"/>
      <c r="X368" s="318"/>
      <c r="Y368" s="315"/>
      <c r="Z368" s="318"/>
      <c r="AA368" s="314"/>
      <c r="AB368" s="336"/>
      <c r="AC368" s="314"/>
      <c r="AD368" s="316"/>
      <c r="AE368" s="315"/>
      <c r="AF368" s="315"/>
      <c r="AG368" s="315"/>
      <c r="AH368" s="315"/>
      <c r="AI368" s="377"/>
      <c r="AJ368" s="407"/>
      <c r="AK368" s="377"/>
      <c r="AL368" s="314"/>
      <c r="AM368" s="314"/>
      <c r="AN368" s="314"/>
      <c r="AO368" s="315"/>
      <c r="AP368" s="257"/>
      <c r="AQ368" s="257"/>
      <c r="AR368" s="257"/>
      <c r="AS368" s="315"/>
      <c r="AT368" s="257"/>
      <c r="AU368" s="257"/>
      <c r="AV368" s="316"/>
      <c r="AW368" s="314"/>
      <c r="AX368" s="315"/>
      <c r="AY368" s="315"/>
      <c r="AZ368" s="315"/>
      <c r="BA368" s="315"/>
      <c r="BB368" s="315"/>
      <c r="BC368" s="315"/>
      <c r="BD368" s="319"/>
      <c r="BE368" s="319"/>
      <c r="BF368" s="319"/>
      <c r="BG368" s="319"/>
      <c r="BH368" s="319"/>
      <c r="BI368" s="319"/>
      <c r="BJ368" s="319"/>
      <c r="BK368" s="315"/>
      <c r="BL368" s="316"/>
      <c r="BM368" s="314"/>
      <c r="BN368" s="319"/>
      <c r="BO368" s="315"/>
      <c r="BP368" s="314"/>
      <c r="BQ368" s="316"/>
      <c r="BR368" s="314"/>
      <c r="BS368" s="262"/>
      <c r="BT368" s="262"/>
    </row>
    <row r="369" spans="1:72" ht="45.75" customHeight="1">
      <c r="A369" s="342"/>
      <c r="B369" s="342"/>
      <c r="C369" s="342"/>
      <c r="D369" s="343"/>
      <c r="E369" s="342"/>
      <c r="F369" s="342"/>
      <c r="G369" s="344"/>
      <c r="H369" s="344"/>
      <c r="I369" s="344"/>
      <c r="J369" s="334"/>
      <c r="K369" s="335"/>
      <c r="L369" s="336"/>
      <c r="M369" s="336"/>
      <c r="N369" s="337"/>
      <c r="O369" s="337"/>
      <c r="P369" s="315"/>
      <c r="Q369" s="314"/>
      <c r="R369" s="317"/>
      <c r="S369" s="315"/>
      <c r="T369" s="315"/>
      <c r="U369" s="315"/>
      <c r="V369" s="258"/>
      <c r="W369" s="322"/>
      <c r="X369" s="318"/>
      <c r="Y369" s="315"/>
      <c r="Z369" s="318"/>
      <c r="AA369" s="314"/>
      <c r="AB369" s="336"/>
      <c r="AC369" s="314"/>
      <c r="AD369" s="316"/>
      <c r="AE369" s="315"/>
      <c r="AF369" s="315"/>
      <c r="AG369" s="315"/>
      <c r="AH369" s="315"/>
      <c r="AI369" s="377"/>
      <c r="AJ369" s="407"/>
      <c r="AK369" s="377"/>
      <c r="AL369" s="314"/>
      <c r="AM369" s="314"/>
      <c r="AN369" s="314"/>
      <c r="AO369" s="315"/>
      <c r="AP369" s="257"/>
      <c r="AQ369" s="257"/>
      <c r="AR369" s="257"/>
      <c r="AS369" s="315"/>
      <c r="AT369" s="257"/>
      <c r="AU369" s="257"/>
      <c r="AV369" s="316"/>
      <c r="AW369" s="314"/>
      <c r="AX369" s="315"/>
      <c r="AY369" s="315"/>
      <c r="AZ369" s="315"/>
      <c r="BA369" s="315"/>
      <c r="BB369" s="315"/>
      <c r="BC369" s="315"/>
      <c r="BD369" s="319"/>
      <c r="BE369" s="319"/>
      <c r="BF369" s="319"/>
      <c r="BG369" s="319"/>
      <c r="BH369" s="319"/>
      <c r="BI369" s="319"/>
      <c r="BJ369" s="319"/>
      <c r="BK369" s="315"/>
      <c r="BL369" s="316"/>
      <c r="BM369" s="314"/>
      <c r="BN369" s="319"/>
      <c r="BO369" s="315"/>
      <c r="BP369" s="314"/>
      <c r="BQ369" s="316"/>
      <c r="BR369" s="314"/>
      <c r="BS369" s="262"/>
      <c r="BT369" s="262"/>
    </row>
    <row r="370" spans="1:72" ht="45.75" customHeight="1">
      <c r="A370" s="342"/>
      <c r="B370" s="342"/>
      <c r="C370" s="342"/>
      <c r="D370" s="343"/>
      <c r="E370" s="342"/>
      <c r="F370" s="342"/>
      <c r="G370" s="344"/>
      <c r="H370" s="344"/>
      <c r="I370" s="344"/>
      <c r="J370" s="334"/>
      <c r="K370" s="335"/>
      <c r="L370" s="336"/>
      <c r="M370" s="336"/>
      <c r="N370" s="337"/>
      <c r="O370" s="337"/>
      <c r="P370" s="315"/>
      <c r="Q370" s="314"/>
      <c r="R370" s="317"/>
      <c r="S370" s="315"/>
      <c r="T370" s="315"/>
      <c r="U370" s="315"/>
      <c r="V370" s="258"/>
      <c r="W370" s="322"/>
      <c r="X370" s="318"/>
      <c r="Y370" s="315"/>
      <c r="Z370" s="318"/>
      <c r="AA370" s="314"/>
      <c r="AB370" s="336"/>
      <c r="AC370" s="314"/>
      <c r="AD370" s="316"/>
      <c r="AE370" s="315"/>
      <c r="AF370" s="315"/>
      <c r="AG370" s="315"/>
      <c r="AH370" s="315"/>
      <c r="AI370" s="377"/>
      <c r="AJ370" s="407"/>
      <c r="AK370" s="377"/>
      <c r="AL370" s="314"/>
      <c r="AM370" s="314"/>
      <c r="AN370" s="314"/>
      <c r="AO370" s="315"/>
      <c r="AP370" s="257"/>
      <c r="AQ370" s="257"/>
      <c r="AR370" s="257"/>
      <c r="AS370" s="315"/>
      <c r="AT370" s="257"/>
      <c r="AU370" s="257"/>
      <c r="AV370" s="316"/>
      <c r="AW370" s="314"/>
      <c r="AX370" s="315"/>
      <c r="AY370" s="315"/>
      <c r="AZ370" s="315"/>
      <c r="BA370" s="315"/>
      <c r="BB370" s="315"/>
      <c r="BC370" s="315"/>
      <c r="BD370" s="319"/>
      <c r="BE370" s="319"/>
      <c r="BF370" s="319"/>
      <c r="BG370" s="319"/>
      <c r="BH370" s="319"/>
      <c r="BI370" s="319"/>
      <c r="BJ370" s="319"/>
      <c r="BK370" s="315"/>
      <c r="BL370" s="316"/>
      <c r="BM370" s="314"/>
      <c r="BN370" s="319"/>
      <c r="BO370" s="315"/>
      <c r="BP370" s="314"/>
      <c r="BQ370" s="316"/>
      <c r="BR370" s="314"/>
      <c r="BS370" s="262"/>
      <c r="BT370" s="262"/>
    </row>
    <row r="371" spans="1:72" ht="45.75" customHeight="1">
      <c r="A371" s="342"/>
      <c r="B371" s="342"/>
      <c r="C371" s="342"/>
      <c r="D371" s="343"/>
      <c r="E371" s="342"/>
      <c r="F371" s="342"/>
      <c r="G371" s="344"/>
      <c r="H371" s="344"/>
      <c r="I371" s="344"/>
      <c r="J371" s="334"/>
      <c r="K371" s="335"/>
      <c r="L371" s="336"/>
      <c r="M371" s="336"/>
      <c r="N371" s="337"/>
      <c r="O371" s="337"/>
      <c r="P371" s="315"/>
      <c r="Q371" s="314"/>
      <c r="R371" s="317"/>
      <c r="S371" s="315"/>
      <c r="T371" s="315"/>
      <c r="U371" s="315"/>
      <c r="V371" s="258"/>
      <c r="W371" s="322"/>
      <c r="X371" s="318"/>
      <c r="Y371" s="315"/>
      <c r="Z371" s="318"/>
      <c r="AA371" s="314"/>
      <c r="AB371" s="336"/>
      <c r="AC371" s="314"/>
      <c r="AD371" s="316"/>
      <c r="AE371" s="315"/>
      <c r="AF371" s="315"/>
      <c r="AG371" s="315"/>
      <c r="AH371" s="315"/>
      <c r="AI371" s="377"/>
      <c r="AJ371" s="407"/>
      <c r="AK371" s="377"/>
      <c r="AL371" s="314"/>
      <c r="AM371" s="314"/>
      <c r="AN371" s="314"/>
      <c r="AO371" s="315"/>
      <c r="AP371" s="257"/>
      <c r="AQ371" s="257"/>
      <c r="AR371" s="257"/>
      <c r="AS371" s="315"/>
      <c r="AT371" s="257"/>
      <c r="AU371" s="257"/>
      <c r="AV371" s="316"/>
      <c r="AW371" s="314"/>
      <c r="AX371" s="315"/>
      <c r="AY371" s="315"/>
      <c r="AZ371" s="315"/>
      <c r="BA371" s="315"/>
      <c r="BB371" s="315"/>
      <c r="BC371" s="315"/>
      <c r="BD371" s="319"/>
      <c r="BE371" s="319"/>
      <c r="BF371" s="319"/>
      <c r="BG371" s="319"/>
      <c r="BH371" s="319"/>
      <c r="BI371" s="319"/>
      <c r="BJ371" s="319"/>
      <c r="BK371" s="315"/>
      <c r="BL371" s="316"/>
      <c r="BM371" s="314"/>
      <c r="BN371" s="319"/>
      <c r="BO371" s="315"/>
      <c r="BP371" s="314"/>
      <c r="BQ371" s="316"/>
      <c r="BR371" s="314"/>
      <c r="BS371" s="262"/>
      <c r="BT371" s="262"/>
    </row>
    <row r="372" spans="1:72" ht="45.75" customHeight="1">
      <c r="A372" s="342"/>
      <c r="B372" s="342"/>
      <c r="C372" s="342"/>
      <c r="D372" s="343"/>
      <c r="E372" s="342"/>
      <c r="F372" s="342"/>
      <c r="G372" s="344"/>
      <c r="H372" s="344"/>
      <c r="I372" s="344"/>
      <c r="J372" s="334"/>
      <c r="K372" s="335"/>
      <c r="L372" s="336"/>
      <c r="M372" s="336"/>
      <c r="N372" s="337"/>
      <c r="O372" s="337"/>
      <c r="P372" s="315"/>
      <c r="Q372" s="314"/>
      <c r="R372" s="317"/>
      <c r="S372" s="315"/>
      <c r="T372" s="315"/>
      <c r="U372" s="315"/>
      <c r="V372" s="258"/>
      <c r="W372" s="322"/>
      <c r="X372" s="318"/>
      <c r="Y372" s="315"/>
      <c r="Z372" s="318"/>
      <c r="AA372" s="314"/>
      <c r="AB372" s="336"/>
      <c r="AC372" s="314"/>
      <c r="AD372" s="316"/>
      <c r="AE372" s="315"/>
      <c r="AF372" s="315"/>
      <c r="AG372" s="315"/>
      <c r="AH372" s="315"/>
      <c r="AI372" s="377"/>
      <c r="AJ372" s="407"/>
      <c r="AK372" s="377"/>
      <c r="AL372" s="314"/>
      <c r="AM372" s="314"/>
      <c r="AN372" s="314"/>
      <c r="AO372" s="315"/>
      <c r="AP372" s="257"/>
      <c r="AQ372" s="257"/>
      <c r="AR372" s="257"/>
      <c r="AS372" s="315"/>
      <c r="AT372" s="257"/>
      <c r="AU372" s="257"/>
      <c r="AV372" s="316"/>
      <c r="AW372" s="314"/>
      <c r="AX372" s="315"/>
      <c r="AY372" s="315"/>
      <c r="AZ372" s="315"/>
      <c r="BA372" s="315"/>
      <c r="BB372" s="315"/>
      <c r="BC372" s="315"/>
      <c r="BD372" s="319"/>
      <c r="BE372" s="319"/>
      <c r="BF372" s="319"/>
      <c r="BG372" s="319"/>
      <c r="BH372" s="319"/>
      <c r="BI372" s="319"/>
      <c r="BJ372" s="319"/>
      <c r="BK372" s="315"/>
      <c r="BL372" s="316"/>
      <c r="BM372" s="314"/>
      <c r="BN372" s="319"/>
      <c r="BO372" s="315"/>
      <c r="BP372" s="314"/>
      <c r="BQ372" s="316"/>
      <c r="BR372" s="314"/>
      <c r="BS372" s="262"/>
      <c r="BT372" s="262"/>
    </row>
    <row r="373" spans="1:72" ht="45.75" customHeight="1">
      <c r="A373" s="342"/>
      <c r="B373" s="342"/>
      <c r="C373" s="342"/>
      <c r="D373" s="343"/>
      <c r="E373" s="342"/>
      <c r="F373" s="342"/>
      <c r="G373" s="344"/>
      <c r="H373" s="344"/>
      <c r="I373" s="344"/>
      <c r="J373" s="334"/>
      <c r="K373" s="335"/>
      <c r="L373" s="336"/>
      <c r="M373" s="336"/>
      <c r="N373" s="337"/>
      <c r="O373" s="337"/>
      <c r="P373" s="315"/>
      <c r="Q373" s="314"/>
      <c r="R373" s="317"/>
      <c r="S373" s="315"/>
      <c r="T373" s="315"/>
      <c r="U373" s="315"/>
      <c r="V373" s="258"/>
      <c r="W373" s="322"/>
      <c r="X373" s="318"/>
      <c r="Y373" s="315"/>
      <c r="Z373" s="318"/>
      <c r="AA373" s="314"/>
      <c r="AB373" s="336"/>
      <c r="AC373" s="314"/>
      <c r="AD373" s="316"/>
      <c r="AE373" s="315"/>
      <c r="AF373" s="315"/>
      <c r="AG373" s="315"/>
      <c r="AH373" s="315"/>
      <c r="AI373" s="377"/>
      <c r="AJ373" s="407"/>
      <c r="AK373" s="377"/>
      <c r="AL373" s="314"/>
      <c r="AM373" s="314"/>
      <c r="AN373" s="314"/>
      <c r="AO373" s="315"/>
      <c r="AP373" s="257"/>
      <c r="AQ373" s="257"/>
      <c r="AR373" s="257"/>
      <c r="AS373" s="315"/>
      <c r="AT373" s="257"/>
      <c r="AU373" s="257"/>
      <c r="AV373" s="316"/>
      <c r="AW373" s="314"/>
      <c r="AX373" s="315"/>
      <c r="AY373" s="315"/>
      <c r="AZ373" s="315"/>
      <c r="BA373" s="315"/>
      <c r="BB373" s="315"/>
      <c r="BC373" s="315"/>
      <c r="BD373" s="319"/>
      <c r="BE373" s="319"/>
      <c r="BF373" s="319"/>
      <c r="BG373" s="319"/>
      <c r="BH373" s="319"/>
      <c r="BI373" s="319"/>
      <c r="BJ373" s="319"/>
      <c r="BK373" s="315"/>
      <c r="BL373" s="316"/>
      <c r="BM373" s="314"/>
      <c r="BN373" s="319"/>
      <c r="BO373" s="315"/>
      <c r="BP373" s="314"/>
      <c r="BQ373" s="316"/>
      <c r="BR373" s="314"/>
      <c r="BS373" s="262"/>
      <c r="BT373" s="262"/>
    </row>
    <row r="374" spans="1:72" ht="45.75" customHeight="1">
      <c r="A374" s="342"/>
      <c r="B374" s="342"/>
      <c r="C374" s="342"/>
      <c r="D374" s="343"/>
      <c r="E374" s="342"/>
      <c r="F374" s="342"/>
      <c r="G374" s="344"/>
      <c r="H374" s="344"/>
      <c r="I374" s="344"/>
      <c r="J374" s="334"/>
      <c r="K374" s="335"/>
      <c r="L374" s="336"/>
      <c r="M374" s="336"/>
      <c r="N374" s="337"/>
      <c r="O374" s="337"/>
      <c r="P374" s="315"/>
      <c r="Q374" s="314"/>
      <c r="R374" s="317"/>
      <c r="S374" s="315"/>
      <c r="T374" s="315"/>
      <c r="U374" s="315"/>
      <c r="V374" s="258"/>
      <c r="W374" s="322"/>
      <c r="X374" s="318"/>
      <c r="Y374" s="315"/>
      <c r="Z374" s="318"/>
      <c r="AA374" s="314"/>
      <c r="AB374" s="336"/>
      <c r="AC374" s="314"/>
      <c r="AD374" s="316"/>
      <c r="AE374" s="315"/>
      <c r="AF374" s="315"/>
      <c r="AG374" s="315"/>
      <c r="AH374" s="315"/>
      <c r="AI374" s="377"/>
      <c r="AJ374" s="407"/>
      <c r="AK374" s="377"/>
      <c r="AL374" s="314"/>
      <c r="AM374" s="314"/>
      <c r="AN374" s="314"/>
      <c r="AO374" s="315"/>
      <c r="AP374" s="257"/>
      <c r="AQ374" s="257"/>
      <c r="AR374" s="257"/>
      <c r="AS374" s="315"/>
      <c r="AT374" s="257"/>
      <c r="AU374" s="257"/>
      <c r="AV374" s="316"/>
      <c r="AW374" s="314"/>
      <c r="AX374" s="315"/>
      <c r="AY374" s="315"/>
      <c r="AZ374" s="315"/>
      <c r="BA374" s="315"/>
      <c r="BB374" s="315"/>
      <c r="BC374" s="315"/>
      <c r="BD374" s="319"/>
      <c r="BE374" s="319"/>
      <c r="BF374" s="319"/>
      <c r="BG374" s="319"/>
      <c r="BH374" s="319"/>
      <c r="BI374" s="319"/>
      <c r="BJ374" s="319"/>
      <c r="BK374" s="315"/>
      <c r="BL374" s="316"/>
      <c r="BM374" s="314"/>
      <c r="BN374" s="319"/>
      <c r="BO374" s="315"/>
      <c r="BP374" s="314"/>
      <c r="BQ374" s="316"/>
      <c r="BR374" s="314"/>
      <c r="BS374" s="262"/>
      <c r="BT374" s="262"/>
    </row>
    <row r="375" spans="1:72" ht="45.75" customHeight="1">
      <c r="A375" s="342"/>
      <c r="B375" s="342"/>
      <c r="C375" s="342"/>
      <c r="D375" s="343"/>
      <c r="E375" s="342"/>
      <c r="F375" s="342"/>
      <c r="G375" s="344"/>
      <c r="H375" s="344"/>
      <c r="I375" s="344"/>
      <c r="J375" s="334"/>
      <c r="K375" s="335"/>
      <c r="L375" s="336"/>
      <c r="M375" s="336"/>
      <c r="N375" s="337"/>
      <c r="O375" s="337"/>
      <c r="P375" s="315"/>
      <c r="Q375" s="314"/>
      <c r="R375" s="317"/>
      <c r="S375" s="315"/>
      <c r="T375" s="315"/>
      <c r="U375" s="315"/>
      <c r="V375" s="258"/>
      <c r="W375" s="322"/>
      <c r="X375" s="318"/>
      <c r="Y375" s="315"/>
      <c r="Z375" s="318"/>
      <c r="AA375" s="314"/>
      <c r="AB375" s="336"/>
      <c r="AC375" s="314"/>
      <c r="AD375" s="316"/>
      <c r="AE375" s="315"/>
      <c r="AF375" s="315"/>
      <c r="AG375" s="315"/>
      <c r="AH375" s="315"/>
      <c r="AI375" s="377"/>
      <c r="AJ375" s="407"/>
      <c r="AK375" s="377"/>
      <c r="AL375" s="314"/>
      <c r="AM375" s="314"/>
      <c r="AN375" s="314"/>
      <c r="AO375" s="315"/>
      <c r="AP375" s="257"/>
      <c r="AQ375" s="257"/>
      <c r="AR375" s="257"/>
      <c r="AS375" s="315"/>
      <c r="AT375" s="257"/>
      <c r="AU375" s="257"/>
      <c r="AV375" s="316"/>
      <c r="AW375" s="314"/>
      <c r="AX375" s="315"/>
      <c r="AY375" s="315"/>
      <c r="AZ375" s="315"/>
      <c r="BA375" s="315"/>
      <c r="BB375" s="315"/>
      <c r="BC375" s="315"/>
      <c r="BD375" s="319"/>
      <c r="BE375" s="319"/>
      <c r="BF375" s="319"/>
      <c r="BG375" s="319"/>
      <c r="BH375" s="319"/>
      <c r="BI375" s="319"/>
      <c r="BJ375" s="319"/>
      <c r="BK375" s="315"/>
      <c r="BL375" s="316"/>
      <c r="BM375" s="314"/>
      <c r="BN375" s="319"/>
      <c r="BO375" s="315"/>
      <c r="BP375" s="314"/>
      <c r="BQ375" s="316"/>
      <c r="BR375" s="314"/>
      <c r="BS375" s="262"/>
      <c r="BT375" s="262"/>
    </row>
    <row r="376" spans="1:72" ht="45.75" customHeight="1">
      <c r="A376" s="342"/>
      <c r="B376" s="342"/>
      <c r="C376" s="342"/>
      <c r="D376" s="343"/>
      <c r="E376" s="342"/>
      <c r="F376" s="342"/>
      <c r="G376" s="344"/>
      <c r="H376" s="344"/>
      <c r="I376" s="344"/>
      <c r="J376" s="334"/>
      <c r="K376" s="335"/>
      <c r="L376" s="336"/>
      <c r="M376" s="336"/>
      <c r="N376" s="337"/>
      <c r="O376" s="337"/>
      <c r="P376" s="315"/>
      <c r="Q376" s="314"/>
      <c r="R376" s="317"/>
      <c r="S376" s="315"/>
      <c r="T376" s="315"/>
      <c r="U376" s="315"/>
      <c r="V376" s="258"/>
      <c r="W376" s="322"/>
      <c r="X376" s="318"/>
      <c r="Y376" s="315"/>
      <c r="Z376" s="318"/>
      <c r="AA376" s="314"/>
      <c r="AB376" s="336"/>
      <c r="AC376" s="314"/>
      <c r="AD376" s="316"/>
      <c r="AE376" s="315"/>
      <c r="AF376" s="315"/>
      <c r="AG376" s="315"/>
      <c r="AH376" s="315"/>
      <c r="AI376" s="377"/>
      <c r="AJ376" s="407"/>
      <c r="AK376" s="377"/>
      <c r="AL376" s="314"/>
      <c r="AM376" s="314"/>
      <c r="AN376" s="314"/>
      <c r="AO376" s="315"/>
      <c r="AP376" s="257"/>
      <c r="AQ376" s="257"/>
      <c r="AR376" s="257"/>
      <c r="AS376" s="315"/>
      <c r="AT376" s="257"/>
      <c r="AU376" s="257"/>
      <c r="AV376" s="316"/>
      <c r="AW376" s="314"/>
      <c r="AX376" s="315"/>
      <c r="AY376" s="315"/>
      <c r="AZ376" s="315"/>
      <c r="BA376" s="315"/>
      <c r="BB376" s="315"/>
      <c r="BC376" s="315"/>
      <c r="BD376" s="319"/>
      <c r="BE376" s="319"/>
      <c r="BF376" s="319"/>
      <c r="BG376" s="319"/>
      <c r="BH376" s="319"/>
      <c r="BI376" s="319"/>
      <c r="BJ376" s="319"/>
      <c r="BK376" s="315"/>
      <c r="BL376" s="316"/>
      <c r="BM376" s="314"/>
      <c r="BN376" s="319"/>
      <c r="BO376" s="315"/>
      <c r="BP376" s="314"/>
      <c r="BQ376" s="316"/>
      <c r="BR376" s="314"/>
      <c r="BS376" s="262"/>
      <c r="BT376" s="262"/>
    </row>
    <row r="377" spans="1:72" ht="45.75" customHeight="1">
      <c r="A377" s="342"/>
      <c r="B377" s="342"/>
      <c r="C377" s="342"/>
      <c r="D377" s="343"/>
      <c r="E377" s="342"/>
      <c r="F377" s="342"/>
      <c r="G377" s="344"/>
      <c r="H377" s="344"/>
      <c r="I377" s="344"/>
      <c r="J377" s="334"/>
      <c r="K377" s="335"/>
      <c r="L377" s="336"/>
      <c r="M377" s="336"/>
      <c r="N377" s="337"/>
      <c r="O377" s="337"/>
      <c r="P377" s="315"/>
      <c r="Q377" s="314"/>
      <c r="R377" s="317"/>
      <c r="S377" s="315"/>
      <c r="T377" s="315"/>
      <c r="U377" s="315"/>
      <c r="V377" s="258"/>
      <c r="W377" s="322"/>
      <c r="X377" s="318"/>
      <c r="Y377" s="315"/>
      <c r="Z377" s="318"/>
      <c r="AA377" s="314"/>
      <c r="AB377" s="336"/>
      <c r="AC377" s="314"/>
      <c r="AD377" s="316"/>
      <c r="AE377" s="315"/>
      <c r="AF377" s="315"/>
      <c r="AG377" s="315"/>
      <c r="AH377" s="315"/>
      <c r="AI377" s="377"/>
      <c r="AJ377" s="407"/>
      <c r="AK377" s="377"/>
      <c r="AL377" s="314"/>
      <c r="AM377" s="314"/>
      <c r="AN377" s="314"/>
      <c r="AO377" s="315"/>
      <c r="AP377" s="257"/>
      <c r="AQ377" s="257"/>
      <c r="AR377" s="257"/>
      <c r="AS377" s="315"/>
      <c r="AT377" s="257"/>
      <c r="AU377" s="257"/>
      <c r="AV377" s="316"/>
      <c r="AW377" s="314"/>
      <c r="AX377" s="315"/>
      <c r="AY377" s="315"/>
      <c r="AZ377" s="315"/>
      <c r="BA377" s="315"/>
      <c r="BB377" s="315"/>
      <c r="BC377" s="315"/>
      <c r="BD377" s="319"/>
      <c r="BE377" s="319"/>
      <c r="BF377" s="319"/>
      <c r="BG377" s="319"/>
      <c r="BH377" s="319"/>
      <c r="BI377" s="319"/>
      <c r="BJ377" s="319"/>
      <c r="BK377" s="315"/>
      <c r="BL377" s="316"/>
      <c r="BM377" s="314"/>
      <c r="BN377" s="319"/>
      <c r="BO377" s="315"/>
      <c r="BP377" s="314"/>
      <c r="BQ377" s="316"/>
      <c r="BR377" s="314"/>
      <c r="BS377" s="262"/>
      <c r="BT377" s="262"/>
    </row>
    <row r="378" spans="1:72" ht="45.75" customHeight="1">
      <c r="A378" s="342"/>
      <c r="B378" s="342"/>
      <c r="C378" s="342"/>
      <c r="D378" s="343"/>
      <c r="E378" s="342"/>
      <c r="F378" s="342"/>
      <c r="G378" s="344"/>
      <c r="H378" s="344"/>
      <c r="I378" s="344"/>
      <c r="J378" s="334"/>
      <c r="K378" s="335"/>
      <c r="L378" s="336"/>
      <c r="M378" s="336"/>
      <c r="N378" s="337"/>
      <c r="O378" s="337"/>
      <c r="P378" s="315"/>
      <c r="Q378" s="314"/>
      <c r="R378" s="317"/>
      <c r="S378" s="315"/>
      <c r="T378" s="315"/>
      <c r="U378" s="315"/>
      <c r="V378" s="258"/>
      <c r="W378" s="322"/>
      <c r="X378" s="318"/>
      <c r="Y378" s="315"/>
      <c r="Z378" s="318"/>
      <c r="AA378" s="314"/>
      <c r="AB378" s="336"/>
      <c r="AC378" s="314"/>
      <c r="AD378" s="316"/>
      <c r="AE378" s="315"/>
      <c r="AF378" s="315"/>
      <c r="AG378" s="315"/>
      <c r="AH378" s="315"/>
      <c r="AI378" s="377"/>
      <c r="AJ378" s="407"/>
      <c r="AK378" s="377"/>
      <c r="AL378" s="314"/>
      <c r="AM378" s="314"/>
      <c r="AN378" s="314"/>
      <c r="AO378" s="315"/>
      <c r="AP378" s="257"/>
      <c r="AQ378" s="257"/>
      <c r="AR378" s="257"/>
      <c r="AS378" s="315"/>
      <c r="AT378" s="257"/>
      <c r="AU378" s="257"/>
      <c r="AV378" s="316"/>
      <c r="AW378" s="314"/>
      <c r="AX378" s="315"/>
      <c r="AY378" s="315"/>
      <c r="AZ378" s="315"/>
      <c r="BA378" s="315"/>
      <c r="BB378" s="315"/>
      <c r="BC378" s="315"/>
      <c r="BD378" s="319"/>
      <c r="BE378" s="319"/>
      <c r="BF378" s="319"/>
      <c r="BG378" s="319"/>
      <c r="BH378" s="319"/>
      <c r="BI378" s="319"/>
      <c r="BJ378" s="319"/>
      <c r="BK378" s="315"/>
      <c r="BL378" s="316"/>
      <c r="BM378" s="314"/>
      <c r="BN378" s="319"/>
      <c r="BO378" s="315"/>
      <c r="BP378" s="314"/>
      <c r="BQ378" s="316"/>
      <c r="BR378" s="314"/>
      <c r="BS378" s="262"/>
      <c r="BT378" s="262"/>
    </row>
    <row r="379" spans="1:72" ht="45.75" customHeight="1">
      <c r="A379" s="342"/>
      <c r="B379" s="342"/>
      <c r="C379" s="342"/>
      <c r="D379" s="343"/>
      <c r="E379" s="342"/>
      <c r="F379" s="342"/>
      <c r="G379" s="344"/>
      <c r="H379" s="344"/>
      <c r="I379" s="344"/>
      <c r="J379" s="334"/>
      <c r="K379" s="335"/>
      <c r="L379" s="336"/>
      <c r="M379" s="336"/>
      <c r="N379" s="337"/>
      <c r="O379" s="337"/>
      <c r="P379" s="315"/>
      <c r="Q379" s="314"/>
      <c r="R379" s="317"/>
      <c r="S379" s="315"/>
      <c r="T379" s="315"/>
      <c r="U379" s="315"/>
      <c r="V379" s="258"/>
      <c r="W379" s="322"/>
      <c r="X379" s="318"/>
      <c r="Y379" s="315"/>
      <c r="Z379" s="318"/>
      <c r="AA379" s="314"/>
      <c r="AB379" s="336"/>
      <c r="AC379" s="314"/>
      <c r="AD379" s="316"/>
      <c r="AE379" s="315"/>
      <c r="AF379" s="315"/>
      <c r="AG379" s="315"/>
      <c r="AH379" s="315"/>
      <c r="AI379" s="377"/>
      <c r="AJ379" s="407"/>
      <c r="AK379" s="377"/>
      <c r="AL379" s="314"/>
      <c r="AM379" s="314"/>
      <c r="AN379" s="314"/>
      <c r="AO379" s="315"/>
      <c r="AP379" s="257"/>
      <c r="AQ379" s="257"/>
      <c r="AR379" s="257"/>
      <c r="AS379" s="315"/>
      <c r="AT379" s="257"/>
      <c r="AU379" s="257"/>
      <c r="AV379" s="316"/>
      <c r="AW379" s="314"/>
      <c r="AX379" s="315"/>
      <c r="AY379" s="315"/>
      <c r="AZ379" s="315"/>
      <c r="BA379" s="315"/>
      <c r="BB379" s="315"/>
      <c r="BC379" s="315"/>
      <c r="BD379" s="319"/>
      <c r="BE379" s="319"/>
      <c r="BF379" s="319"/>
      <c r="BG379" s="319"/>
      <c r="BH379" s="319"/>
      <c r="BI379" s="319"/>
      <c r="BJ379" s="319"/>
      <c r="BK379" s="315"/>
      <c r="BL379" s="316"/>
      <c r="BM379" s="314"/>
      <c r="BN379" s="319"/>
      <c r="BO379" s="315"/>
      <c r="BP379" s="314"/>
      <c r="BQ379" s="316"/>
      <c r="BR379" s="314"/>
      <c r="BS379" s="262"/>
      <c r="BT379" s="262"/>
    </row>
    <row r="380" spans="1:72" ht="45.75" customHeight="1">
      <c r="A380" s="342"/>
      <c r="B380" s="342"/>
      <c r="C380" s="342"/>
      <c r="D380" s="343"/>
      <c r="E380" s="342"/>
      <c r="F380" s="342"/>
      <c r="G380" s="344"/>
      <c r="H380" s="344"/>
      <c r="I380" s="344"/>
      <c r="J380" s="334"/>
      <c r="K380" s="335"/>
      <c r="L380" s="336"/>
      <c r="M380" s="336"/>
      <c r="N380" s="337"/>
      <c r="O380" s="337"/>
      <c r="P380" s="315"/>
      <c r="Q380" s="314"/>
      <c r="R380" s="317"/>
      <c r="S380" s="315"/>
      <c r="T380" s="315"/>
      <c r="U380" s="315"/>
      <c r="V380" s="258"/>
      <c r="W380" s="322"/>
      <c r="X380" s="318"/>
      <c r="Y380" s="315"/>
      <c r="Z380" s="318"/>
      <c r="AA380" s="314"/>
      <c r="AB380" s="336"/>
      <c r="AC380" s="314"/>
      <c r="AD380" s="316"/>
      <c r="AE380" s="315"/>
      <c r="AF380" s="315"/>
      <c r="AG380" s="315"/>
      <c r="AH380" s="315"/>
      <c r="AI380" s="377"/>
      <c r="AJ380" s="407"/>
      <c r="AK380" s="377"/>
      <c r="AL380" s="314"/>
      <c r="AM380" s="314"/>
      <c r="AN380" s="314"/>
      <c r="AO380" s="315"/>
      <c r="AP380" s="257"/>
      <c r="AQ380" s="257"/>
      <c r="AR380" s="257"/>
      <c r="AS380" s="315"/>
      <c r="AT380" s="257"/>
      <c r="AU380" s="257"/>
      <c r="AV380" s="316"/>
      <c r="AW380" s="314"/>
      <c r="AX380" s="315"/>
      <c r="AY380" s="315"/>
      <c r="AZ380" s="315"/>
      <c r="BA380" s="315"/>
      <c r="BB380" s="315"/>
      <c r="BC380" s="315"/>
      <c r="BD380" s="319"/>
      <c r="BE380" s="319"/>
      <c r="BF380" s="319"/>
      <c r="BG380" s="319"/>
      <c r="BH380" s="319"/>
      <c r="BI380" s="319"/>
      <c r="BJ380" s="319"/>
      <c r="BK380" s="315"/>
      <c r="BL380" s="316"/>
      <c r="BM380" s="314"/>
      <c r="BN380" s="319"/>
      <c r="BO380" s="315"/>
      <c r="BP380" s="314"/>
      <c r="BQ380" s="316"/>
      <c r="BR380" s="314"/>
      <c r="BS380" s="262"/>
      <c r="BT380" s="262"/>
    </row>
    <row r="381" spans="1:72" ht="45.75" customHeight="1">
      <c r="A381" s="342"/>
      <c r="B381" s="342"/>
      <c r="C381" s="342"/>
      <c r="D381" s="343"/>
      <c r="E381" s="342"/>
      <c r="F381" s="342"/>
      <c r="G381" s="344"/>
      <c r="H381" s="344"/>
      <c r="I381" s="344"/>
      <c r="J381" s="334"/>
      <c r="K381" s="335"/>
      <c r="L381" s="336"/>
      <c r="M381" s="336"/>
      <c r="N381" s="337"/>
      <c r="O381" s="337"/>
      <c r="P381" s="315"/>
      <c r="Q381" s="314"/>
      <c r="R381" s="317"/>
      <c r="S381" s="315"/>
      <c r="T381" s="315"/>
      <c r="U381" s="315"/>
      <c r="V381" s="258"/>
      <c r="W381" s="322"/>
      <c r="X381" s="318"/>
      <c r="Y381" s="315"/>
      <c r="Z381" s="318"/>
      <c r="AA381" s="314"/>
      <c r="AB381" s="336"/>
      <c r="AC381" s="314"/>
      <c r="AD381" s="316"/>
      <c r="AE381" s="315"/>
      <c r="AF381" s="315"/>
      <c r="AG381" s="315"/>
      <c r="AH381" s="315"/>
      <c r="AI381" s="377"/>
      <c r="AJ381" s="407"/>
      <c r="AK381" s="377"/>
      <c r="AL381" s="314"/>
      <c r="AM381" s="314"/>
      <c r="AN381" s="314"/>
      <c r="AO381" s="315"/>
      <c r="AP381" s="257"/>
      <c r="AQ381" s="257"/>
      <c r="AR381" s="257"/>
      <c r="AS381" s="315"/>
      <c r="AT381" s="257"/>
      <c r="AU381" s="257"/>
      <c r="AV381" s="316"/>
      <c r="AW381" s="314"/>
      <c r="AX381" s="315"/>
      <c r="AY381" s="315"/>
      <c r="AZ381" s="315"/>
      <c r="BA381" s="315"/>
      <c r="BB381" s="315"/>
      <c r="BC381" s="315"/>
      <c r="BD381" s="319"/>
      <c r="BE381" s="319"/>
      <c r="BF381" s="319"/>
      <c r="BG381" s="319"/>
      <c r="BH381" s="319"/>
      <c r="BI381" s="319"/>
      <c r="BJ381" s="319"/>
      <c r="BK381" s="315"/>
      <c r="BL381" s="316"/>
      <c r="BM381" s="314"/>
      <c r="BN381" s="319"/>
      <c r="BO381" s="315"/>
      <c r="BP381" s="314"/>
      <c r="BQ381" s="316"/>
      <c r="BR381" s="314"/>
      <c r="BS381" s="262"/>
      <c r="BT381" s="262"/>
    </row>
    <row r="382" spans="1:72" ht="45.75" customHeight="1">
      <c r="A382" s="342"/>
      <c r="B382" s="342"/>
      <c r="C382" s="342"/>
      <c r="D382" s="343"/>
      <c r="E382" s="342"/>
      <c r="F382" s="342"/>
      <c r="G382" s="344"/>
      <c r="H382" s="344"/>
      <c r="I382" s="344"/>
      <c r="J382" s="334"/>
      <c r="K382" s="335"/>
      <c r="L382" s="336"/>
      <c r="M382" s="336"/>
      <c r="N382" s="337"/>
      <c r="O382" s="337"/>
      <c r="P382" s="315"/>
      <c r="Q382" s="314"/>
      <c r="R382" s="317"/>
      <c r="S382" s="315"/>
      <c r="T382" s="315"/>
      <c r="U382" s="315"/>
      <c r="V382" s="258"/>
      <c r="W382" s="322"/>
      <c r="X382" s="318"/>
      <c r="Y382" s="315"/>
      <c r="Z382" s="318"/>
      <c r="AA382" s="314"/>
      <c r="AB382" s="336"/>
      <c r="AC382" s="314"/>
      <c r="AD382" s="316"/>
      <c r="AE382" s="315"/>
      <c r="AF382" s="315"/>
      <c r="AG382" s="315"/>
      <c r="AH382" s="315"/>
      <c r="AI382" s="377"/>
      <c r="AJ382" s="407"/>
      <c r="AK382" s="377"/>
      <c r="AL382" s="314"/>
      <c r="AM382" s="314"/>
      <c r="AN382" s="314"/>
      <c r="AO382" s="315"/>
      <c r="AP382" s="257"/>
      <c r="AQ382" s="257"/>
      <c r="AR382" s="257"/>
      <c r="AS382" s="315"/>
      <c r="AT382" s="257"/>
      <c r="AU382" s="257"/>
      <c r="AV382" s="316"/>
      <c r="AW382" s="314"/>
      <c r="AX382" s="315"/>
      <c r="AY382" s="315"/>
      <c r="AZ382" s="315"/>
      <c r="BA382" s="315"/>
      <c r="BB382" s="315"/>
      <c r="BC382" s="315"/>
      <c r="BD382" s="319"/>
      <c r="BE382" s="319"/>
      <c r="BF382" s="319"/>
      <c r="BG382" s="319"/>
      <c r="BH382" s="319"/>
      <c r="BI382" s="319"/>
      <c r="BJ382" s="319"/>
      <c r="BK382" s="315"/>
      <c r="BL382" s="316"/>
      <c r="BM382" s="314"/>
      <c r="BN382" s="319"/>
      <c r="BO382" s="315"/>
      <c r="BP382" s="314"/>
      <c r="BQ382" s="316"/>
      <c r="BR382" s="314"/>
      <c r="BS382" s="262"/>
      <c r="BT382" s="262"/>
    </row>
    <row r="383" spans="1:72" ht="45.75" customHeight="1">
      <c r="A383" s="342"/>
      <c r="B383" s="342"/>
      <c r="C383" s="342"/>
      <c r="D383" s="343"/>
      <c r="E383" s="342"/>
      <c r="F383" s="342"/>
      <c r="G383" s="344"/>
      <c r="H383" s="344"/>
      <c r="I383" s="344"/>
      <c r="J383" s="334"/>
      <c r="K383" s="335"/>
      <c r="L383" s="336"/>
      <c r="M383" s="336"/>
      <c r="N383" s="337"/>
      <c r="O383" s="337"/>
      <c r="P383" s="315"/>
      <c r="Q383" s="314"/>
      <c r="R383" s="317"/>
      <c r="S383" s="315"/>
      <c r="T383" s="315"/>
      <c r="U383" s="315"/>
      <c r="V383" s="258"/>
      <c r="W383" s="322"/>
      <c r="X383" s="318"/>
      <c r="Y383" s="315"/>
      <c r="Z383" s="318"/>
      <c r="AA383" s="314"/>
      <c r="AB383" s="336"/>
      <c r="AC383" s="314"/>
      <c r="AD383" s="316"/>
      <c r="AE383" s="315"/>
      <c r="AF383" s="315"/>
      <c r="AG383" s="315"/>
      <c r="AH383" s="315"/>
      <c r="AI383" s="377"/>
      <c r="AJ383" s="407"/>
      <c r="AK383" s="377"/>
      <c r="AL383" s="314"/>
      <c r="AM383" s="314"/>
      <c r="AN383" s="314"/>
      <c r="AO383" s="315"/>
      <c r="AP383" s="257"/>
      <c r="AQ383" s="257"/>
      <c r="AR383" s="257"/>
      <c r="AS383" s="315"/>
      <c r="AT383" s="257"/>
      <c r="AU383" s="257"/>
      <c r="AV383" s="316"/>
      <c r="AW383" s="314"/>
      <c r="AX383" s="315"/>
      <c r="AY383" s="315"/>
      <c r="AZ383" s="315"/>
      <c r="BA383" s="315"/>
      <c r="BB383" s="315"/>
      <c r="BC383" s="315"/>
      <c r="BD383" s="319"/>
      <c r="BE383" s="319"/>
      <c r="BF383" s="319"/>
      <c r="BG383" s="319"/>
      <c r="BH383" s="319"/>
      <c r="BI383" s="319"/>
      <c r="BJ383" s="319"/>
      <c r="BK383" s="315"/>
      <c r="BL383" s="316"/>
      <c r="BM383" s="314"/>
      <c r="BN383" s="319"/>
      <c r="BO383" s="315"/>
      <c r="BP383" s="314"/>
      <c r="BQ383" s="316"/>
      <c r="BR383" s="314"/>
      <c r="BS383" s="262"/>
      <c r="BT383" s="262"/>
    </row>
    <row r="384" spans="1:72" ht="45.75" customHeight="1">
      <c r="A384" s="342"/>
      <c r="B384" s="342"/>
      <c r="C384" s="342"/>
      <c r="D384" s="343"/>
      <c r="E384" s="342"/>
      <c r="F384" s="342"/>
      <c r="G384" s="344"/>
      <c r="H384" s="344"/>
      <c r="I384" s="344"/>
      <c r="J384" s="334"/>
      <c r="K384" s="335"/>
      <c r="L384" s="336"/>
      <c r="M384" s="336"/>
      <c r="N384" s="337"/>
      <c r="O384" s="337"/>
      <c r="P384" s="315"/>
      <c r="Q384" s="314"/>
      <c r="R384" s="317"/>
      <c r="S384" s="315"/>
      <c r="T384" s="315"/>
      <c r="U384" s="315"/>
      <c r="V384" s="258"/>
      <c r="W384" s="322"/>
      <c r="X384" s="318"/>
      <c r="Y384" s="315"/>
      <c r="Z384" s="318"/>
      <c r="AA384" s="314"/>
      <c r="AB384" s="336"/>
      <c r="AC384" s="314"/>
      <c r="AD384" s="316"/>
      <c r="AE384" s="315"/>
      <c r="AF384" s="315"/>
      <c r="AG384" s="315"/>
      <c r="AH384" s="315"/>
      <c r="AI384" s="377"/>
      <c r="AJ384" s="407"/>
      <c r="AK384" s="377"/>
      <c r="AL384" s="314"/>
      <c r="AM384" s="314"/>
      <c r="AN384" s="314"/>
      <c r="AO384" s="315"/>
      <c r="AP384" s="257"/>
      <c r="AQ384" s="257"/>
      <c r="AR384" s="257"/>
      <c r="AS384" s="315"/>
      <c r="AT384" s="257"/>
      <c r="AU384" s="257"/>
      <c r="AV384" s="316"/>
      <c r="AW384" s="314"/>
      <c r="AX384" s="315"/>
      <c r="AY384" s="315"/>
      <c r="AZ384" s="315"/>
      <c r="BA384" s="315"/>
      <c r="BB384" s="315"/>
      <c r="BC384" s="315"/>
      <c r="BD384" s="319"/>
      <c r="BE384" s="319"/>
      <c r="BF384" s="319"/>
      <c r="BG384" s="319"/>
      <c r="BH384" s="319"/>
      <c r="BI384" s="319"/>
      <c r="BJ384" s="319"/>
      <c r="BK384" s="315"/>
      <c r="BL384" s="316"/>
      <c r="BM384" s="314"/>
      <c r="BN384" s="319"/>
      <c r="BO384" s="315"/>
      <c r="BP384" s="314"/>
      <c r="BQ384" s="316"/>
      <c r="BR384" s="314"/>
      <c r="BS384" s="262"/>
      <c r="BT384" s="262"/>
    </row>
    <row r="385" spans="1:72" ht="45.75" customHeight="1">
      <c r="A385" s="342"/>
      <c r="B385" s="342"/>
      <c r="C385" s="342"/>
      <c r="D385" s="343"/>
      <c r="E385" s="342"/>
      <c r="F385" s="342"/>
      <c r="G385" s="344"/>
      <c r="H385" s="344"/>
      <c r="I385" s="344"/>
      <c r="J385" s="334"/>
      <c r="K385" s="335"/>
      <c r="L385" s="336"/>
      <c r="M385" s="336"/>
      <c r="N385" s="337"/>
      <c r="O385" s="337"/>
      <c r="P385" s="315"/>
      <c r="Q385" s="314"/>
      <c r="R385" s="317"/>
      <c r="S385" s="315"/>
      <c r="T385" s="315"/>
      <c r="U385" s="315"/>
      <c r="V385" s="258"/>
      <c r="W385" s="322"/>
      <c r="X385" s="318"/>
      <c r="Y385" s="315"/>
      <c r="Z385" s="318"/>
      <c r="AA385" s="314"/>
      <c r="AB385" s="336"/>
      <c r="AC385" s="314"/>
      <c r="AD385" s="316"/>
      <c r="AE385" s="315"/>
      <c r="AF385" s="315"/>
      <c r="AG385" s="315"/>
      <c r="AH385" s="315"/>
      <c r="AI385" s="377"/>
      <c r="AJ385" s="407"/>
      <c r="AK385" s="377"/>
      <c r="AL385" s="314"/>
      <c r="AM385" s="314"/>
      <c r="AN385" s="314"/>
      <c r="AO385" s="315"/>
      <c r="AP385" s="257"/>
      <c r="AQ385" s="257"/>
      <c r="AR385" s="257"/>
      <c r="AS385" s="315"/>
      <c r="AT385" s="257"/>
      <c r="AU385" s="257"/>
      <c r="AV385" s="316"/>
      <c r="AW385" s="314"/>
      <c r="AX385" s="315"/>
      <c r="AY385" s="315"/>
      <c r="AZ385" s="315"/>
      <c r="BA385" s="315"/>
      <c r="BB385" s="315"/>
      <c r="BC385" s="315"/>
      <c r="BD385" s="319"/>
      <c r="BE385" s="319"/>
      <c r="BF385" s="319"/>
      <c r="BG385" s="319"/>
      <c r="BH385" s="319"/>
      <c r="BI385" s="319"/>
      <c r="BJ385" s="319"/>
      <c r="BK385" s="315"/>
      <c r="BL385" s="316"/>
      <c r="BM385" s="314"/>
      <c r="BN385" s="319"/>
      <c r="BO385" s="315"/>
      <c r="BP385" s="314"/>
      <c r="BQ385" s="316"/>
      <c r="BR385" s="314"/>
      <c r="BS385" s="262"/>
      <c r="BT385" s="262"/>
    </row>
    <row r="386" spans="1:72" ht="45.75" customHeight="1">
      <c r="A386" s="342"/>
      <c r="B386" s="342"/>
      <c r="C386" s="342"/>
      <c r="D386" s="343"/>
      <c r="E386" s="342"/>
      <c r="F386" s="342"/>
      <c r="G386" s="344"/>
      <c r="H386" s="344"/>
      <c r="I386" s="344"/>
      <c r="J386" s="334"/>
      <c r="K386" s="335"/>
      <c r="L386" s="336"/>
      <c r="M386" s="336"/>
      <c r="N386" s="337"/>
      <c r="O386" s="337"/>
      <c r="P386" s="315"/>
      <c r="Q386" s="314"/>
      <c r="R386" s="317"/>
      <c r="S386" s="315"/>
      <c r="T386" s="315"/>
      <c r="U386" s="315"/>
      <c r="V386" s="258"/>
      <c r="W386" s="322"/>
      <c r="X386" s="318"/>
      <c r="Y386" s="315"/>
      <c r="Z386" s="318"/>
      <c r="AA386" s="314"/>
      <c r="AB386" s="336"/>
      <c r="AC386" s="314"/>
      <c r="AD386" s="316"/>
      <c r="AE386" s="315"/>
      <c r="AF386" s="315"/>
      <c r="AG386" s="315"/>
      <c r="AH386" s="315"/>
      <c r="AI386" s="377"/>
      <c r="AJ386" s="407"/>
      <c r="AK386" s="377"/>
      <c r="AL386" s="314"/>
      <c r="AM386" s="314"/>
      <c r="AN386" s="314"/>
      <c r="AO386" s="315"/>
      <c r="AP386" s="257"/>
      <c r="AQ386" s="257"/>
      <c r="AR386" s="257"/>
      <c r="AS386" s="315"/>
      <c r="AT386" s="257"/>
      <c r="AU386" s="257"/>
      <c r="AV386" s="316"/>
      <c r="AW386" s="314"/>
      <c r="AX386" s="315"/>
      <c r="AY386" s="315"/>
      <c r="AZ386" s="315"/>
      <c r="BA386" s="315"/>
      <c r="BB386" s="315"/>
      <c r="BC386" s="315"/>
      <c r="BD386" s="319"/>
      <c r="BE386" s="319"/>
      <c r="BF386" s="319"/>
      <c r="BG386" s="319"/>
      <c r="BH386" s="319"/>
      <c r="BI386" s="319"/>
      <c r="BJ386" s="319"/>
      <c r="BK386" s="315"/>
      <c r="BL386" s="316"/>
      <c r="BM386" s="314"/>
      <c r="BN386" s="319"/>
      <c r="BO386" s="315"/>
      <c r="BP386" s="314"/>
      <c r="BQ386" s="316"/>
      <c r="BR386" s="314"/>
      <c r="BS386" s="262"/>
      <c r="BT386" s="262"/>
    </row>
    <row r="387" spans="1:72" ht="45.75" customHeight="1">
      <c r="A387" s="342"/>
      <c r="B387" s="342"/>
      <c r="C387" s="342"/>
      <c r="D387" s="343"/>
      <c r="E387" s="342"/>
      <c r="F387" s="342"/>
      <c r="G387" s="344"/>
      <c r="H387" s="344"/>
      <c r="I387" s="344"/>
      <c r="J387" s="334"/>
      <c r="K387" s="335"/>
      <c r="L387" s="336"/>
      <c r="M387" s="336"/>
      <c r="N387" s="337"/>
      <c r="O387" s="337"/>
      <c r="P387" s="315"/>
      <c r="Q387" s="314"/>
      <c r="R387" s="317"/>
      <c r="S387" s="315"/>
      <c r="T387" s="315"/>
      <c r="U387" s="315"/>
      <c r="V387" s="258"/>
      <c r="W387" s="322"/>
      <c r="X387" s="318"/>
      <c r="Y387" s="315"/>
      <c r="Z387" s="318"/>
      <c r="AA387" s="314"/>
      <c r="AB387" s="336"/>
      <c r="AC387" s="314"/>
      <c r="AD387" s="316"/>
      <c r="AE387" s="315"/>
      <c r="AF387" s="315"/>
      <c r="AG387" s="315"/>
      <c r="AH387" s="315"/>
      <c r="AI387" s="377"/>
      <c r="AJ387" s="407"/>
      <c r="AK387" s="377"/>
      <c r="AL387" s="314"/>
      <c r="AM387" s="314"/>
      <c r="AN387" s="314"/>
      <c r="AO387" s="315"/>
      <c r="AP387" s="257"/>
      <c r="AQ387" s="257"/>
      <c r="AR387" s="257"/>
      <c r="AS387" s="315"/>
      <c r="AT387" s="257"/>
      <c r="AU387" s="257"/>
      <c r="AV387" s="316"/>
      <c r="AW387" s="314"/>
      <c r="AX387" s="315"/>
      <c r="AY387" s="315"/>
      <c r="AZ387" s="315"/>
      <c r="BA387" s="315"/>
      <c r="BB387" s="315"/>
      <c r="BC387" s="315"/>
      <c r="BD387" s="319"/>
      <c r="BE387" s="319"/>
      <c r="BF387" s="319"/>
      <c r="BG387" s="319"/>
      <c r="BH387" s="319"/>
      <c r="BI387" s="319"/>
      <c r="BJ387" s="319"/>
      <c r="BK387" s="315"/>
      <c r="BL387" s="316"/>
      <c r="BM387" s="314"/>
      <c r="BN387" s="319"/>
      <c r="BO387" s="315"/>
      <c r="BP387" s="314"/>
      <c r="BQ387" s="316"/>
      <c r="BR387" s="314"/>
      <c r="BS387" s="262"/>
      <c r="BT387" s="262"/>
    </row>
    <row r="388" spans="1:72" ht="45.75" customHeight="1">
      <c r="A388" s="342"/>
      <c r="B388" s="342"/>
      <c r="C388" s="342"/>
      <c r="D388" s="343"/>
      <c r="E388" s="342"/>
      <c r="F388" s="342"/>
      <c r="G388" s="344"/>
      <c r="H388" s="344"/>
      <c r="I388" s="344"/>
      <c r="J388" s="334"/>
      <c r="K388" s="335"/>
      <c r="L388" s="336"/>
      <c r="M388" s="336"/>
      <c r="N388" s="337"/>
      <c r="O388" s="337"/>
      <c r="P388" s="315"/>
      <c r="Q388" s="314"/>
      <c r="R388" s="317"/>
      <c r="S388" s="315"/>
      <c r="T388" s="315"/>
      <c r="U388" s="315"/>
      <c r="V388" s="258"/>
      <c r="W388" s="322"/>
      <c r="X388" s="318"/>
      <c r="Y388" s="315"/>
      <c r="Z388" s="318"/>
      <c r="AA388" s="314"/>
      <c r="AB388" s="336"/>
      <c r="AC388" s="314"/>
      <c r="AD388" s="316"/>
      <c r="AE388" s="315"/>
      <c r="AF388" s="315"/>
      <c r="AG388" s="315"/>
      <c r="AH388" s="315"/>
      <c r="AI388" s="377"/>
      <c r="AJ388" s="407"/>
      <c r="AK388" s="377"/>
      <c r="AL388" s="314"/>
      <c r="AM388" s="314"/>
      <c r="AN388" s="314"/>
      <c r="AO388" s="315"/>
      <c r="AP388" s="257"/>
      <c r="AQ388" s="257"/>
      <c r="AR388" s="257"/>
      <c r="AS388" s="315"/>
      <c r="AT388" s="257"/>
      <c r="AU388" s="257"/>
      <c r="AV388" s="316"/>
      <c r="AW388" s="314"/>
      <c r="AX388" s="315"/>
      <c r="AY388" s="315"/>
      <c r="AZ388" s="315"/>
      <c r="BA388" s="315"/>
      <c r="BB388" s="315"/>
      <c r="BC388" s="315"/>
      <c r="BD388" s="319"/>
      <c r="BE388" s="319"/>
      <c r="BF388" s="319"/>
      <c r="BG388" s="319"/>
      <c r="BH388" s="319"/>
      <c r="BI388" s="319"/>
      <c r="BJ388" s="319"/>
      <c r="BK388" s="315"/>
      <c r="BL388" s="316"/>
      <c r="BM388" s="314"/>
      <c r="BN388" s="319"/>
      <c r="BO388" s="315"/>
      <c r="BP388" s="314"/>
      <c r="BQ388" s="316"/>
      <c r="BR388" s="314"/>
      <c r="BS388" s="262"/>
      <c r="BT388" s="262"/>
    </row>
    <row r="389" spans="1:72" ht="45.75" customHeight="1">
      <c r="A389" s="342"/>
      <c r="B389" s="342"/>
      <c r="C389" s="342"/>
      <c r="D389" s="343"/>
      <c r="E389" s="342"/>
      <c r="F389" s="342"/>
      <c r="G389" s="344"/>
      <c r="H389" s="344"/>
      <c r="I389" s="344"/>
      <c r="J389" s="334"/>
      <c r="K389" s="335"/>
      <c r="L389" s="336"/>
      <c r="M389" s="336"/>
      <c r="N389" s="337"/>
      <c r="O389" s="337"/>
      <c r="P389" s="315"/>
      <c r="Q389" s="314"/>
      <c r="R389" s="317"/>
      <c r="S389" s="315"/>
      <c r="T389" s="315"/>
      <c r="U389" s="315"/>
      <c r="V389" s="258"/>
      <c r="W389" s="322"/>
      <c r="X389" s="318"/>
      <c r="Y389" s="315"/>
      <c r="Z389" s="318"/>
      <c r="AA389" s="314"/>
      <c r="AB389" s="336"/>
      <c r="AC389" s="314"/>
      <c r="AD389" s="316"/>
      <c r="AE389" s="315"/>
      <c r="AF389" s="315"/>
      <c r="AG389" s="315"/>
      <c r="AH389" s="315"/>
      <c r="AI389" s="377"/>
      <c r="AJ389" s="407"/>
      <c r="AK389" s="377"/>
      <c r="AL389" s="314"/>
      <c r="AM389" s="314"/>
      <c r="AN389" s="314"/>
      <c r="AO389" s="315"/>
      <c r="AP389" s="257"/>
      <c r="AQ389" s="257"/>
      <c r="AR389" s="257"/>
      <c r="AS389" s="315"/>
      <c r="AT389" s="257"/>
      <c r="AU389" s="257"/>
      <c r="AV389" s="316"/>
      <c r="AW389" s="314"/>
      <c r="AX389" s="315"/>
      <c r="AY389" s="315"/>
      <c r="AZ389" s="315"/>
      <c r="BA389" s="315"/>
      <c r="BB389" s="315"/>
      <c r="BC389" s="315"/>
      <c r="BD389" s="319"/>
      <c r="BE389" s="319"/>
      <c r="BF389" s="319"/>
      <c r="BG389" s="319"/>
      <c r="BH389" s="319"/>
      <c r="BI389" s="319"/>
      <c r="BJ389" s="319"/>
      <c r="BK389" s="315"/>
      <c r="BL389" s="316"/>
      <c r="BM389" s="314"/>
      <c r="BN389" s="319"/>
      <c r="BO389" s="315"/>
      <c r="BP389" s="314"/>
      <c r="BQ389" s="316"/>
      <c r="BR389" s="314"/>
      <c r="BS389" s="262"/>
      <c r="BT389" s="262"/>
    </row>
    <row r="390" spans="1:72" ht="45.75" customHeight="1">
      <c r="A390" s="342"/>
      <c r="B390" s="342"/>
      <c r="C390" s="342"/>
      <c r="D390" s="343"/>
      <c r="E390" s="342"/>
      <c r="F390" s="342"/>
      <c r="G390" s="344"/>
      <c r="H390" s="344"/>
      <c r="I390" s="344"/>
      <c r="J390" s="334"/>
      <c r="K390" s="335"/>
      <c r="L390" s="336"/>
      <c r="M390" s="336"/>
      <c r="N390" s="337"/>
      <c r="O390" s="337"/>
      <c r="P390" s="315"/>
      <c r="Q390" s="314"/>
      <c r="R390" s="317"/>
      <c r="S390" s="315"/>
      <c r="T390" s="315"/>
      <c r="U390" s="315"/>
      <c r="V390" s="258"/>
      <c r="W390" s="322"/>
      <c r="X390" s="318"/>
      <c r="Y390" s="315"/>
      <c r="Z390" s="318"/>
      <c r="AA390" s="314"/>
      <c r="AB390" s="336"/>
      <c r="AC390" s="314"/>
      <c r="AD390" s="316"/>
      <c r="AE390" s="315"/>
      <c r="AF390" s="315"/>
      <c r="AG390" s="315"/>
      <c r="AH390" s="315"/>
      <c r="AI390" s="377"/>
      <c r="AJ390" s="407"/>
      <c r="AK390" s="377"/>
      <c r="AL390" s="314"/>
      <c r="AM390" s="314"/>
      <c r="AN390" s="314"/>
      <c r="AO390" s="315"/>
      <c r="AP390" s="257"/>
      <c r="AQ390" s="257"/>
      <c r="AR390" s="257"/>
      <c r="AS390" s="315"/>
      <c r="AT390" s="257"/>
      <c r="AU390" s="257"/>
      <c r="AV390" s="316"/>
      <c r="AW390" s="314"/>
      <c r="AX390" s="315"/>
      <c r="AY390" s="315"/>
      <c r="AZ390" s="315"/>
      <c r="BA390" s="315"/>
      <c r="BB390" s="315"/>
      <c r="BC390" s="315"/>
      <c r="BD390" s="319"/>
      <c r="BE390" s="319"/>
      <c r="BF390" s="319"/>
      <c r="BG390" s="319"/>
      <c r="BH390" s="319"/>
      <c r="BI390" s="319"/>
      <c r="BJ390" s="319"/>
      <c r="BK390" s="315"/>
      <c r="BL390" s="316"/>
      <c r="BM390" s="314"/>
      <c r="BN390" s="319"/>
      <c r="BO390" s="315"/>
      <c r="BP390" s="314"/>
      <c r="BQ390" s="316"/>
      <c r="BR390" s="314"/>
      <c r="BS390" s="262"/>
      <c r="BT390" s="262"/>
    </row>
    <row r="391" spans="1:72" ht="45.75" customHeight="1">
      <c r="A391" s="342"/>
      <c r="B391" s="342"/>
      <c r="C391" s="342"/>
      <c r="D391" s="343"/>
      <c r="E391" s="342"/>
      <c r="F391" s="342"/>
      <c r="G391" s="344"/>
      <c r="H391" s="344"/>
      <c r="I391" s="344"/>
      <c r="J391" s="334"/>
      <c r="K391" s="335"/>
      <c r="L391" s="336"/>
      <c r="M391" s="336"/>
      <c r="N391" s="337"/>
      <c r="O391" s="337"/>
      <c r="P391" s="315"/>
      <c r="Q391" s="314"/>
      <c r="R391" s="317"/>
      <c r="S391" s="315"/>
      <c r="T391" s="315"/>
      <c r="U391" s="315"/>
      <c r="V391" s="258"/>
      <c r="W391" s="322"/>
      <c r="X391" s="318"/>
      <c r="Y391" s="315"/>
      <c r="Z391" s="318"/>
      <c r="AA391" s="314"/>
      <c r="AB391" s="336"/>
      <c r="AC391" s="314"/>
      <c r="AD391" s="316"/>
      <c r="AE391" s="315"/>
      <c r="AF391" s="315"/>
      <c r="AG391" s="315"/>
      <c r="AH391" s="315"/>
      <c r="AI391" s="377"/>
      <c r="AJ391" s="407"/>
      <c r="AK391" s="377"/>
      <c r="AL391" s="314"/>
      <c r="AM391" s="314"/>
      <c r="AN391" s="314"/>
      <c r="AO391" s="315"/>
      <c r="AP391" s="257"/>
      <c r="AQ391" s="257"/>
      <c r="AR391" s="257"/>
      <c r="AS391" s="315"/>
      <c r="AT391" s="257"/>
      <c r="AU391" s="257"/>
      <c r="AV391" s="316"/>
      <c r="AW391" s="314"/>
      <c r="AX391" s="315"/>
      <c r="AY391" s="315"/>
      <c r="AZ391" s="315"/>
      <c r="BA391" s="315"/>
      <c r="BB391" s="315"/>
      <c r="BC391" s="315"/>
      <c r="BD391" s="319"/>
      <c r="BE391" s="319"/>
      <c r="BF391" s="319"/>
      <c r="BG391" s="319"/>
      <c r="BH391" s="319"/>
      <c r="BI391" s="319"/>
      <c r="BJ391" s="319"/>
      <c r="BK391" s="315"/>
      <c r="BL391" s="316"/>
      <c r="BM391" s="314"/>
      <c r="BN391" s="319"/>
      <c r="BO391" s="315"/>
      <c r="BP391" s="314"/>
      <c r="BQ391" s="316"/>
      <c r="BR391" s="314"/>
      <c r="BS391" s="262"/>
      <c r="BT391" s="262"/>
    </row>
    <row r="392" spans="1:72" ht="45.75" customHeight="1">
      <c r="A392" s="342"/>
      <c r="B392" s="342"/>
      <c r="C392" s="342"/>
      <c r="D392" s="343"/>
      <c r="E392" s="342"/>
      <c r="F392" s="342"/>
      <c r="G392" s="344"/>
      <c r="H392" s="344"/>
      <c r="I392" s="344"/>
      <c r="J392" s="334"/>
      <c r="K392" s="335"/>
      <c r="L392" s="336"/>
      <c r="M392" s="336"/>
      <c r="N392" s="337"/>
      <c r="O392" s="337"/>
      <c r="P392" s="315"/>
      <c r="Q392" s="314"/>
      <c r="R392" s="317"/>
      <c r="S392" s="315"/>
      <c r="T392" s="315"/>
      <c r="U392" s="315"/>
      <c r="V392" s="258"/>
      <c r="W392" s="322"/>
      <c r="X392" s="318"/>
      <c r="Y392" s="315"/>
      <c r="Z392" s="318"/>
      <c r="AA392" s="314"/>
      <c r="AB392" s="336"/>
      <c r="AC392" s="314"/>
      <c r="AD392" s="316"/>
      <c r="AE392" s="315"/>
      <c r="AF392" s="315"/>
      <c r="AG392" s="315"/>
      <c r="AH392" s="315"/>
      <c r="AI392" s="377"/>
      <c r="AJ392" s="407"/>
      <c r="AK392" s="377"/>
      <c r="AL392" s="314"/>
      <c r="AM392" s="314"/>
      <c r="AN392" s="314"/>
      <c r="AO392" s="315"/>
      <c r="AP392" s="257"/>
      <c r="AQ392" s="257"/>
      <c r="AR392" s="257"/>
      <c r="AS392" s="315"/>
      <c r="AT392" s="257"/>
      <c r="AU392" s="257"/>
      <c r="AV392" s="316"/>
      <c r="AW392" s="314"/>
      <c r="AX392" s="315"/>
      <c r="AY392" s="315"/>
      <c r="AZ392" s="315"/>
      <c r="BA392" s="315"/>
      <c r="BB392" s="315"/>
      <c r="BC392" s="315"/>
      <c r="BD392" s="319"/>
      <c r="BE392" s="319"/>
      <c r="BF392" s="319"/>
      <c r="BG392" s="319"/>
      <c r="BH392" s="319"/>
      <c r="BI392" s="319"/>
      <c r="BJ392" s="319"/>
      <c r="BK392" s="315"/>
      <c r="BL392" s="316"/>
      <c r="BM392" s="314"/>
      <c r="BN392" s="319"/>
      <c r="BO392" s="315"/>
      <c r="BP392" s="314"/>
      <c r="BQ392" s="316"/>
      <c r="BR392" s="314"/>
      <c r="BS392" s="262"/>
      <c r="BT392" s="262"/>
    </row>
    <row r="393" spans="1:72" ht="45.75" customHeight="1">
      <c r="A393" s="342"/>
      <c r="B393" s="342"/>
      <c r="C393" s="342"/>
      <c r="D393" s="343"/>
      <c r="E393" s="342"/>
      <c r="F393" s="342"/>
      <c r="G393" s="344"/>
      <c r="H393" s="344"/>
      <c r="I393" s="344"/>
      <c r="J393" s="334"/>
      <c r="K393" s="335"/>
      <c r="L393" s="336"/>
      <c r="M393" s="336"/>
      <c r="N393" s="337"/>
      <c r="O393" s="337"/>
      <c r="P393" s="315"/>
      <c r="Q393" s="314"/>
      <c r="R393" s="317"/>
      <c r="S393" s="315"/>
      <c r="T393" s="315"/>
      <c r="U393" s="315"/>
      <c r="V393" s="258"/>
      <c r="W393" s="322"/>
      <c r="X393" s="318"/>
      <c r="Y393" s="315"/>
      <c r="Z393" s="318"/>
      <c r="AA393" s="314"/>
      <c r="AB393" s="336"/>
      <c r="AC393" s="314"/>
      <c r="AD393" s="316"/>
      <c r="AE393" s="315"/>
      <c r="AF393" s="315"/>
      <c r="AG393" s="315"/>
      <c r="AH393" s="315"/>
      <c r="AI393" s="377"/>
      <c r="AJ393" s="407"/>
      <c r="AK393" s="377"/>
      <c r="AL393" s="314"/>
      <c r="AM393" s="314"/>
      <c r="AN393" s="314"/>
      <c r="AO393" s="315"/>
      <c r="AP393" s="257"/>
      <c r="AQ393" s="257"/>
      <c r="AR393" s="257"/>
      <c r="AS393" s="315"/>
      <c r="AT393" s="257"/>
      <c r="AU393" s="257"/>
      <c r="AV393" s="316"/>
      <c r="AW393" s="314"/>
      <c r="AX393" s="315"/>
      <c r="AY393" s="315"/>
      <c r="AZ393" s="315"/>
      <c r="BA393" s="315"/>
      <c r="BB393" s="315"/>
      <c r="BC393" s="315"/>
      <c r="BD393" s="319"/>
      <c r="BE393" s="319"/>
      <c r="BF393" s="319"/>
      <c r="BG393" s="319"/>
      <c r="BH393" s="319"/>
      <c r="BI393" s="319"/>
      <c r="BJ393" s="319"/>
      <c r="BK393" s="315"/>
      <c r="BL393" s="316"/>
      <c r="BM393" s="314"/>
      <c r="BN393" s="319"/>
      <c r="BO393" s="315"/>
      <c r="BP393" s="314"/>
      <c r="BQ393" s="316"/>
      <c r="BR393" s="314"/>
      <c r="BS393" s="262"/>
      <c r="BT393" s="262"/>
    </row>
    <row r="394" spans="1:72" ht="45.75" customHeight="1">
      <c r="A394" s="342"/>
      <c r="B394" s="342"/>
      <c r="C394" s="342"/>
      <c r="D394" s="343"/>
      <c r="E394" s="342"/>
      <c r="F394" s="342"/>
      <c r="G394" s="344"/>
      <c r="H394" s="344"/>
      <c r="I394" s="344"/>
      <c r="J394" s="334"/>
      <c r="K394" s="335"/>
      <c r="L394" s="336"/>
      <c r="M394" s="336"/>
      <c r="N394" s="337"/>
      <c r="O394" s="337"/>
      <c r="P394" s="315"/>
      <c r="Q394" s="314"/>
      <c r="R394" s="317"/>
      <c r="S394" s="315"/>
      <c r="T394" s="315"/>
      <c r="U394" s="315"/>
      <c r="V394" s="258"/>
      <c r="W394" s="322"/>
      <c r="X394" s="318"/>
      <c r="Y394" s="315"/>
      <c r="Z394" s="318"/>
      <c r="AA394" s="314"/>
      <c r="AB394" s="336"/>
      <c r="AC394" s="314"/>
      <c r="AD394" s="316"/>
      <c r="AE394" s="315"/>
      <c r="AF394" s="315"/>
      <c r="AG394" s="315"/>
      <c r="AH394" s="315"/>
      <c r="AI394" s="377"/>
      <c r="AJ394" s="407"/>
      <c r="AK394" s="377"/>
      <c r="AL394" s="314"/>
      <c r="AM394" s="314"/>
      <c r="AN394" s="314"/>
      <c r="AO394" s="315"/>
      <c r="AP394" s="257"/>
      <c r="AQ394" s="257"/>
      <c r="AR394" s="257"/>
      <c r="AS394" s="315"/>
      <c r="AT394" s="257"/>
      <c r="AU394" s="257"/>
      <c r="AV394" s="316"/>
      <c r="AW394" s="314"/>
      <c r="AX394" s="315"/>
      <c r="AY394" s="315"/>
      <c r="AZ394" s="315"/>
      <c r="BA394" s="315"/>
      <c r="BB394" s="315"/>
      <c r="BC394" s="315"/>
      <c r="BD394" s="319"/>
      <c r="BE394" s="319"/>
      <c r="BF394" s="319"/>
      <c r="BG394" s="319"/>
      <c r="BH394" s="319"/>
      <c r="BI394" s="319"/>
      <c r="BJ394" s="319"/>
      <c r="BK394" s="315"/>
      <c r="BL394" s="316"/>
      <c r="BM394" s="314"/>
      <c r="BN394" s="319"/>
      <c r="BO394" s="315"/>
      <c r="BP394" s="314"/>
      <c r="BQ394" s="316"/>
      <c r="BR394" s="314"/>
      <c r="BS394" s="262"/>
      <c r="BT394" s="262"/>
    </row>
    <row r="395" spans="1:72" ht="45.75" customHeight="1">
      <c r="A395" s="342"/>
      <c r="B395" s="342"/>
      <c r="C395" s="342"/>
      <c r="D395" s="343"/>
      <c r="E395" s="342"/>
      <c r="F395" s="342"/>
      <c r="G395" s="344"/>
      <c r="H395" s="344"/>
      <c r="I395" s="344"/>
      <c r="J395" s="334"/>
      <c r="K395" s="335"/>
      <c r="L395" s="336"/>
      <c r="M395" s="336"/>
      <c r="N395" s="337"/>
      <c r="O395" s="337"/>
      <c r="P395" s="315"/>
      <c r="Q395" s="314"/>
      <c r="R395" s="317"/>
      <c r="S395" s="315"/>
      <c r="T395" s="315"/>
      <c r="U395" s="315"/>
      <c r="V395" s="258"/>
      <c r="W395" s="322"/>
      <c r="X395" s="318"/>
      <c r="Y395" s="315"/>
      <c r="Z395" s="318"/>
      <c r="AA395" s="314"/>
      <c r="AB395" s="336"/>
      <c r="AC395" s="314"/>
      <c r="AD395" s="316"/>
      <c r="AE395" s="315"/>
      <c r="AF395" s="315"/>
      <c r="AG395" s="315"/>
      <c r="AH395" s="315"/>
      <c r="AI395" s="377"/>
      <c r="AJ395" s="407"/>
      <c r="AK395" s="377"/>
      <c r="AL395" s="314"/>
      <c r="AM395" s="314"/>
      <c r="AN395" s="314"/>
      <c r="AO395" s="315"/>
      <c r="AP395" s="257"/>
      <c r="AQ395" s="257"/>
      <c r="AR395" s="257"/>
      <c r="AS395" s="315"/>
      <c r="AT395" s="257"/>
      <c r="AU395" s="257"/>
      <c r="AV395" s="316"/>
      <c r="AW395" s="314"/>
      <c r="AX395" s="315"/>
      <c r="AY395" s="315"/>
      <c r="AZ395" s="315"/>
      <c r="BA395" s="315"/>
      <c r="BB395" s="315"/>
      <c r="BC395" s="315"/>
      <c r="BD395" s="319"/>
      <c r="BE395" s="319"/>
      <c r="BF395" s="319"/>
      <c r="BG395" s="319"/>
      <c r="BH395" s="319"/>
      <c r="BI395" s="319"/>
      <c r="BJ395" s="319"/>
      <c r="BK395" s="315"/>
      <c r="BL395" s="316"/>
      <c r="BM395" s="314"/>
      <c r="BN395" s="319"/>
      <c r="BO395" s="315"/>
      <c r="BP395" s="314"/>
      <c r="BQ395" s="316"/>
      <c r="BR395" s="314"/>
      <c r="BS395" s="262"/>
      <c r="BT395" s="262"/>
    </row>
    <row r="396" spans="1:72" ht="45.75" customHeight="1">
      <c r="A396" s="342"/>
      <c r="B396" s="342"/>
      <c r="C396" s="342"/>
      <c r="D396" s="343"/>
      <c r="E396" s="342"/>
      <c r="F396" s="342"/>
      <c r="G396" s="344"/>
      <c r="H396" s="344"/>
      <c r="I396" s="344"/>
      <c r="J396" s="334"/>
      <c r="K396" s="335"/>
      <c r="L396" s="336"/>
      <c r="M396" s="336"/>
      <c r="N396" s="337"/>
      <c r="O396" s="337"/>
      <c r="P396" s="315"/>
      <c r="Q396" s="314"/>
      <c r="R396" s="317"/>
      <c r="S396" s="315"/>
      <c r="T396" s="315"/>
      <c r="U396" s="315"/>
      <c r="V396" s="258"/>
      <c r="W396" s="322"/>
      <c r="X396" s="318"/>
      <c r="Y396" s="315"/>
      <c r="Z396" s="318"/>
      <c r="AA396" s="314"/>
      <c r="AB396" s="336"/>
      <c r="AC396" s="314"/>
      <c r="AD396" s="316"/>
      <c r="AE396" s="315"/>
      <c r="AF396" s="315"/>
      <c r="AG396" s="315"/>
      <c r="AH396" s="315"/>
      <c r="AI396" s="377"/>
      <c r="AJ396" s="407"/>
      <c r="AK396" s="377"/>
      <c r="AL396" s="314"/>
      <c r="AM396" s="314"/>
      <c r="AN396" s="314"/>
      <c r="AO396" s="315"/>
      <c r="AP396" s="257"/>
      <c r="AQ396" s="257"/>
      <c r="AR396" s="257"/>
      <c r="AS396" s="315"/>
      <c r="AT396" s="257"/>
      <c r="AU396" s="257"/>
      <c r="AV396" s="316"/>
      <c r="AW396" s="314"/>
      <c r="AX396" s="315"/>
      <c r="AY396" s="315"/>
      <c r="AZ396" s="315"/>
      <c r="BA396" s="315"/>
      <c r="BB396" s="315"/>
      <c r="BC396" s="315"/>
      <c r="BD396" s="319"/>
      <c r="BE396" s="319"/>
      <c r="BF396" s="319"/>
      <c r="BG396" s="319"/>
      <c r="BH396" s="319"/>
      <c r="BI396" s="319"/>
      <c r="BJ396" s="319"/>
      <c r="BK396" s="315"/>
      <c r="BL396" s="316"/>
      <c r="BM396" s="314"/>
      <c r="BN396" s="319"/>
      <c r="BO396" s="315"/>
      <c r="BP396" s="314"/>
      <c r="BQ396" s="316"/>
      <c r="BR396" s="314"/>
      <c r="BS396" s="262"/>
      <c r="BT396" s="262"/>
    </row>
    <row r="397" spans="1:72" ht="45.75" customHeight="1">
      <c r="A397" s="342"/>
      <c r="B397" s="342"/>
      <c r="C397" s="342"/>
      <c r="D397" s="343"/>
      <c r="E397" s="342"/>
      <c r="F397" s="342"/>
      <c r="G397" s="344"/>
      <c r="H397" s="344"/>
      <c r="I397" s="344"/>
      <c r="J397" s="334"/>
      <c r="K397" s="335"/>
      <c r="L397" s="336"/>
      <c r="M397" s="336"/>
      <c r="N397" s="337"/>
      <c r="O397" s="337"/>
      <c r="P397" s="315"/>
      <c r="Q397" s="314"/>
      <c r="R397" s="317"/>
      <c r="S397" s="315"/>
      <c r="T397" s="315"/>
      <c r="U397" s="315"/>
      <c r="V397" s="258"/>
      <c r="W397" s="322"/>
      <c r="X397" s="318"/>
      <c r="Y397" s="315"/>
      <c r="Z397" s="318"/>
      <c r="AA397" s="314"/>
      <c r="AB397" s="336"/>
      <c r="AC397" s="314"/>
      <c r="AD397" s="316"/>
      <c r="AE397" s="315"/>
      <c r="AF397" s="315"/>
      <c r="AG397" s="315"/>
      <c r="AH397" s="315"/>
      <c r="AI397" s="377"/>
      <c r="AJ397" s="407"/>
      <c r="AK397" s="377"/>
      <c r="AL397" s="314"/>
      <c r="AM397" s="314"/>
      <c r="AN397" s="314"/>
      <c r="AO397" s="315"/>
      <c r="AP397" s="257"/>
      <c r="AQ397" s="257"/>
      <c r="AR397" s="257"/>
      <c r="AS397" s="315"/>
      <c r="AT397" s="257"/>
      <c r="AU397" s="257"/>
      <c r="AV397" s="316"/>
      <c r="AW397" s="314"/>
      <c r="AX397" s="315"/>
      <c r="AY397" s="315"/>
      <c r="AZ397" s="315"/>
      <c r="BA397" s="315"/>
      <c r="BB397" s="315"/>
      <c r="BC397" s="315"/>
      <c r="BD397" s="319"/>
      <c r="BE397" s="319"/>
      <c r="BF397" s="319"/>
      <c r="BG397" s="319"/>
      <c r="BH397" s="319"/>
      <c r="BI397" s="319"/>
      <c r="BJ397" s="319"/>
      <c r="BK397" s="315"/>
      <c r="BL397" s="316"/>
      <c r="BM397" s="314"/>
      <c r="BN397" s="319"/>
      <c r="BO397" s="315"/>
      <c r="BP397" s="314"/>
      <c r="BQ397" s="316"/>
      <c r="BR397" s="314"/>
      <c r="BS397" s="262"/>
      <c r="BT397" s="262"/>
    </row>
    <row r="398" spans="1:72" ht="45.75" customHeight="1">
      <c r="A398" s="342"/>
      <c r="B398" s="342"/>
      <c r="C398" s="342"/>
      <c r="D398" s="343"/>
      <c r="E398" s="342"/>
      <c r="F398" s="342"/>
      <c r="G398" s="344"/>
      <c r="H398" s="344"/>
      <c r="I398" s="344"/>
      <c r="J398" s="334"/>
      <c r="K398" s="335"/>
      <c r="L398" s="336"/>
      <c r="M398" s="336"/>
      <c r="N398" s="337"/>
      <c r="O398" s="337"/>
      <c r="P398" s="315"/>
      <c r="Q398" s="314"/>
      <c r="R398" s="317"/>
      <c r="S398" s="315"/>
      <c r="T398" s="315"/>
      <c r="U398" s="315"/>
      <c r="V398" s="258"/>
      <c r="W398" s="322"/>
      <c r="X398" s="318"/>
      <c r="Y398" s="315"/>
      <c r="Z398" s="318"/>
      <c r="AA398" s="314"/>
      <c r="AB398" s="336"/>
      <c r="AC398" s="314"/>
      <c r="AD398" s="316"/>
      <c r="AE398" s="315"/>
      <c r="AF398" s="315"/>
      <c r="AG398" s="315"/>
      <c r="AH398" s="315"/>
      <c r="AI398" s="377"/>
      <c r="AJ398" s="407"/>
      <c r="AK398" s="377"/>
      <c r="AL398" s="314"/>
      <c r="AM398" s="314"/>
      <c r="AN398" s="314"/>
      <c r="AO398" s="315"/>
      <c r="AP398" s="257"/>
      <c r="AQ398" s="257"/>
      <c r="AR398" s="257"/>
      <c r="AS398" s="315"/>
      <c r="AT398" s="257"/>
      <c r="AU398" s="257"/>
      <c r="AV398" s="316"/>
      <c r="AW398" s="314"/>
      <c r="AX398" s="315"/>
      <c r="AY398" s="315"/>
      <c r="AZ398" s="315"/>
      <c r="BA398" s="315"/>
      <c r="BB398" s="315"/>
      <c r="BC398" s="315"/>
      <c r="BD398" s="319"/>
      <c r="BE398" s="319"/>
      <c r="BF398" s="319"/>
      <c r="BG398" s="319"/>
      <c r="BH398" s="319"/>
      <c r="BI398" s="319"/>
      <c r="BJ398" s="319"/>
      <c r="BK398" s="315"/>
      <c r="BL398" s="316"/>
      <c r="BM398" s="314"/>
      <c r="BN398" s="319"/>
      <c r="BO398" s="315"/>
      <c r="BP398" s="314"/>
      <c r="BQ398" s="316"/>
      <c r="BR398" s="314"/>
      <c r="BS398" s="262"/>
      <c r="BT398" s="262"/>
    </row>
    <row r="399" spans="1:72" ht="45.75" customHeight="1">
      <c r="A399" s="342"/>
      <c r="B399" s="342"/>
      <c r="C399" s="342"/>
      <c r="D399" s="343"/>
      <c r="E399" s="342"/>
      <c r="F399" s="342"/>
      <c r="G399" s="344"/>
      <c r="H399" s="344"/>
      <c r="I399" s="344"/>
      <c r="J399" s="334"/>
      <c r="K399" s="335"/>
      <c r="L399" s="336"/>
      <c r="M399" s="336"/>
      <c r="N399" s="337"/>
      <c r="O399" s="337"/>
      <c r="P399" s="315"/>
      <c r="Q399" s="314"/>
      <c r="R399" s="317"/>
      <c r="S399" s="315"/>
      <c r="T399" s="315"/>
      <c r="U399" s="315"/>
      <c r="V399" s="258"/>
      <c r="W399" s="322"/>
      <c r="X399" s="318"/>
      <c r="Y399" s="315"/>
      <c r="Z399" s="318"/>
      <c r="AA399" s="314"/>
      <c r="AB399" s="336"/>
      <c r="AC399" s="314"/>
      <c r="AD399" s="316"/>
      <c r="AE399" s="315"/>
      <c r="AF399" s="315"/>
      <c r="AG399" s="315"/>
      <c r="AH399" s="315"/>
      <c r="AI399" s="377"/>
      <c r="AJ399" s="407"/>
      <c r="AK399" s="377"/>
      <c r="AL399" s="314"/>
      <c r="AM399" s="314"/>
      <c r="AN399" s="314"/>
      <c r="AO399" s="315"/>
      <c r="AP399" s="257"/>
      <c r="AQ399" s="257"/>
      <c r="AR399" s="257"/>
      <c r="AS399" s="315"/>
      <c r="AT399" s="257"/>
      <c r="AU399" s="257"/>
      <c r="AV399" s="316"/>
      <c r="AW399" s="314"/>
      <c r="AX399" s="315"/>
      <c r="AY399" s="315"/>
      <c r="AZ399" s="315"/>
      <c r="BA399" s="315"/>
      <c r="BB399" s="315"/>
      <c r="BC399" s="315"/>
      <c r="BD399" s="319"/>
      <c r="BE399" s="319"/>
      <c r="BF399" s="319"/>
      <c r="BG399" s="319"/>
      <c r="BH399" s="319"/>
      <c r="BI399" s="319"/>
      <c r="BJ399" s="319"/>
      <c r="BK399" s="315"/>
      <c r="BL399" s="316"/>
      <c r="BM399" s="314"/>
      <c r="BN399" s="319"/>
      <c r="BO399" s="315"/>
      <c r="BP399" s="314"/>
      <c r="BQ399" s="316"/>
      <c r="BR399" s="314"/>
      <c r="BS399" s="262"/>
      <c r="BT399" s="262"/>
    </row>
    <row r="400" spans="1:72" ht="45.75" customHeight="1">
      <c r="A400" s="342"/>
      <c r="B400" s="342"/>
      <c r="C400" s="342"/>
      <c r="D400" s="343"/>
      <c r="E400" s="342"/>
      <c r="F400" s="342"/>
      <c r="G400" s="344"/>
      <c r="H400" s="344"/>
      <c r="I400" s="344"/>
      <c r="J400" s="334"/>
      <c r="K400" s="335"/>
      <c r="L400" s="336"/>
      <c r="M400" s="336"/>
      <c r="N400" s="337"/>
      <c r="O400" s="337"/>
      <c r="P400" s="315"/>
      <c r="Q400" s="314"/>
      <c r="R400" s="317"/>
      <c r="S400" s="315"/>
      <c r="T400" s="315"/>
      <c r="U400" s="315"/>
      <c r="V400" s="258"/>
      <c r="W400" s="322"/>
      <c r="X400" s="318"/>
      <c r="Y400" s="315"/>
      <c r="Z400" s="318"/>
      <c r="AA400" s="314"/>
      <c r="AB400" s="336"/>
      <c r="AC400" s="314"/>
      <c r="AD400" s="316"/>
      <c r="AE400" s="315"/>
      <c r="AF400" s="315"/>
      <c r="AG400" s="315"/>
      <c r="AH400" s="315"/>
      <c r="AI400" s="377"/>
      <c r="AJ400" s="407"/>
      <c r="AK400" s="377"/>
      <c r="AL400" s="314"/>
      <c r="AM400" s="314"/>
      <c r="AN400" s="314"/>
      <c r="AO400" s="315"/>
      <c r="AP400" s="257"/>
      <c r="AQ400" s="257"/>
      <c r="AR400" s="257"/>
      <c r="AS400" s="315"/>
      <c r="AT400" s="257"/>
      <c r="AU400" s="257"/>
      <c r="AV400" s="316"/>
      <c r="AW400" s="314"/>
      <c r="AX400" s="315"/>
      <c r="AY400" s="315"/>
      <c r="AZ400" s="315"/>
      <c r="BA400" s="315"/>
      <c r="BB400" s="315"/>
      <c r="BC400" s="315"/>
      <c r="BD400" s="319"/>
      <c r="BE400" s="319"/>
      <c r="BF400" s="319"/>
      <c r="BG400" s="319"/>
      <c r="BH400" s="319"/>
      <c r="BI400" s="319"/>
      <c r="BJ400" s="319"/>
      <c r="BK400" s="315"/>
      <c r="BL400" s="316"/>
      <c r="BM400" s="314"/>
      <c r="BN400" s="319"/>
      <c r="BO400" s="315"/>
      <c r="BP400" s="314"/>
      <c r="BQ400" s="316"/>
      <c r="BR400" s="314"/>
      <c r="BS400" s="262"/>
      <c r="BT400" s="262"/>
    </row>
    <row r="401" spans="1:72" ht="45.75" customHeight="1">
      <c r="A401" s="342"/>
      <c r="B401" s="342"/>
      <c r="C401" s="342"/>
      <c r="D401" s="343"/>
      <c r="E401" s="342"/>
      <c r="F401" s="342"/>
      <c r="G401" s="344"/>
      <c r="H401" s="344"/>
      <c r="I401" s="344"/>
      <c r="J401" s="334"/>
      <c r="K401" s="335"/>
      <c r="L401" s="336"/>
      <c r="M401" s="336"/>
      <c r="N401" s="337"/>
      <c r="O401" s="337"/>
      <c r="P401" s="315"/>
      <c r="Q401" s="314"/>
      <c r="R401" s="317"/>
      <c r="S401" s="315"/>
      <c r="T401" s="315"/>
      <c r="U401" s="315"/>
      <c r="V401" s="258"/>
      <c r="W401" s="322"/>
      <c r="X401" s="318"/>
      <c r="Y401" s="315"/>
      <c r="Z401" s="318"/>
      <c r="AA401" s="314"/>
      <c r="AB401" s="336"/>
      <c r="AC401" s="314"/>
      <c r="AD401" s="316"/>
      <c r="AE401" s="315"/>
      <c r="AF401" s="315"/>
      <c r="AG401" s="315"/>
      <c r="AH401" s="315"/>
      <c r="AI401" s="377"/>
      <c r="AJ401" s="407"/>
      <c r="AK401" s="377"/>
      <c r="AL401" s="314"/>
      <c r="AM401" s="314"/>
      <c r="AN401" s="314"/>
      <c r="AO401" s="315"/>
      <c r="AP401" s="257"/>
      <c r="AQ401" s="257"/>
      <c r="AR401" s="257"/>
      <c r="AS401" s="315"/>
      <c r="AT401" s="257"/>
      <c r="AU401" s="257"/>
      <c r="AV401" s="316"/>
      <c r="AW401" s="314"/>
      <c r="AX401" s="315"/>
      <c r="AY401" s="315"/>
      <c r="AZ401" s="315"/>
      <c r="BA401" s="315"/>
      <c r="BB401" s="315"/>
      <c r="BC401" s="315"/>
      <c r="BD401" s="319"/>
      <c r="BE401" s="319"/>
      <c r="BF401" s="319"/>
      <c r="BG401" s="319"/>
      <c r="BH401" s="319"/>
      <c r="BI401" s="319"/>
      <c r="BJ401" s="319"/>
      <c r="BK401" s="315"/>
      <c r="BL401" s="316"/>
      <c r="BM401" s="314"/>
      <c r="BN401" s="319"/>
      <c r="BO401" s="315"/>
      <c r="BP401" s="314"/>
      <c r="BQ401" s="316"/>
      <c r="BR401" s="314"/>
      <c r="BS401" s="262"/>
      <c r="BT401" s="262"/>
    </row>
    <row r="402" spans="1:72" ht="45.75" customHeight="1">
      <c r="A402" s="342"/>
      <c r="B402" s="342"/>
      <c r="C402" s="342"/>
      <c r="D402" s="343"/>
      <c r="E402" s="342"/>
      <c r="F402" s="342"/>
      <c r="G402" s="344"/>
      <c r="H402" s="344"/>
      <c r="I402" s="344"/>
      <c r="J402" s="334"/>
      <c r="K402" s="335"/>
      <c r="L402" s="336"/>
      <c r="M402" s="336"/>
      <c r="N402" s="337"/>
      <c r="O402" s="337"/>
      <c r="P402" s="315"/>
      <c r="Q402" s="314"/>
      <c r="R402" s="317"/>
      <c r="S402" s="315"/>
      <c r="T402" s="315"/>
      <c r="U402" s="315"/>
      <c r="V402" s="258"/>
      <c r="W402" s="322"/>
      <c r="X402" s="318"/>
      <c r="Y402" s="315"/>
      <c r="Z402" s="318"/>
      <c r="AA402" s="314"/>
      <c r="AB402" s="336"/>
      <c r="AC402" s="314"/>
      <c r="AD402" s="316"/>
      <c r="AE402" s="315"/>
      <c r="AF402" s="315"/>
      <c r="AG402" s="315"/>
      <c r="AH402" s="315"/>
      <c r="AI402" s="377"/>
      <c r="AJ402" s="407"/>
      <c r="AK402" s="377"/>
      <c r="AL402" s="314"/>
      <c r="AM402" s="314"/>
      <c r="AN402" s="314"/>
      <c r="AO402" s="315"/>
      <c r="AP402" s="257"/>
      <c r="AQ402" s="257"/>
      <c r="AR402" s="257"/>
      <c r="AS402" s="315"/>
      <c r="AT402" s="257"/>
      <c r="AU402" s="257"/>
      <c r="AV402" s="316"/>
      <c r="AW402" s="314"/>
      <c r="AX402" s="315"/>
      <c r="AY402" s="315"/>
      <c r="AZ402" s="315"/>
      <c r="BA402" s="315"/>
      <c r="BB402" s="315"/>
      <c r="BC402" s="315"/>
      <c r="BD402" s="319"/>
      <c r="BE402" s="319"/>
      <c r="BF402" s="319"/>
      <c r="BG402" s="319"/>
      <c r="BH402" s="319"/>
      <c r="BI402" s="319"/>
      <c r="BJ402" s="319"/>
      <c r="BK402" s="315"/>
      <c r="BL402" s="316"/>
      <c r="BM402" s="314"/>
      <c r="BN402" s="319"/>
      <c r="BO402" s="315"/>
      <c r="BP402" s="314"/>
      <c r="BQ402" s="316"/>
      <c r="BR402" s="314"/>
      <c r="BS402" s="262"/>
      <c r="BT402" s="262"/>
    </row>
    <row r="403" spans="1:72" ht="45.75" customHeight="1">
      <c r="A403" s="342"/>
      <c r="B403" s="342"/>
      <c r="C403" s="342"/>
      <c r="D403" s="343"/>
      <c r="E403" s="342"/>
      <c r="F403" s="342"/>
      <c r="G403" s="344"/>
      <c r="H403" s="344"/>
      <c r="I403" s="344"/>
      <c r="J403" s="334"/>
      <c r="K403" s="335"/>
      <c r="L403" s="336"/>
      <c r="M403" s="336"/>
      <c r="N403" s="337"/>
      <c r="O403" s="337"/>
      <c r="P403" s="315"/>
      <c r="Q403" s="314"/>
      <c r="R403" s="317"/>
      <c r="S403" s="315"/>
      <c r="T403" s="315"/>
      <c r="U403" s="315"/>
      <c r="V403" s="258"/>
      <c r="W403" s="322"/>
      <c r="X403" s="318"/>
      <c r="Y403" s="315"/>
      <c r="Z403" s="318"/>
      <c r="AA403" s="314"/>
      <c r="AB403" s="336"/>
      <c r="AC403" s="314"/>
      <c r="AD403" s="316"/>
      <c r="AE403" s="315"/>
      <c r="AF403" s="315"/>
      <c r="AG403" s="315"/>
      <c r="AH403" s="315"/>
      <c r="AI403" s="377"/>
      <c r="AJ403" s="407"/>
      <c r="AK403" s="377"/>
      <c r="AL403" s="314"/>
      <c r="AM403" s="314"/>
      <c r="AN403" s="314"/>
      <c r="AO403" s="315"/>
      <c r="AP403" s="257"/>
      <c r="AQ403" s="257"/>
      <c r="AR403" s="257"/>
      <c r="AS403" s="315"/>
      <c r="AT403" s="257"/>
      <c r="AU403" s="257"/>
      <c r="AV403" s="316"/>
      <c r="AW403" s="314"/>
      <c r="AX403" s="315"/>
      <c r="AY403" s="315"/>
      <c r="AZ403" s="315"/>
      <c r="BA403" s="315"/>
      <c r="BB403" s="315"/>
      <c r="BC403" s="315"/>
      <c r="BD403" s="319"/>
      <c r="BE403" s="319"/>
      <c r="BF403" s="319"/>
      <c r="BG403" s="319"/>
      <c r="BH403" s="319"/>
      <c r="BI403" s="319"/>
      <c r="BJ403" s="319"/>
      <c r="BK403" s="315"/>
      <c r="BL403" s="316"/>
      <c r="BM403" s="314"/>
      <c r="BN403" s="319"/>
      <c r="BO403" s="315"/>
      <c r="BP403" s="314"/>
      <c r="BQ403" s="316"/>
      <c r="BR403" s="314"/>
      <c r="BS403" s="262"/>
      <c r="BT403" s="262"/>
    </row>
    <row r="404" spans="1:72" ht="45.75" customHeight="1">
      <c r="A404" s="342"/>
      <c r="B404" s="342"/>
      <c r="C404" s="342"/>
      <c r="D404" s="343"/>
      <c r="E404" s="342"/>
      <c r="F404" s="342"/>
      <c r="G404" s="344"/>
      <c r="H404" s="344"/>
      <c r="I404" s="344"/>
      <c r="J404" s="334"/>
      <c r="K404" s="335"/>
      <c r="L404" s="336"/>
      <c r="M404" s="336"/>
      <c r="N404" s="337"/>
      <c r="O404" s="337"/>
      <c r="P404" s="315"/>
      <c r="Q404" s="314"/>
      <c r="R404" s="317"/>
      <c r="S404" s="315"/>
      <c r="T404" s="315"/>
      <c r="U404" s="315"/>
      <c r="V404" s="258"/>
      <c r="W404" s="322"/>
      <c r="X404" s="318"/>
      <c r="Y404" s="315"/>
      <c r="Z404" s="318"/>
      <c r="AA404" s="314"/>
      <c r="AB404" s="336"/>
      <c r="AC404" s="314"/>
      <c r="AD404" s="316"/>
      <c r="AE404" s="315"/>
      <c r="AF404" s="315"/>
      <c r="AG404" s="315"/>
      <c r="AH404" s="315"/>
      <c r="AI404" s="377"/>
      <c r="AJ404" s="407"/>
      <c r="AK404" s="377"/>
      <c r="AL404" s="314"/>
      <c r="AM404" s="314"/>
      <c r="AN404" s="314"/>
      <c r="AO404" s="315"/>
      <c r="AP404" s="257"/>
      <c r="AQ404" s="257"/>
      <c r="AR404" s="257"/>
      <c r="AS404" s="315"/>
      <c r="AT404" s="257"/>
      <c r="AU404" s="257"/>
      <c r="AV404" s="316"/>
      <c r="AW404" s="314"/>
      <c r="AX404" s="315"/>
      <c r="AY404" s="315"/>
      <c r="AZ404" s="315"/>
      <c r="BA404" s="315"/>
      <c r="BB404" s="315"/>
      <c r="BC404" s="315"/>
      <c r="BD404" s="319"/>
      <c r="BE404" s="319"/>
      <c r="BF404" s="319"/>
      <c r="BG404" s="319"/>
      <c r="BH404" s="319"/>
      <c r="BI404" s="319"/>
      <c r="BJ404" s="319"/>
      <c r="BK404" s="315"/>
      <c r="BL404" s="316"/>
      <c r="BM404" s="314"/>
      <c r="BN404" s="319"/>
      <c r="BO404" s="315"/>
      <c r="BP404" s="314"/>
      <c r="BQ404" s="316"/>
      <c r="BR404" s="314"/>
      <c r="BS404" s="262"/>
      <c r="BT404" s="262"/>
    </row>
    <row r="405" spans="1:72" ht="45.75" customHeight="1">
      <c r="A405" s="342"/>
      <c r="B405" s="342"/>
      <c r="C405" s="342"/>
      <c r="D405" s="343"/>
      <c r="E405" s="342"/>
      <c r="F405" s="342"/>
      <c r="G405" s="344"/>
      <c r="H405" s="344"/>
      <c r="I405" s="344"/>
      <c r="J405" s="334"/>
      <c r="K405" s="335"/>
      <c r="L405" s="336"/>
      <c r="M405" s="336"/>
      <c r="N405" s="337"/>
      <c r="O405" s="337"/>
      <c r="P405" s="315"/>
      <c r="Q405" s="314"/>
      <c r="R405" s="317"/>
      <c r="S405" s="315"/>
      <c r="T405" s="315"/>
      <c r="U405" s="315"/>
      <c r="V405" s="258"/>
      <c r="W405" s="322"/>
      <c r="X405" s="318"/>
      <c r="Y405" s="315"/>
      <c r="Z405" s="318"/>
      <c r="AA405" s="314"/>
      <c r="AB405" s="336"/>
      <c r="AC405" s="314"/>
      <c r="AD405" s="316"/>
      <c r="AE405" s="315"/>
      <c r="AF405" s="315"/>
      <c r="AG405" s="315"/>
      <c r="AH405" s="315"/>
      <c r="AI405" s="377"/>
      <c r="AJ405" s="407"/>
      <c r="AK405" s="377"/>
      <c r="AL405" s="314"/>
      <c r="AM405" s="314"/>
      <c r="AN405" s="314"/>
      <c r="AO405" s="315"/>
      <c r="AP405" s="257"/>
      <c r="AQ405" s="257"/>
      <c r="AR405" s="257"/>
      <c r="AS405" s="315"/>
      <c r="AT405" s="257"/>
      <c r="AU405" s="257"/>
      <c r="AV405" s="316"/>
      <c r="AW405" s="314"/>
      <c r="AX405" s="315"/>
      <c r="AY405" s="315"/>
      <c r="AZ405" s="315"/>
      <c r="BA405" s="315"/>
      <c r="BB405" s="315"/>
      <c r="BC405" s="315"/>
      <c r="BD405" s="319"/>
      <c r="BE405" s="319"/>
      <c r="BF405" s="319"/>
      <c r="BG405" s="319"/>
      <c r="BH405" s="319"/>
      <c r="BI405" s="319"/>
      <c r="BJ405" s="319"/>
      <c r="BK405" s="315"/>
      <c r="BL405" s="316"/>
      <c r="BM405" s="314"/>
      <c r="BN405" s="319"/>
      <c r="BO405" s="315"/>
      <c r="BP405" s="314"/>
      <c r="BQ405" s="316"/>
      <c r="BR405" s="314"/>
      <c r="BS405" s="262"/>
      <c r="BT405" s="262"/>
    </row>
    <row r="406" spans="1:72" ht="45.75" customHeight="1">
      <c r="A406" s="342"/>
      <c r="B406" s="342"/>
      <c r="C406" s="342"/>
      <c r="D406" s="343"/>
      <c r="E406" s="342"/>
      <c r="F406" s="342"/>
      <c r="G406" s="344"/>
      <c r="H406" s="344"/>
      <c r="I406" s="344"/>
      <c r="J406" s="334"/>
      <c r="K406" s="335"/>
      <c r="L406" s="336"/>
      <c r="M406" s="336"/>
      <c r="N406" s="337"/>
      <c r="O406" s="337"/>
      <c r="P406" s="315"/>
      <c r="Q406" s="314"/>
      <c r="R406" s="317"/>
      <c r="S406" s="315"/>
      <c r="T406" s="315"/>
      <c r="U406" s="315"/>
      <c r="V406" s="258"/>
      <c r="W406" s="322"/>
      <c r="X406" s="318"/>
      <c r="Y406" s="315"/>
      <c r="Z406" s="318"/>
      <c r="AA406" s="314"/>
      <c r="AB406" s="336"/>
      <c r="AC406" s="314"/>
      <c r="AD406" s="316"/>
      <c r="AE406" s="315"/>
      <c r="AF406" s="315"/>
      <c r="AG406" s="315"/>
      <c r="AH406" s="315"/>
      <c r="AI406" s="377"/>
      <c r="AJ406" s="407"/>
      <c r="AK406" s="377"/>
      <c r="AL406" s="314"/>
      <c r="AM406" s="314"/>
      <c r="AN406" s="314"/>
      <c r="AO406" s="315"/>
      <c r="AP406" s="257"/>
      <c r="AQ406" s="257"/>
      <c r="AR406" s="257"/>
      <c r="AS406" s="315"/>
      <c r="AT406" s="257"/>
      <c r="AU406" s="257"/>
      <c r="AV406" s="316"/>
      <c r="AW406" s="314"/>
      <c r="AX406" s="315"/>
      <c r="AY406" s="315"/>
      <c r="AZ406" s="315"/>
      <c r="BA406" s="315"/>
      <c r="BB406" s="315"/>
      <c r="BC406" s="315"/>
      <c r="BD406" s="319"/>
      <c r="BE406" s="319"/>
      <c r="BF406" s="319"/>
      <c r="BG406" s="319"/>
      <c r="BH406" s="319"/>
      <c r="BI406" s="319"/>
      <c r="BJ406" s="319"/>
      <c r="BK406" s="315"/>
      <c r="BL406" s="316"/>
      <c r="BM406" s="314"/>
      <c r="BN406" s="319"/>
      <c r="BO406" s="315"/>
      <c r="BP406" s="314"/>
      <c r="BQ406" s="316"/>
      <c r="BR406" s="314"/>
      <c r="BS406" s="262"/>
      <c r="BT406" s="262"/>
    </row>
    <row r="407" spans="1:72" ht="45.75" customHeight="1">
      <c r="A407" s="342"/>
      <c r="B407" s="342"/>
      <c r="C407" s="342"/>
      <c r="D407" s="343"/>
      <c r="E407" s="342"/>
      <c r="F407" s="342"/>
      <c r="G407" s="344"/>
      <c r="H407" s="344"/>
      <c r="I407" s="344"/>
      <c r="J407" s="334"/>
      <c r="K407" s="335"/>
      <c r="L407" s="336"/>
      <c r="M407" s="336"/>
      <c r="N407" s="337"/>
      <c r="O407" s="337"/>
      <c r="P407" s="315"/>
      <c r="Q407" s="314"/>
      <c r="R407" s="317"/>
      <c r="S407" s="315"/>
      <c r="T407" s="315"/>
      <c r="U407" s="315"/>
      <c r="V407" s="258"/>
      <c r="W407" s="322"/>
      <c r="X407" s="318"/>
      <c r="Y407" s="315"/>
      <c r="Z407" s="318"/>
      <c r="AA407" s="314"/>
      <c r="AB407" s="336"/>
      <c r="AC407" s="314"/>
      <c r="AD407" s="316"/>
      <c r="AE407" s="315"/>
      <c r="AF407" s="315"/>
      <c r="AG407" s="315"/>
      <c r="AH407" s="315"/>
      <c r="AI407" s="377"/>
      <c r="AJ407" s="407"/>
      <c r="AK407" s="377"/>
      <c r="AL407" s="314"/>
      <c r="AM407" s="314"/>
      <c r="AN407" s="314"/>
      <c r="AO407" s="315"/>
      <c r="AP407" s="257"/>
      <c r="AQ407" s="257"/>
      <c r="AR407" s="257"/>
      <c r="AS407" s="315"/>
      <c r="AT407" s="257"/>
      <c r="AU407" s="257"/>
      <c r="AV407" s="316"/>
      <c r="AW407" s="314"/>
      <c r="AX407" s="315"/>
      <c r="AY407" s="315"/>
      <c r="AZ407" s="315"/>
      <c r="BA407" s="315"/>
      <c r="BB407" s="315"/>
      <c r="BC407" s="315"/>
      <c r="BD407" s="319"/>
      <c r="BE407" s="319"/>
      <c r="BF407" s="319"/>
      <c r="BG407" s="319"/>
      <c r="BH407" s="319"/>
      <c r="BI407" s="319"/>
      <c r="BJ407" s="319"/>
      <c r="BK407" s="315"/>
      <c r="BL407" s="316"/>
      <c r="BM407" s="314"/>
      <c r="BN407" s="319"/>
      <c r="BO407" s="315"/>
      <c r="BP407" s="314"/>
      <c r="BQ407" s="316"/>
      <c r="BR407" s="314"/>
      <c r="BS407" s="262"/>
      <c r="BT407" s="262"/>
    </row>
    <row r="408" spans="1:72" ht="45.75" customHeight="1">
      <c r="A408" s="342"/>
      <c r="B408" s="342"/>
      <c r="C408" s="342"/>
      <c r="D408" s="343"/>
      <c r="E408" s="342"/>
      <c r="F408" s="342"/>
      <c r="G408" s="344"/>
      <c r="H408" s="344"/>
      <c r="I408" s="344"/>
      <c r="J408" s="334"/>
      <c r="K408" s="335"/>
      <c r="L408" s="336"/>
      <c r="M408" s="336"/>
      <c r="N408" s="337"/>
      <c r="O408" s="337"/>
      <c r="P408" s="315"/>
      <c r="Q408" s="314"/>
      <c r="R408" s="317"/>
      <c r="S408" s="315"/>
      <c r="T408" s="315"/>
      <c r="U408" s="315"/>
      <c r="V408" s="258"/>
      <c r="W408" s="322"/>
      <c r="X408" s="318"/>
      <c r="Y408" s="315"/>
      <c r="Z408" s="318"/>
      <c r="AA408" s="314"/>
      <c r="AB408" s="336"/>
      <c r="AC408" s="314"/>
      <c r="AD408" s="316"/>
      <c r="AE408" s="315"/>
      <c r="AF408" s="315"/>
      <c r="AG408" s="315"/>
      <c r="AH408" s="315"/>
      <c r="AI408" s="377"/>
      <c r="AJ408" s="407"/>
      <c r="AK408" s="377"/>
      <c r="AL408" s="314"/>
      <c r="AM408" s="314"/>
      <c r="AN408" s="314"/>
      <c r="AO408" s="315"/>
      <c r="AP408" s="257"/>
      <c r="AQ408" s="257"/>
      <c r="AR408" s="257"/>
      <c r="AS408" s="315"/>
      <c r="AT408" s="257"/>
      <c r="AU408" s="257"/>
      <c r="AV408" s="316"/>
      <c r="AW408" s="314"/>
      <c r="AX408" s="315"/>
      <c r="AY408" s="315"/>
      <c r="AZ408" s="315"/>
      <c r="BA408" s="315"/>
      <c r="BB408" s="315"/>
      <c r="BC408" s="315"/>
      <c r="BD408" s="319"/>
      <c r="BE408" s="319"/>
      <c r="BF408" s="319"/>
      <c r="BG408" s="319"/>
      <c r="BH408" s="319"/>
      <c r="BI408" s="319"/>
      <c r="BJ408" s="319"/>
      <c r="BK408" s="315"/>
      <c r="BL408" s="316"/>
      <c r="BM408" s="314"/>
      <c r="BN408" s="319"/>
      <c r="BO408" s="315"/>
      <c r="BP408" s="314"/>
      <c r="BQ408" s="316"/>
      <c r="BR408" s="314"/>
      <c r="BS408" s="262"/>
      <c r="BT408" s="262"/>
    </row>
    <row r="409" spans="1:72" ht="45.75" customHeight="1">
      <c r="A409" s="342"/>
      <c r="B409" s="342"/>
      <c r="C409" s="342"/>
      <c r="D409" s="343"/>
      <c r="E409" s="342"/>
      <c r="F409" s="342"/>
      <c r="G409" s="344"/>
      <c r="H409" s="344"/>
      <c r="I409" s="344"/>
      <c r="J409" s="334"/>
      <c r="K409" s="335"/>
      <c r="L409" s="336"/>
      <c r="M409" s="336"/>
      <c r="N409" s="337"/>
      <c r="O409" s="337"/>
      <c r="P409" s="315"/>
      <c r="Q409" s="314"/>
      <c r="R409" s="317"/>
      <c r="S409" s="315"/>
      <c r="T409" s="315"/>
      <c r="U409" s="315"/>
      <c r="V409" s="258"/>
      <c r="W409" s="322"/>
      <c r="X409" s="318"/>
      <c r="Y409" s="315"/>
      <c r="Z409" s="318"/>
      <c r="AA409" s="314"/>
      <c r="AB409" s="336"/>
      <c r="AC409" s="314"/>
      <c r="AD409" s="316"/>
      <c r="AE409" s="315"/>
      <c r="AF409" s="315"/>
      <c r="AG409" s="315"/>
      <c r="AH409" s="315"/>
      <c r="AI409" s="377"/>
      <c r="AJ409" s="407"/>
      <c r="AK409" s="377"/>
      <c r="AL409" s="314"/>
      <c r="AM409" s="314"/>
      <c r="AN409" s="314"/>
      <c r="AO409" s="315"/>
      <c r="AP409" s="257"/>
      <c r="AQ409" s="257"/>
      <c r="AR409" s="257"/>
      <c r="AS409" s="315"/>
      <c r="AT409" s="257"/>
      <c r="AU409" s="257"/>
      <c r="AV409" s="316"/>
      <c r="AW409" s="314"/>
      <c r="AX409" s="315"/>
      <c r="AY409" s="315"/>
      <c r="AZ409" s="315"/>
      <c r="BA409" s="315"/>
      <c r="BB409" s="315"/>
      <c r="BC409" s="315"/>
      <c r="BD409" s="319"/>
      <c r="BE409" s="319"/>
      <c r="BF409" s="319"/>
      <c r="BG409" s="319"/>
      <c r="BH409" s="319"/>
      <c r="BI409" s="319"/>
      <c r="BJ409" s="319"/>
      <c r="BK409" s="315"/>
      <c r="BL409" s="316"/>
      <c r="BM409" s="314"/>
      <c r="BN409" s="319"/>
      <c r="BO409" s="315"/>
      <c r="BP409" s="314"/>
      <c r="BQ409" s="316"/>
      <c r="BR409" s="314"/>
      <c r="BS409" s="262"/>
      <c r="BT409" s="262"/>
    </row>
    <row r="410" spans="1:72" ht="45.75" customHeight="1">
      <c r="A410" s="342"/>
      <c r="B410" s="342"/>
      <c r="C410" s="342"/>
      <c r="D410" s="343"/>
      <c r="E410" s="342"/>
      <c r="F410" s="342"/>
      <c r="G410" s="344"/>
      <c r="H410" s="344"/>
      <c r="I410" s="344"/>
      <c r="J410" s="334"/>
      <c r="K410" s="335"/>
      <c r="L410" s="336"/>
      <c r="M410" s="336"/>
      <c r="N410" s="337"/>
      <c r="O410" s="337"/>
      <c r="P410" s="315"/>
      <c r="Q410" s="314"/>
      <c r="R410" s="317"/>
      <c r="S410" s="315"/>
      <c r="T410" s="315"/>
      <c r="U410" s="315"/>
      <c r="V410" s="258"/>
      <c r="W410" s="322"/>
      <c r="X410" s="318"/>
      <c r="Y410" s="315"/>
      <c r="Z410" s="318"/>
      <c r="AA410" s="314"/>
      <c r="AB410" s="336"/>
      <c r="AC410" s="314"/>
      <c r="AD410" s="316"/>
      <c r="AE410" s="315"/>
      <c r="AF410" s="315"/>
      <c r="AG410" s="315"/>
      <c r="AH410" s="315"/>
      <c r="AI410" s="377"/>
      <c r="AJ410" s="407"/>
      <c r="AK410" s="377"/>
      <c r="AL410" s="314"/>
      <c r="AM410" s="314"/>
      <c r="AN410" s="314"/>
      <c r="AO410" s="315"/>
      <c r="AP410" s="257"/>
      <c r="AQ410" s="257"/>
      <c r="AR410" s="257"/>
      <c r="AS410" s="315"/>
      <c r="AT410" s="257"/>
      <c r="AU410" s="257"/>
      <c r="AV410" s="316"/>
      <c r="AW410" s="314"/>
      <c r="AX410" s="315"/>
      <c r="AY410" s="315"/>
      <c r="AZ410" s="315"/>
      <c r="BA410" s="315"/>
      <c r="BB410" s="315"/>
      <c r="BC410" s="315"/>
      <c r="BD410" s="319"/>
      <c r="BE410" s="319"/>
      <c r="BF410" s="319"/>
      <c r="BG410" s="319"/>
      <c r="BH410" s="319"/>
      <c r="BI410" s="319"/>
      <c r="BJ410" s="319"/>
      <c r="BK410" s="315"/>
      <c r="BL410" s="316"/>
      <c r="BM410" s="314"/>
      <c r="BN410" s="319"/>
      <c r="BO410" s="315"/>
      <c r="BP410" s="314"/>
      <c r="BQ410" s="316"/>
      <c r="BR410" s="314"/>
      <c r="BS410" s="262"/>
      <c r="BT410" s="262"/>
    </row>
    <row r="411" spans="1:72" ht="45.75" customHeight="1">
      <c r="A411" s="342"/>
      <c r="B411" s="342"/>
      <c r="C411" s="342"/>
      <c r="D411" s="343"/>
      <c r="E411" s="342"/>
      <c r="F411" s="342"/>
      <c r="G411" s="344"/>
      <c r="H411" s="344"/>
      <c r="I411" s="344"/>
      <c r="J411" s="334"/>
      <c r="K411" s="335"/>
      <c r="L411" s="336"/>
      <c r="M411" s="336"/>
      <c r="N411" s="337"/>
      <c r="O411" s="337"/>
      <c r="P411" s="315"/>
      <c r="Q411" s="314"/>
      <c r="R411" s="317"/>
      <c r="S411" s="315"/>
      <c r="T411" s="315"/>
      <c r="U411" s="315"/>
      <c r="V411" s="258"/>
      <c r="W411" s="322"/>
      <c r="X411" s="318"/>
      <c r="Y411" s="315"/>
      <c r="Z411" s="318"/>
      <c r="AA411" s="314"/>
      <c r="AB411" s="336"/>
      <c r="AC411" s="314"/>
      <c r="AD411" s="316"/>
      <c r="AE411" s="315"/>
      <c r="AF411" s="315"/>
      <c r="AG411" s="315"/>
      <c r="AH411" s="315"/>
      <c r="AI411" s="377"/>
      <c r="AJ411" s="407"/>
      <c r="AK411" s="377"/>
      <c r="AL411" s="314"/>
      <c r="AM411" s="314"/>
      <c r="AN411" s="314"/>
      <c r="AO411" s="315"/>
      <c r="AP411" s="257"/>
      <c r="AQ411" s="257"/>
      <c r="AR411" s="257"/>
      <c r="AS411" s="315"/>
      <c r="AT411" s="257"/>
      <c r="AU411" s="257"/>
      <c r="AV411" s="316"/>
      <c r="AW411" s="314"/>
      <c r="AX411" s="315"/>
      <c r="AY411" s="315"/>
      <c r="AZ411" s="315"/>
      <c r="BA411" s="315"/>
      <c r="BB411" s="315"/>
      <c r="BC411" s="315"/>
      <c r="BD411" s="319"/>
      <c r="BE411" s="319"/>
      <c r="BF411" s="319"/>
      <c r="BG411" s="319"/>
      <c r="BH411" s="319"/>
      <c r="BI411" s="319"/>
      <c r="BJ411" s="319"/>
      <c r="BK411" s="315"/>
      <c r="BL411" s="316"/>
      <c r="BM411" s="314"/>
      <c r="BN411" s="319"/>
      <c r="BO411" s="315"/>
      <c r="BP411" s="314"/>
      <c r="BQ411" s="316"/>
      <c r="BR411" s="314"/>
      <c r="BS411" s="262"/>
      <c r="BT411" s="262"/>
    </row>
    <row r="412" spans="1:72" ht="45.75" customHeight="1">
      <c r="A412" s="342"/>
      <c r="B412" s="342"/>
      <c r="C412" s="342"/>
      <c r="D412" s="343"/>
      <c r="E412" s="342"/>
      <c r="F412" s="342"/>
      <c r="G412" s="344"/>
      <c r="H412" s="344"/>
      <c r="I412" s="344"/>
      <c r="J412" s="334"/>
      <c r="K412" s="335"/>
      <c r="L412" s="336"/>
      <c r="M412" s="336"/>
      <c r="N412" s="337"/>
      <c r="O412" s="337"/>
      <c r="P412" s="315"/>
      <c r="Q412" s="314"/>
      <c r="R412" s="317"/>
      <c r="S412" s="315"/>
      <c r="T412" s="315"/>
      <c r="U412" s="315"/>
      <c r="V412" s="258"/>
      <c r="W412" s="322"/>
      <c r="X412" s="318"/>
      <c r="Y412" s="315"/>
      <c r="Z412" s="318"/>
      <c r="AA412" s="314"/>
      <c r="AB412" s="336"/>
      <c r="AC412" s="314"/>
      <c r="AD412" s="316"/>
      <c r="AE412" s="315"/>
      <c r="AF412" s="315"/>
      <c r="AG412" s="315"/>
      <c r="AH412" s="315"/>
      <c r="AI412" s="377"/>
      <c r="AJ412" s="407"/>
      <c r="AK412" s="377"/>
      <c r="AL412" s="314"/>
      <c r="AM412" s="314"/>
      <c r="AN412" s="314"/>
      <c r="AO412" s="315"/>
      <c r="AP412" s="257"/>
      <c r="AQ412" s="257"/>
      <c r="AR412" s="257"/>
      <c r="AS412" s="315"/>
      <c r="AT412" s="257"/>
      <c r="AU412" s="257"/>
      <c r="AV412" s="316"/>
      <c r="AW412" s="314"/>
      <c r="AX412" s="315"/>
      <c r="AY412" s="315"/>
      <c r="AZ412" s="315"/>
      <c r="BA412" s="315"/>
      <c r="BB412" s="315"/>
      <c r="BC412" s="315"/>
      <c r="BD412" s="319"/>
      <c r="BE412" s="319"/>
      <c r="BF412" s="319"/>
      <c r="BG412" s="319"/>
      <c r="BH412" s="319"/>
      <c r="BI412" s="319"/>
      <c r="BJ412" s="319"/>
      <c r="BK412" s="315"/>
      <c r="BL412" s="316"/>
      <c r="BM412" s="314"/>
      <c r="BN412" s="319"/>
      <c r="BO412" s="315"/>
      <c r="BP412" s="314"/>
      <c r="BQ412" s="316"/>
      <c r="BR412" s="314"/>
      <c r="BS412" s="262"/>
      <c r="BT412" s="262"/>
    </row>
    <row r="413" spans="1:72" ht="45.75" customHeight="1">
      <c r="A413" s="342"/>
      <c r="B413" s="342"/>
      <c r="C413" s="342"/>
      <c r="D413" s="343"/>
      <c r="E413" s="342"/>
      <c r="F413" s="342"/>
      <c r="G413" s="344"/>
      <c r="H413" s="344"/>
      <c r="I413" s="344"/>
      <c r="J413" s="334"/>
      <c r="K413" s="335"/>
      <c r="L413" s="336"/>
      <c r="M413" s="336"/>
      <c r="N413" s="337"/>
      <c r="O413" s="337"/>
      <c r="P413" s="315"/>
      <c r="Q413" s="314"/>
      <c r="R413" s="317"/>
      <c r="S413" s="315"/>
      <c r="T413" s="315"/>
      <c r="U413" s="315"/>
      <c r="V413" s="258"/>
      <c r="W413" s="322"/>
      <c r="X413" s="318"/>
      <c r="Y413" s="315"/>
      <c r="Z413" s="318"/>
      <c r="AA413" s="314"/>
      <c r="AB413" s="336"/>
      <c r="AC413" s="314"/>
      <c r="AD413" s="316"/>
      <c r="AE413" s="315"/>
      <c r="AF413" s="315"/>
      <c r="AG413" s="315"/>
      <c r="AH413" s="315"/>
      <c r="AI413" s="377"/>
      <c r="AJ413" s="407"/>
      <c r="AK413" s="377"/>
      <c r="AL413" s="314"/>
      <c r="AM413" s="314"/>
      <c r="AN413" s="314"/>
      <c r="AO413" s="315"/>
      <c r="AP413" s="257"/>
      <c r="AQ413" s="257"/>
      <c r="AR413" s="257"/>
      <c r="AS413" s="315"/>
      <c r="AT413" s="257"/>
      <c r="AU413" s="257"/>
      <c r="AV413" s="316"/>
      <c r="AW413" s="314"/>
      <c r="AX413" s="315"/>
      <c r="AY413" s="315"/>
      <c r="AZ413" s="315"/>
      <c r="BA413" s="315"/>
      <c r="BB413" s="315"/>
      <c r="BC413" s="315"/>
      <c r="BD413" s="319"/>
      <c r="BE413" s="319"/>
      <c r="BF413" s="319"/>
      <c r="BG413" s="319"/>
      <c r="BH413" s="319"/>
      <c r="BI413" s="319"/>
      <c r="BJ413" s="319"/>
      <c r="BK413" s="315"/>
      <c r="BL413" s="316"/>
      <c r="BM413" s="314"/>
      <c r="BN413" s="319"/>
      <c r="BO413" s="315"/>
      <c r="BP413" s="314"/>
      <c r="BQ413" s="316"/>
      <c r="BR413" s="314"/>
      <c r="BS413" s="262"/>
      <c r="BT413" s="262"/>
    </row>
    <row r="414" spans="1:72" ht="45.75" customHeight="1">
      <c r="A414" s="342"/>
      <c r="B414" s="342"/>
      <c r="C414" s="342"/>
      <c r="D414" s="343"/>
      <c r="E414" s="342"/>
      <c r="F414" s="342"/>
      <c r="G414" s="344"/>
      <c r="H414" s="344"/>
      <c r="I414" s="344"/>
      <c r="J414" s="334"/>
      <c r="K414" s="335"/>
      <c r="L414" s="336"/>
      <c r="M414" s="336"/>
      <c r="N414" s="337"/>
      <c r="O414" s="337"/>
      <c r="P414" s="315"/>
      <c r="Q414" s="314"/>
      <c r="R414" s="317"/>
      <c r="S414" s="315"/>
      <c r="T414" s="315"/>
      <c r="U414" s="315"/>
      <c r="V414" s="258"/>
      <c r="W414" s="322"/>
      <c r="X414" s="318"/>
      <c r="Y414" s="315"/>
      <c r="Z414" s="318"/>
      <c r="AA414" s="314"/>
      <c r="AB414" s="336"/>
      <c r="AC414" s="314"/>
      <c r="AD414" s="316"/>
      <c r="AE414" s="315"/>
      <c r="AF414" s="315"/>
      <c r="AG414" s="315"/>
      <c r="AH414" s="315"/>
      <c r="AI414" s="377"/>
      <c r="AJ414" s="407"/>
      <c r="AK414" s="377"/>
      <c r="AL414" s="314"/>
      <c r="AM414" s="314"/>
      <c r="AN414" s="314"/>
      <c r="AO414" s="315"/>
      <c r="AP414" s="257"/>
      <c r="AQ414" s="257"/>
      <c r="AR414" s="257"/>
      <c r="AS414" s="315"/>
      <c r="AT414" s="257"/>
      <c r="AU414" s="257"/>
      <c r="AV414" s="316"/>
      <c r="AW414" s="314"/>
      <c r="AX414" s="315"/>
      <c r="AY414" s="315"/>
      <c r="AZ414" s="315"/>
      <c r="BA414" s="315"/>
      <c r="BB414" s="315"/>
      <c r="BC414" s="315"/>
      <c r="BD414" s="319"/>
      <c r="BE414" s="319"/>
      <c r="BF414" s="319"/>
      <c r="BG414" s="319"/>
      <c r="BH414" s="319"/>
      <c r="BI414" s="319"/>
      <c r="BJ414" s="319"/>
      <c r="BK414" s="315"/>
      <c r="BL414" s="316"/>
      <c r="BM414" s="314"/>
      <c r="BN414" s="319"/>
      <c r="BO414" s="315"/>
      <c r="BP414" s="314"/>
      <c r="BQ414" s="316"/>
      <c r="BR414" s="314"/>
      <c r="BS414" s="262"/>
      <c r="BT414" s="262"/>
    </row>
    <row r="415" spans="1:72" ht="45.75" customHeight="1">
      <c r="A415" s="342"/>
      <c r="B415" s="342"/>
      <c r="C415" s="342"/>
      <c r="D415" s="343"/>
      <c r="E415" s="342"/>
      <c r="F415" s="342"/>
      <c r="G415" s="344"/>
      <c r="H415" s="344"/>
      <c r="I415" s="344"/>
      <c r="J415" s="334"/>
      <c r="K415" s="335"/>
      <c r="L415" s="336"/>
      <c r="M415" s="336"/>
      <c r="N415" s="337"/>
      <c r="O415" s="337"/>
      <c r="P415" s="315"/>
      <c r="Q415" s="314"/>
      <c r="R415" s="317"/>
      <c r="S415" s="315"/>
      <c r="T415" s="315"/>
      <c r="U415" s="315"/>
      <c r="V415" s="258"/>
      <c r="W415" s="322"/>
      <c r="X415" s="318"/>
      <c r="Y415" s="315"/>
      <c r="Z415" s="318"/>
      <c r="AA415" s="314"/>
      <c r="AB415" s="336"/>
      <c r="AC415" s="314"/>
      <c r="AD415" s="316"/>
      <c r="AE415" s="315"/>
      <c r="AF415" s="315"/>
      <c r="AG415" s="315"/>
      <c r="AH415" s="315"/>
      <c r="AI415" s="377"/>
      <c r="AJ415" s="407"/>
      <c r="AK415" s="377"/>
      <c r="AL415" s="314"/>
      <c r="AM415" s="314"/>
      <c r="AN415" s="314"/>
      <c r="AO415" s="315"/>
      <c r="AP415" s="257"/>
      <c r="AQ415" s="257"/>
      <c r="AR415" s="257"/>
      <c r="AS415" s="315"/>
      <c r="AT415" s="257"/>
      <c r="AU415" s="257"/>
      <c r="AV415" s="316"/>
      <c r="AW415" s="314"/>
      <c r="AX415" s="315"/>
      <c r="AY415" s="315"/>
      <c r="AZ415" s="315"/>
      <c r="BA415" s="315"/>
      <c r="BB415" s="315"/>
      <c r="BC415" s="315"/>
      <c r="BD415" s="319"/>
      <c r="BE415" s="319"/>
      <c r="BF415" s="319"/>
      <c r="BG415" s="319"/>
      <c r="BH415" s="319"/>
      <c r="BI415" s="319"/>
      <c r="BJ415" s="319"/>
      <c r="BK415" s="315"/>
      <c r="BL415" s="316"/>
      <c r="BM415" s="314"/>
      <c r="BN415" s="319"/>
      <c r="BO415" s="315"/>
      <c r="BP415" s="314"/>
      <c r="BQ415" s="316"/>
      <c r="BR415" s="314"/>
      <c r="BS415" s="262"/>
      <c r="BT415" s="262"/>
    </row>
    <row r="416" spans="1:72" ht="45.75" customHeight="1">
      <c r="A416" s="342"/>
      <c r="B416" s="342"/>
      <c r="C416" s="342"/>
      <c r="D416" s="343"/>
      <c r="E416" s="342"/>
      <c r="F416" s="342"/>
      <c r="G416" s="344"/>
      <c r="H416" s="344"/>
      <c r="I416" s="344"/>
      <c r="J416" s="334"/>
      <c r="K416" s="335"/>
      <c r="L416" s="336"/>
      <c r="M416" s="336"/>
      <c r="N416" s="337"/>
      <c r="O416" s="337"/>
      <c r="P416" s="315"/>
      <c r="Q416" s="314"/>
      <c r="R416" s="317"/>
      <c r="S416" s="315"/>
      <c r="T416" s="315"/>
      <c r="U416" s="315"/>
      <c r="V416" s="258"/>
      <c r="W416" s="322"/>
      <c r="X416" s="318"/>
      <c r="Y416" s="315"/>
      <c r="Z416" s="318"/>
      <c r="AA416" s="314"/>
      <c r="AB416" s="336"/>
      <c r="AC416" s="314"/>
      <c r="AD416" s="316"/>
      <c r="AE416" s="315"/>
      <c r="AF416" s="315"/>
      <c r="AG416" s="315"/>
      <c r="AH416" s="315"/>
      <c r="AI416" s="377"/>
      <c r="AJ416" s="407"/>
      <c r="AK416" s="377"/>
      <c r="AL416" s="314"/>
      <c r="AM416" s="314"/>
      <c r="AN416" s="314"/>
      <c r="AO416" s="315"/>
      <c r="AP416" s="257"/>
      <c r="AQ416" s="257"/>
      <c r="AR416" s="257"/>
      <c r="AS416" s="315"/>
      <c r="AT416" s="257"/>
      <c r="AU416" s="257"/>
      <c r="AV416" s="316"/>
      <c r="AW416" s="314"/>
      <c r="AX416" s="315"/>
      <c r="AY416" s="315"/>
      <c r="AZ416" s="315"/>
      <c r="BA416" s="315"/>
      <c r="BB416" s="315"/>
      <c r="BC416" s="315"/>
      <c r="BD416" s="319"/>
      <c r="BE416" s="319"/>
      <c r="BF416" s="319"/>
      <c r="BG416" s="319"/>
      <c r="BH416" s="319"/>
      <c r="BI416" s="319"/>
      <c r="BJ416" s="319"/>
      <c r="BK416" s="315"/>
      <c r="BL416" s="316"/>
      <c r="BM416" s="314"/>
      <c r="BN416" s="319"/>
      <c r="BO416" s="315"/>
      <c r="BP416" s="314"/>
      <c r="BQ416" s="316"/>
      <c r="BR416" s="314"/>
      <c r="BS416" s="262"/>
      <c r="BT416" s="262"/>
    </row>
    <row r="417" spans="1:72" ht="45.75" customHeight="1">
      <c r="A417" s="342"/>
      <c r="B417" s="342"/>
      <c r="C417" s="342"/>
      <c r="D417" s="343"/>
      <c r="E417" s="342"/>
      <c r="F417" s="342"/>
      <c r="G417" s="344"/>
      <c r="H417" s="344"/>
      <c r="I417" s="344"/>
      <c r="J417" s="334"/>
      <c r="K417" s="335"/>
      <c r="L417" s="336"/>
      <c r="M417" s="336"/>
      <c r="N417" s="337"/>
      <c r="O417" s="337"/>
      <c r="P417" s="315"/>
      <c r="Q417" s="314"/>
      <c r="R417" s="317"/>
      <c r="S417" s="315"/>
      <c r="T417" s="315"/>
      <c r="U417" s="315"/>
      <c r="V417" s="258"/>
      <c r="W417" s="322"/>
      <c r="X417" s="318"/>
      <c r="Y417" s="315"/>
      <c r="Z417" s="318"/>
      <c r="AA417" s="314"/>
      <c r="AB417" s="336"/>
      <c r="AC417" s="314"/>
      <c r="AD417" s="316"/>
      <c r="AE417" s="315"/>
      <c r="AF417" s="315"/>
      <c r="AG417" s="315"/>
      <c r="AH417" s="315"/>
      <c r="AI417" s="377"/>
      <c r="AJ417" s="407"/>
      <c r="AK417" s="377"/>
      <c r="AL417" s="314"/>
      <c r="AM417" s="314"/>
      <c r="AN417" s="314"/>
      <c r="AO417" s="315"/>
      <c r="AP417" s="257"/>
      <c r="AQ417" s="257"/>
      <c r="AR417" s="257"/>
      <c r="AS417" s="315"/>
      <c r="AT417" s="257"/>
      <c r="AU417" s="257"/>
      <c r="AV417" s="316"/>
      <c r="AW417" s="314"/>
      <c r="AX417" s="315"/>
      <c r="AY417" s="315"/>
      <c r="AZ417" s="315"/>
      <c r="BA417" s="315"/>
      <c r="BB417" s="315"/>
      <c r="BC417" s="315"/>
      <c r="BD417" s="319"/>
      <c r="BE417" s="319"/>
      <c r="BF417" s="319"/>
      <c r="BG417" s="319"/>
      <c r="BH417" s="319"/>
      <c r="BI417" s="319"/>
      <c r="BJ417" s="319"/>
      <c r="BK417" s="315"/>
      <c r="BL417" s="316"/>
      <c r="BM417" s="314"/>
      <c r="BN417" s="319"/>
      <c r="BO417" s="315"/>
      <c r="BP417" s="314"/>
      <c r="BQ417" s="316"/>
      <c r="BR417" s="314"/>
      <c r="BS417" s="262"/>
      <c r="BT417" s="262"/>
    </row>
    <row r="418" spans="1:72" ht="45.75" customHeight="1">
      <c r="A418" s="342"/>
      <c r="B418" s="342"/>
      <c r="C418" s="342"/>
      <c r="D418" s="343"/>
      <c r="E418" s="342"/>
      <c r="F418" s="342"/>
      <c r="G418" s="344"/>
      <c r="H418" s="344"/>
      <c r="I418" s="344"/>
      <c r="J418" s="334"/>
      <c r="K418" s="335"/>
      <c r="L418" s="336"/>
      <c r="M418" s="336"/>
      <c r="N418" s="337"/>
      <c r="O418" s="337"/>
      <c r="P418" s="315"/>
      <c r="Q418" s="314"/>
      <c r="R418" s="317"/>
      <c r="S418" s="315"/>
      <c r="T418" s="315"/>
      <c r="U418" s="315"/>
      <c r="V418" s="258"/>
      <c r="W418" s="322"/>
      <c r="X418" s="318"/>
      <c r="Y418" s="315"/>
      <c r="Z418" s="318"/>
      <c r="AA418" s="314"/>
      <c r="AB418" s="336"/>
      <c r="AC418" s="314"/>
      <c r="AD418" s="316"/>
      <c r="AE418" s="315"/>
      <c r="AF418" s="315"/>
      <c r="AG418" s="315"/>
      <c r="AH418" s="315"/>
      <c r="AI418" s="377"/>
      <c r="AJ418" s="407"/>
      <c r="AK418" s="377"/>
      <c r="AL418" s="314"/>
      <c r="AM418" s="314"/>
      <c r="AN418" s="314"/>
      <c r="AO418" s="315"/>
      <c r="AP418" s="257"/>
      <c r="AQ418" s="257"/>
      <c r="AR418" s="257"/>
      <c r="AS418" s="315"/>
      <c r="AT418" s="257"/>
      <c r="AU418" s="257"/>
      <c r="AV418" s="316"/>
      <c r="AW418" s="314"/>
      <c r="AX418" s="315"/>
      <c r="AY418" s="315"/>
      <c r="AZ418" s="315"/>
      <c r="BA418" s="315"/>
      <c r="BB418" s="315"/>
      <c r="BC418" s="315"/>
      <c r="BD418" s="319"/>
      <c r="BE418" s="319"/>
      <c r="BF418" s="319"/>
      <c r="BG418" s="319"/>
      <c r="BH418" s="319"/>
      <c r="BI418" s="319"/>
      <c r="BJ418" s="319"/>
      <c r="BK418" s="315"/>
      <c r="BL418" s="316"/>
      <c r="BM418" s="314"/>
      <c r="BN418" s="319"/>
      <c r="BO418" s="315"/>
      <c r="BP418" s="314"/>
      <c r="BQ418" s="316"/>
      <c r="BR418" s="314"/>
      <c r="BS418" s="262"/>
      <c r="BT418" s="262"/>
    </row>
    <row r="419" spans="1:72" ht="45.75" customHeight="1">
      <c r="A419" s="342"/>
      <c r="B419" s="342"/>
      <c r="C419" s="342"/>
      <c r="D419" s="343"/>
      <c r="E419" s="342"/>
      <c r="F419" s="342"/>
      <c r="G419" s="344"/>
      <c r="H419" s="344"/>
      <c r="I419" s="344"/>
      <c r="J419" s="334"/>
      <c r="K419" s="335"/>
      <c r="L419" s="336"/>
      <c r="M419" s="336"/>
      <c r="N419" s="337"/>
      <c r="O419" s="337"/>
      <c r="P419" s="315"/>
      <c r="Q419" s="314"/>
      <c r="R419" s="317"/>
      <c r="S419" s="315"/>
      <c r="T419" s="315"/>
      <c r="U419" s="315"/>
      <c r="V419" s="258"/>
      <c r="W419" s="322"/>
      <c r="X419" s="318"/>
      <c r="Y419" s="315"/>
      <c r="Z419" s="318"/>
      <c r="AA419" s="314"/>
      <c r="AB419" s="336"/>
      <c r="AC419" s="314"/>
      <c r="AD419" s="316"/>
      <c r="AE419" s="315"/>
      <c r="AF419" s="315"/>
      <c r="AG419" s="315"/>
      <c r="AH419" s="315"/>
      <c r="AI419" s="377"/>
      <c r="AJ419" s="407"/>
      <c r="AK419" s="377"/>
      <c r="AL419" s="314"/>
      <c r="AM419" s="314"/>
      <c r="AN419" s="314"/>
      <c r="AO419" s="315"/>
      <c r="AP419" s="257"/>
      <c r="AQ419" s="257"/>
      <c r="AR419" s="257"/>
      <c r="AS419" s="315"/>
      <c r="AT419" s="257"/>
      <c r="AU419" s="257"/>
      <c r="AV419" s="316"/>
      <c r="AW419" s="314"/>
      <c r="AX419" s="315"/>
      <c r="AY419" s="315"/>
      <c r="AZ419" s="315"/>
      <c r="BA419" s="315"/>
      <c r="BB419" s="315"/>
      <c r="BC419" s="315"/>
      <c r="BD419" s="319"/>
      <c r="BE419" s="319"/>
      <c r="BF419" s="319"/>
      <c r="BG419" s="319"/>
      <c r="BH419" s="319"/>
      <c r="BI419" s="319"/>
      <c r="BJ419" s="319"/>
      <c r="BK419" s="315"/>
      <c r="BL419" s="316"/>
      <c r="BM419" s="314"/>
      <c r="BN419" s="319"/>
      <c r="BO419" s="315"/>
      <c r="BP419" s="314"/>
      <c r="BQ419" s="316"/>
      <c r="BR419" s="314"/>
      <c r="BS419" s="262"/>
      <c r="BT419" s="262"/>
    </row>
    <row r="420" spans="1:72" ht="45.75" customHeight="1">
      <c r="A420" s="342"/>
      <c r="B420" s="342"/>
      <c r="C420" s="342"/>
      <c r="D420" s="343"/>
      <c r="E420" s="342"/>
      <c r="F420" s="342"/>
      <c r="G420" s="344"/>
      <c r="H420" s="344"/>
      <c r="I420" s="344"/>
      <c r="J420" s="334"/>
      <c r="K420" s="335"/>
      <c r="L420" s="336"/>
      <c r="M420" s="336"/>
      <c r="N420" s="337"/>
      <c r="O420" s="337"/>
      <c r="P420" s="315"/>
      <c r="Q420" s="314"/>
      <c r="R420" s="317"/>
      <c r="S420" s="315"/>
      <c r="T420" s="315"/>
      <c r="U420" s="315"/>
      <c r="V420" s="258"/>
      <c r="W420" s="322"/>
      <c r="X420" s="318"/>
      <c r="Y420" s="315"/>
      <c r="Z420" s="318"/>
      <c r="AA420" s="314"/>
      <c r="AB420" s="336"/>
      <c r="AC420" s="314"/>
      <c r="AD420" s="316"/>
      <c r="AE420" s="315"/>
      <c r="AF420" s="315"/>
      <c r="AG420" s="315"/>
      <c r="AH420" s="315"/>
      <c r="AI420" s="377"/>
      <c r="AJ420" s="407"/>
      <c r="AK420" s="377"/>
      <c r="AL420" s="314"/>
      <c r="AM420" s="314"/>
      <c r="AN420" s="314"/>
      <c r="AO420" s="315"/>
      <c r="AP420" s="257"/>
      <c r="AQ420" s="257"/>
      <c r="AR420" s="257"/>
      <c r="AS420" s="315"/>
      <c r="AT420" s="257"/>
      <c r="AU420" s="257"/>
      <c r="AV420" s="316"/>
      <c r="AW420" s="314"/>
      <c r="AX420" s="315"/>
      <c r="AY420" s="315"/>
      <c r="AZ420" s="315"/>
      <c r="BA420" s="315"/>
      <c r="BB420" s="315"/>
      <c r="BC420" s="315"/>
      <c r="BD420" s="319"/>
      <c r="BE420" s="319"/>
      <c r="BF420" s="319"/>
      <c r="BG420" s="319"/>
      <c r="BH420" s="319"/>
      <c r="BI420" s="319"/>
      <c r="BJ420" s="319"/>
      <c r="BK420" s="315"/>
      <c r="BL420" s="316"/>
      <c r="BM420" s="314"/>
      <c r="BN420" s="319"/>
      <c r="BO420" s="315"/>
      <c r="BP420" s="314"/>
      <c r="BQ420" s="316"/>
      <c r="BR420" s="314"/>
      <c r="BS420" s="262"/>
      <c r="BT420" s="262"/>
    </row>
    <row r="421" spans="1:72" ht="45.75" customHeight="1">
      <c r="A421" s="342"/>
      <c r="B421" s="342"/>
      <c r="C421" s="342"/>
      <c r="D421" s="343"/>
      <c r="E421" s="342"/>
      <c r="F421" s="342"/>
      <c r="G421" s="344"/>
      <c r="H421" s="344"/>
      <c r="I421" s="344"/>
      <c r="J421" s="334"/>
      <c r="K421" s="335"/>
      <c r="L421" s="336"/>
      <c r="M421" s="336"/>
      <c r="N421" s="337"/>
      <c r="O421" s="337"/>
      <c r="P421" s="315"/>
      <c r="Q421" s="314"/>
      <c r="R421" s="317"/>
      <c r="S421" s="315"/>
      <c r="T421" s="315"/>
      <c r="U421" s="315"/>
      <c r="V421" s="258"/>
      <c r="W421" s="322"/>
      <c r="X421" s="318"/>
      <c r="Y421" s="315"/>
      <c r="Z421" s="318"/>
      <c r="AA421" s="314"/>
      <c r="AB421" s="336"/>
      <c r="AC421" s="314"/>
      <c r="AD421" s="316"/>
      <c r="AE421" s="315"/>
      <c r="AF421" s="315"/>
      <c r="AG421" s="315"/>
      <c r="AH421" s="315"/>
      <c r="AI421" s="377"/>
      <c r="AJ421" s="407"/>
      <c r="AK421" s="377"/>
      <c r="AL421" s="314"/>
      <c r="AM421" s="314"/>
      <c r="AN421" s="314"/>
      <c r="AO421" s="315"/>
      <c r="AP421" s="257"/>
      <c r="AQ421" s="257"/>
      <c r="AR421" s="257"/>
      <c r="AS421" s="315"/>
      <c r="AT421" s="257"/>
      <c r="AU421" s="257"/>
      <c r="AV421" s="316"/>
      <c r="AW421" s="314"/>
      <c r="AX421" s="315"/>
      <c r="AY421" s="315"/>
      <c r="AZ421" s="315"/>
      <c r="BA421" s="315"/>
      <c r="BB421" s="315"/>
      <c r="BC421" s="315"/>
      <c r="BD421" s="319"/>
      <c r="BE421" s="319"/>
      <c r="BF421" s="319"/>
      <c r="BG421" s="319"/>
      <c r="BH421" s="319"/>
      <c r="BI421" s="319"/>
      <c r="BJ421" s="319"/>
      <c r="BK421" s="315"/>
      <c r="BL421" s="316"/>
      <c r="BM421" s="314"/>
      <c r="BN421" s="319"/>
      <c r="BO421" s="315"/>
      <c r="BP421" s="314"/>
      <c r="BQ421" s="316"/>
      <c r="BR421" s="314"/>
      <c r="BS421" s="262"/>
      <c r="BT421" s="262"/>
    </row>
    <row r="422" spans="1:72" ht="45.75" customHeight="1">
      <c r="A422" s="342"/>
      <c r="B422" s="342"/>
      <c r="C422" s="342"/>
      <c r="D422" s="343"/>
      <c r="E422" s="342"/>
      <c r="F422" s="342"/>
      <c r="G422" s="344"/>
      <c r="H422" s="344"/>
      <c r="I422" s="344"/>
      <c r="J422" s="334"/>
      <c r="K422" s="335"/>
      <c r="L422" s="336"/>
      <c r="M422" s="336"/>
      <c r="N422" s="337"/>
      <c r="O422" s="337"/>
      <c r="P422" s="315"/>
      <c r="Q422" s="314"/>
      <c r="R422" s="317"/>
      <c r="S422" s="315"/>
      <c r="T422" s="315"/>
      <c r="U422" s="315"/>
      <c r="V422" s="258"/>
      <c r="W422" s="322"/>
      <c r="X422" s="318"/>
      <c r="Y422" s="315"/>
      <c r="Z422" s="318"/>
      <c r="AA422" s="314"/>
      <c r="AB422" s="336"/>
      <c r="AC422" s="314"/>
      <c r="AD422" s="316"/>
      <c r="AE422" s="315"/>
      <c r="AF422" s="315"/>
      <c r="AG422" s="315"/>
      <c r="AH422" s="315"/>
      <c r="AI422" s="377"/>
      <c r="AJ422" s="407"/>
      <c r="AK422" s="377"/>
      <c r="AL422" s="314"/>
      <c r="AM422" s="314"/>
      <c r="AN422" s="314"/>
      <c r="AO422" s="315"/>
      <c r="AP422" s="257"/>
      <c r="AQ422" s="257"/>
      <c r="AR422" s="257"/>
      <c r="AS422" s="315"/>
      <c r="AT422" s="257"/>
      <c r="AU422" s="257"/>
      <c r="AV422" s="316"/>
      <c r="AW422" s="314"/>
      <c r="AX422" s="315"/>
      <c r="AY422" s="315"/>
      <c r="AZ422" s="315"/>
      <c r="BA422" s="315"/>
      <c r="BB422" s="315"/>
      <c r="BC422" s="315"/>
      <c r="BD422" s="319"/>
      <c r="BE422" s="319"/>
      <c r="BF422" s="319"/>
      <c r="BG422" s="319"/>
      <c r="BH422" s="319"/>
      <c r="BI422" s="319"/>
      <c r="BJ422" s="319"/>
      <c r="BK422" s="315"/>
      <c r="BL422" s="316"/>
      <c r="BM422" s="314"/>
      <c r="BN422" s="319"/>
      <c r="BO422" s="315"/>
      <c r="BP422" s="314"/>
      <c r="BQ422" s="316"/>
      <c r="BR422" s="314"/>
      <c r="BS422" s="262"/>
      <c r="BT422" s="262"/>
    </row>
    <row r="423" spans="1:72" ht="45.75" customHeight="1">
      <c r="A423" s="342"/>
      <c r="B423" s="342"/>
      <c r="C423" s="342"/>
      <c r="D423" s="343"/>
      <c r="E423" s="342"/>
      <c r="F423" s="342"/>
      <c r="G423" s="344"/>
      <c r="H423" s="344"/>
      <c r="I423" s="344"/>
      <c r="J423" s="334"/>
      <c r="K423" s="335"/>
      <c r="L423" s="336"/>
      <c r="M423" s="336"/>
      <c r="N423" s="337"/>
      <c r="O423" s="337"/>
      <c r="P423" s="315"/>
      <c r="Q423" s="314"/>
      <c r="R423" s="317"/>
      <c r="S423" s="315"/>
      <c r="T423" s="315"/>
      <c r="U423" s="315"/>
      <c r="V423" s="258"/>
      <c r="W423" s="322"/>
      <c r="X423" s="318"/>
      <c r="Y423" s="315"/>
      <c r="Z423" s="318"/>
      <c r="AA423" s="314"/>
      <c r="AB423" s="336"/>
      <c r="AC423" s="314"/>
      <c r="AD423" s="316"/>
      <c r="AE423" s="315"/>
      <c r="AF423" s="315"/>
      <c r="AG423" s="315"/>
      <c r="AH423" s="315"/>
      <c r="AI423" s="377"/>
      <c r="AJ423" s="407"/>
      <c r="AK423" s="377"/>
      <c r="AL423" s="314"/>
      <c r="AM423" s="314"/>
      <c r="AN423" s="314"/>
      <c r="AO423" s="315"/>
      <c r="AP423" s="257"/>
      <c r="AQ423" s="257"/>
      <c r="AR423" s="257"/>
      <c r="AS423" s="315"/>
      <c r="AT423" s="257"/>
      <c r="AU423" s="257"/>
      <c r="AV423" s="316"/>
      <c r="AW423" s="314"/>
      <c r="AX423" s="315"/>
      <c r="AY423" s="315"/>
      <c r="AZ423" s="315"/>
      <c r="BA423" s="315"/>
      <c r="BB423" s="315"/>
      <c r="BC423" s="315"/>
      <c r="BD423" s="319"/>
      <c r="BE423" s="319"/>
      <c r="BF423" s="319"/>
      <c r="BG423" s="319"/>
      <c r="BH423" s="319"/>
      <c r="BI423" s="319"/>
      <c r="BJ423" s="319"/>
      <c r="BK423" s="315"/>
      <c r="BL423" s="316"/>
      <c r="BM423" s="314"/>
      <c r="BN423" s="319"/>
      <c r="BO423" s="315"/>
      <c r="BP423" s="314"/>
      <c r="BQ423" s="316"/>
      <c r="BR423" s="314"/>
      <c r="BS423" s="262"/>
      <c r="BT423" s="262"/>
    </row>
    <row r="424" spans="1:72" ht="45.75" customHeight="1">
      <c r="A424" s="342"/>
      <c r="B424" s="342"/>
      <c r="C424" s="342"/>
      <c r="D424" s="343"/>
      <c r="E424" s="342"/>
      <c r="F424" s="342"/>
      <c r="G424" s="344"/>
      <c r="H424" s="344"/>
      <c r="I424" s="344"/>
      <c r="J424" s="334"/>
      <c r="K424" s="335"/>
      <c r="L424" s="336"/>
      <c r="M424" s="336"/>
      <c r="N424" s="337"/>
      <c r="O424" s="337"/>
      <c r="P424" s="315"/>
      <c r="Q424" s="314"/>
      <c r="R424" s="317"/>
      <c r="S424" s="315"/>
      <c r="T424" s="315"/>
      <c r="U424" s="315"/>
      <c r="V424" s="258"/>
      <c r="W424" s="322"/>
      <c r="X424" s="318"/>
      <c r="Y424" s="315"/>
      <c r="Z424" s="318"/>
      <c r="AA424" s="314"/>
      <c r="AB424" s="336"/>
      <c r="AC424" s="314"/>
      <c r="AD424" s="316"/>
      <c r="AE424" s="315"/>
      <c r="AF424" s="315"/>
      <c r="AG424" s="315"/>
      <c r="AH424" s="315"/>
      <c r="AI424" s="377"/>
      <c r="AJ424" s="407"/>
      <c r="AK424" s="377"/>
      <c r="AL424" s="314"/>
      <c r="AM424" s="314"/>
      <c r="AN424" s="314"/>
      <c r="AO424" s="315"/>
      <c r="AP424" s="257"/>
      <c r="AQ424" s="257"/>
      <c r="AR424" s="257"/>
      <c r="AS424" s="315"/>
      <c r="AT424" s="257"/>
      <c r="AU424" s="257"/>
      <c r="AV424" s="316"/>
      <c r="AW424" s="314"/>
      <c r="AX424" s="315"/>
      <c r="AY424" s="315"/>
      <c r="AZ424" s="315"/>
      <c r="BA424" s="315"/>
      <c r="BB424" s="315"/>
      <c r="BC424" s="315"/>
      <c r="BD424" s="319"/>
      <c r="BE424" s="319"/>
      <c r="BF424" s="319"/>
      <c r="BG424" s="319"/>
      <c r="BH424" s="319"/>
      <c r="BI424" s="319"/>
      <c r="BJ424" s="319"/>
      <c r="BK424" s="315"/>
      <c r="BL424" s="316"/>
      <c r="BM424" s="314"/>
      <c r="BN424" s="319"/>
      <c r="BO424" s="315"/>
      <c r="BP424" s="314"/>
      <c r="BQ424" s="316"/>
      <c r="BR424" s="314"/>
      <c r="BS424" s="262"/>
      <c r="BT424" s="262"/>
    </row>
    <row r="425" spans="1:72" ht="45.75" customHeight="1">
      <c r="A425" s="342"/>
      <c r="B425" s="342"/>
      <c r="C425" s="342"/>
      <c r="D425" s="343"/>
      <c r="E425" s="342"/>
      <c r="F425" s="342"/>
      <c r="G425" s="344"/>
      <c r="H425" s="344"/>
      <c r="I425" s="344"/>
      <c r="J425" s="334"/>
      <c r="K425" s="335"/>
      <c r="L425" s="336"/>
      <c r="M425" s="336"/>
      <c r="N425" s="337"/>
      <c r="O425" s="337"/>
      <c r="P425" s="315"/>
      <c r="Q425" s="314"/>
      <c r="R425" s="317"/>
      <c r="S425" s="315"/>
      <c r="T425" s="315"/>
      <c r="U425" s="315"/>
      <c r="V425" s="258"/>
      <c r="W425" s="322"/>
      <c r="X425" s="318"/>
      <c r="Y425" s="315"/>
      <c r="Z425" s="318"/>
      <c r="AA425" s="314"/>
      <c r="AB425" s="336"/>
      <c r="AC425" s="314"/>
      <c r="AD425" s="316"/>
      <c r="AE425" s="315"/>
      <c r="AF425" s="315"/>
      <c r="AG425" s="315"/>
      <c r="AH425" s="315"/>
      <c r="AI425" s="377"/>
      <c r="AJ425" s="407"/>
      <c r="AK425" s="377"/>
      <c r="AL425" s="314"/>
      <c r="AM425" s="314"/>
      <c r="AN425" s="314"/>
      <c r="AO425" s="315"/>
      <c r="AP425" s="257"/>
      <c r="AQ425" s="257"/>
      <c r="AR425" s="257"/>
      <c r="AS425" s="315"/>
      <c r="AT425" s="257"/>
      <c r="AU425" s="257"/>
      <c r="AV425" s="316"/>
      <c r="AW425" s="314"/>
      <c r="AX425" s="315"/>
      <c r="AY425" s="315"/>
      <c r="AZ425" s="315"/>
      <c r="BA425" s="315"/>
      <c r="BB425" s="315"/>
      <c r="BC425" s="315"/>
      <c r="BD425" s="319"/>
      <c r="BE425" s="319"/>
      <c r="BF425" s="319"/>
      <c r="BG425" s="319"/>
      <c r="BH425" s="319"/>
      <c r="BI425" s="319"/>
      <c r="BJ425" s="319"/>
      <c r="BK425" s="315"/>
      <c r="BL425" s="316"/>
      <c r="BM425" s="314"/>
      <c r="BN425" s="319"/>
      <c r="BO425" s="315"/>
      <c r="BP425" s="314"/>
      <c r="BQ425" s="316"/>
      <c r="BR425" s="314"/>
      <c r="BS425" s="262"/>
      <c r="BT425" s="262"/>
    </row>
    <row r="426" spans="1:72" ht="45.75" customHeight="1">
      <c r="A426" s="342"/>
      <c r="B426" s="342"/>
      <c r="C426" s="342"/>
      <c r="D426" s="343"/>
      <c r="E426" s="342"/>
      <c r="F426" s="342"/>
      <c r="G426" s="344"/>
      <c r="H426" s="344"/>
      <c r="I426" s="344"/>
      <c r="J426" s="334"/>
      <c r="K426" s="335"/>
      <c r="L426" s="336"/>
      <c r="M426" s="336"/>
      <c r="N426" s="337"/>
      <c r="O426" s="337"/>
      <c r="P426" s="315"/>
      <c r="Q426" s="314"/>
      <c r="R426" s="317"/>
      <c r="S426" s="315"/>
      <c r="T426" s="315"/>
      <c r="U426" s="315"/>
      <c r="V426" s="258"/>
      <c r="W426" s="322"/>
      <c r="X426" s="318"/>
      <c r="Y426" s="315"/>
      <c r="Z426" s="318"/>
      <c r="AA426" s="314"/>
      <c r="AB426" s="336"/>
      <c r="AC426" s="314"/>
      <c r="AD426" s="316"/>
      <c r="AE426" s="315"/>
      <c r="AF426" s="315"/>
      <c r="AG426" s="315"/>
      <c r="AH426" s="315"/>
      <c r="AI426" s="377"/>
      <c r="AJ426" s="407"/>
      <c r="AK426" s="377"/>
      <c r="AL426" s="314"/>
      <c r="AM426" s="314"/>
      <c r="AN426" s="314"/>
      <c r="AO426" s="315"/>
      <c r="AP426" s="257"/>
      <c r="AQ426" s="257"/>
      <c r="AR426" s="257"/>
      <c r="AS426" s="315"/>
      <c r="AT426" s="257"/>
      <c r="AU426" s="257"/>
      <c r="AV426" s="316"/>
      <c r="AW426" s="314"/>
      <c r="AX426" s="315"/>
      <c r="AY426" s="315"/>
      <c r="AZ426" s="315"/>
      <c r="BA426" s="315"/>
      <c r="BB426" s="315"/>
      <c r="BC426" s="315"/>
      <c r="BD426" s="319"/>
      <c r="BE426" s="319"/>
      <c r="BF426" s="319"/>
      <c r="BG426" s="319"/>
      <c r="BH426" s="319"/>
      <c r="BI426" s="319"/>
      <c r="BJ426" s="319"/>
      <c r="BK426" s="315"/>
      <c r="BL426" s="316"/>
      <c r="BM426" s="314"/>
      <c r="BN426" s="319"/>
      <c r="BO426" s="315"/>
      <c r="BP426" s="314"/>
      <c r="BQ426" s="316"/>
      <c r="BR426" s="314"/>
      <c r="BS426" s="262"/>
      <c r="BT426" s="262"/>
    </row>
    <row r="427" spans="1:72" ht="45.75" customHeight="1">
      <c r="A427" s="342"/>
      <c r="B427" s="342"/>
      <c r="C427" s="342"/>
      <c r="D427" s="343"/>
      <c r="E427" s="342"/>
      <c r="F427" s="342"/>
      <c r="G427" s="344"/>
      <c r="H427" s="344"/>
      <c r="I427" s="344"/>
      <c r="J427" s="334"/>
      <c r="K427" s="335"/>
      <c r="L427" s="336"/>
      <c r="M427" s="336"/>
      <c r="N427" s="337"/>
      <c r="O427" s="337"/>
      <c r="P427" s="315"/>
      <c r="Q427" s="314"/>
      <c r="R427" s="317"/>
      <c r="S427" s="315"/>
      <c r="T427" s="315"/>
      <c r="U427" s="315"/>
      <c r="V427" s="258"/>
      <c r="W427" s="322"/>
      <c r="X427" s="318"/>
      <c r="Y427" s="315"/>
      <c r="Z427" s="318"/>
      <c r="AA427" s="314"/>
      <c r="AB427" s="336"/>
      <c r="AC427" s="314"/>
      <c r="AD427" s="316"/>
      <c r="AE427" s="315"/>
      <c r="AF427" s="315"/>
      <c r="AG427" s="315"/>
      <c r="AH427" s="315"/>
      <c r="AI427" s="377"/>
      <c r="AJ427" s="407"/>
      <c r="AK427" s="377"/>
      <c r="AL427" s="314"/>
      <c r="AM427" s="314"/>
      <c r="AN427" s="314"/>
      <c r="AO427" s="315"/>
      <c r="AP427" s="257"/>
      <c r="AQ427" s="257"/>
      <c r="AR427" s="257"/>
      <c r="AS427" s="315"/>
      <c r="AT427" s="257"/>
      <c r="AU427" s="257"/>
      <c r="AV427" s="316"/>
      <c r="AW427" s="314"/>
      <c r="AX427" s="315"/>
      <c r="AY427" s="315"/>
      <c r="AZ427" s="315"/>
      <c r="BA427" s="315"/>
      <c r="BB427" s="315"/>
      <c r="BC427" s="315"/>
      <c r="BD427" s="319"/>
      <c r="BE427" s="319"/>
      <c r="BF427" s="319"/>
      <c r="BG427" s="319"/>
      <c r="BH427" s="319"/>
      <c r="BI427" s="319"/>
      <c r="BJ427" s="319"/>
      <c r="BK427" s="315"/>
      <c r="BL427" s="316"/>
      <c r="BM427" s="314"/>
      <c r="BN427" s="319"/>
      <c r="BO427" s="315"/>
      <c r="BP427" s="314"/>
      <c r="BQ427" s="316"/>
      <c r="BR427" s="314"/>
      <c r="BS427" s="262"/>
      <c r="BT427" s="262"/>
    </row>
    <row r="428" spans="1:72" ht="45.75" customHeight="1">
      <c r="A428" s="342"/>
      <c r="B428" s="342"/>
      <c r="C428" s="342"/>
      <c r="D428" s="343"/>
      <c r="E428" s="342"/>
      <c r="F428" s="342"/>
      <c r="G428" s="344"/>
      <c r="H428" s="344"/>
      <c r="I428" s="344"/>
      <c r="J428" s="334"/>
      <c r="K428" s="335"/>
      <c r="L428" s="336"/>
      <c r="M428" s="336"/>
      <c r="N428" s="337"/>
      <c r="O428" s="337"/>
      <c r="P428" s="315"/>
      <c r="Q428" s="314"/>
      <c r="R428" s="317"/>
      <c r="S428" s="315"/>
      <c r="T428" s="315"/>
      <c r="U428" s="315"/>
      <c r="V428" s="258"/>
      <c r="W428" s="322"/>
      <c r="X428" s="318"/>
      <c r="Y428" s="315"/>
      <c r="Z428" s="318"/>
      <c r="AA428" s="314"/>
      <c r="AB428" s="336"/>
      <c r="AC428" s="314"/>
      <c r="AD428" s="316"/>
      <c r="AE428" s="315"/>
      <c r="AF428" s="315"/>
      <c r="AG428" s="315"/>
      <c r="AH428" s="315"/>
      <c r="AI428" s="377"/>
      <c r="AJ428" s="407"/>
      <c r="AK428" s="377"/>
      <c r="AL428" s="314"/>
      <c r="AM428" s="314"/>
      <c r="AN428" s="314"/>
      <c r="AO428" s="315"/>
      <c r="AP428" s="257"/>
      <c r="AQ428" s="257"/>
      <c r="AR428" s="257"/>
      <c r="AS428" s="315"/>
      <c r="AT428" s="257"/>
      <c r="AU428" s="257"/>
      <c r="AV428" s="316"/>
      <c r="AW428" s="314"/>
      <c r="AX428" s="315"/>
      <c r="AY428" s="315"/>
      <c r="AZ428" s="315"/>
      <c r="BA428" s="315"/>
      <c r="BB428" s="315"/>
      <c r="BC428" s="315"/>
      <c r="BD428" s="319"/>
      <c r="BE428" s="319"/>
      <c r="BF428" s="319"/>
      <c r="BG428" s="319"/>
      <c r="BH428" s="319"/>
      <c r="BI428" s="319"/>
      <c r="BJ428" s="319"/>
      <c r="BK428" s="315"/>
      <c r="BL428" s="316"/>
      <c r="BM428" s="314"/>
      <c r="BN428" s="319"/>
      <c r="BO428" s="315"/>
      <c r="BP428" s="314"/>
      <c r="BQ428" s="316"/>
      <c r="BR428" s="314"/>
      <c r="BS428" s="262"/>
      <c r="BT428" s="262"/>
    </row>
    <row r="429" spans="1:72" ht="45.75" customHeight="1">
      <c r="A429" s="342"/>
      <c r="B429" s="342"/>
      <c r="C429" s="342"/>
      <c r="D429" s="343"/>
      <c r="E429" s="342"/>
      <c r="F429" s="342"/>
      <c r="G429" s="344"/>
      <c r="H429" s="344"/>
      <c r="I429" s="344"/>
      <c r="J429" s="334"/>
      <c r="K429" s="335"/>
      <c r="L429" s="336"/>
      <c r="M429" s="336"/>
      <c r="N429" s="337"/>
      <c r="O429" s="337"/>
      <c r="P429" s="315"/>
      <c r="Q429" s="314"/>
      <c r="R429" s="317"/>
      <c r="S429" s="315"/>
      <c r="T429" s="315"/>
      <c r="U429" s="315"/>
      <c r="V429" s="258"/>
      <c r="W429" s="322"/>
      <c r="X429" s="318"/>
      <c r="Y429" s="315"/>
      <c r="Z429" s="318"/>
      <c r="AA429" s="314"/>
      <c r="AB429" s="336"/>
      <c r="AC429" s="314"/>
      <c r="AD429" s="316"/>
      <c r="AE429" s="315"/>
      <c r="AF429" s="315"/>
      <c r="AG429" s="315"/>
      <c r="AH429" s="315"/>
      <c r="AI429" s="377"/>
      <c r="AJ429" s="407"/>
      <c r="AK429" s="377"/>
      <c r="AL429" s="314"/>
      <c r="AM429" s="314"/>
      <c r="AN429" s="314"/>
      <c r="AO429" s="315"/>
      <c r="AP429" s="257"/>
      <c r="AQ429" s="257"/>
      <c r="AR429" s="257"/>
      <c r="AS429" s="315"/>
      <c r="AT429" s="257"/>
      <c r="AU429" s="257"/>
      <c r="AV429" s="316"/>
      <c r="AW429" s="314"/>
      <c r="AX429" s="315"/>
      <c r="AY429" s="315"/>
      <c r="AZ429" s="315"/>
      <c r="BA429" s="315"/>
      <c r="BB429" s="315"/>
      <c r="BC429" s="315"/>
      <c r="BD429" s="319"/>
      <c r="BE429" s="319"/>
      <c r="BF429" s="319"/>
      <c r="BG429" s="319"/>
      <c r="BH429" s="319"/>
      <c r="BI429" s="319"/>
      <c r="BJ429" s="319"/>
      <c r="BK429" s="315"/>
      <c r="BL429" s="316"/>
      <c r="BM429" s="314"/>
      <c r="BN429" s="319"/>
      <c r="BO429" s="315"/>
      <c r="BP429" s="314"/>
      <c r="BQ429" s="316"/>
      <c r="BR429" s="314"/>
      <c r="BS429" s="262"/>
      <c r="BT429" s="262"/>
    </row>
    <row r="430" spans="1:72" ht="45.75" customHeight="1">
      <c r="A430" s="342"/>
      <c r="B430" s="342"/>
      <c r="C430" s="342"/>
      <c r="D430" s="343"/>
      <c r="E430" s="342"/>
      <c r="F430" s="342"/>
      <c r="G430" s="344"/>
      <c r="H430" s="344"/>
      <c r="I430" s="344"/>
      <c r="J430" s="334"/>
      <c r="K430" s="335"/>
      <c r="L430" s="336"/>
      <c r="M430" s="336"/>
      <c r="N430" s="337"/>
      <c r="O430" s="337"/>
      <c r="P430" s="315"/>
      <c r="Q430" s="314"/>
      <c r="R430" s="317"/>
      <c r="S430" s="315"/>
      <c r="T430" s="315"/>
      <c r="U430" s="315"/>
      <c r="V430" s="258"/>
      <c r="W430" s="322"/>
      <c r="X430" s="318"/>
      <c r="Y430" s="315"/>
      <c r="Z430" s="318"/>
      <c r="AA430" s="314"/>
      <c r="AB430" s="336"/>
      <c r="AC430" s="314"/>
      <c r="AD430" s="316"/>
      <c r="AE430" s="315"/>
      <c r="AF430" s="315"/>
      <c r="AG430" s="315"/>
      <c r="AH430" s="315"/>
      <c r="AI430" s="377"/>
      <c r="AJ430" s="407"/>
      <c r="AK430" s="377"/>
      <c r="AL430" s="314"/>
      <c r="AM430" s="314"/>
      <c r="AN430" s="314"/>
      <c r="AO430" s="315"/>
      <c r="AP430" s="257"/>
      <c r="AQ430" s="257"/>
      <c r="AR430" s="257"/>
      <c r="AS430" s="315"/>
      <c r="AT430" s="257"/>
      <c r="AU430" s="257"/>
      <c r="AV430" s="316"/>
      <c r="AW430" s="314"/>
      <c r="AX430" s="315"/>
      <c r="AY430" s="315"/>
      <c r="AZ430" s="315"/>
      <c r="BA430" s="315"/>
      <c r="BB430" s="315"/>
      <c r="BC430" s="315"/>
      <c r="BD430" s="319"/>
      <c r="BE430" s="319"/>
      <c r="BF430" s="319"/>
      <c r="BG430" s="319"/>
      <c r="BH430" s="319"/>
      <c r="BI430" s="319"/>
      <c r="BJ430" s="319"/>
      <c r="BK430" s="315"/>
      <c r="BL430" s="316"/>
      <c r="BM430" s="314"/>
      <c r="BN430" s="319"/>
      <c r="BO430" s="315"/>
      <c r="BP430" s="314"/>
      <c r="BQ430" s="316"/>
      <c r="BR430" s="314"/>
      <c r="BS430" s="262"/>
      <c r="BT430" s="262"/>
    </row>
    <row r="431" spans="1:72" ht="45.75" customHeight="1">
      <c r="A431" s="342"/>
      <c r="B431" s="342"/>
      <c r="C431" s="342"/>
      <c r="D431" s="343"/>
      <c r="E431" s="342"/>
      <c r="F431" s="342"/>
      <c r="G431" s="344"/>
      <c r="H431" s="344"/>
      <c r="I431" s="344"/>
      <c r="J431" s="334"/>
      <c r="K431" s="335"/>
      <c r="L431" s="336"/>
      <c r="M431" s="336"/>
      <c r="N431" s="337"/>
      <c r="O431" s="337"/>
      <c r="P431" s="315"/>
      <c r="Q431" s="314"/>
      <c r="R431" s="317"/>
      <c r="S431" s="315"/>
      <c r="T431" s="315"/>
      <c r="U431" s="315"/>
      <c r="V431" s="258"/>
      <c r="W431" s="322"/>
      <c r="X431" s="318"/>
      <c r="Y431" s="315"/>
      <c r="Z431" s="318"/>
      <c r="AA431" s="314"/>
      <c r="AB431" s="336"/>
      <c r="AC431" s="314"/>
      <c r="AD431" s="316"/>
      <c r="AE431" s="315"/>
      <c r="AF431" s="315"/>
      <c r="AG431" s="315"/>
      <c r="AH431" s="315"/>
      <c r="AI431" s="377"/>
      <c r="AJ431" s="407"/>
      <c r="AK431" s="377"/>
      <c r="AL431" s="314"/>
      <c r="AM431" s="314"/>
      <c r="AN431" s="314"/>
      <c r="AO431" s="315"/>
      <c r="AP431" s="257"/>
      <c r="AQ431" s="257"/>
      <c r="AR431" s="257"/>
      <c r="AS431" s="315"/>
      <c r="AT431" s="257"/>
      <c r="AU431" s="257"/>
      <c r="AV431" s="316"/>
      <c r="AW431" s="314"/>
      <c r="AX431" s="315"/>
      <c r="AY431" s="315"/>
      <c r="AZ431" s="315"/>
      <c r="BA431" s="315"/>
      <c r="BB431" s="315"/>
      <c r="BC431" s="315"/>
      <c r="BD431" s="319"/>
      <c r="BE431" s="319"/>
      <c r="BF431" s="319"/>
      <c r="BG431" s="319"/>
      <c r="BH431" s="319"/>
      <c r="BI431" s="319"/>
      <c r="BJ431" s="319"/>
      <c r="BK431" s="315"/>
      <c r="BL431" s="316"/>
      <c r="BM431" s="314"/>
      <c r="BN431" s="319"/>
      <c r="BO431" s="315"/>
      <c r="BP431" s="314"/>
      <c r="BQ431" s="316"/>
      <c r="BR431" s="314"/>
      <c r="BS431" s="262"/>
      <c r="BT431" s="262"/>
    </row>
    <row r="432" spans="1:72" ht="45.75" customHeight="1">
      <c r="A432" s="342"/>
      <c r="B432" s="342"/>
      <c r="C432" s="342"/>
      <c r="D432" s="343"/>
      <c r="E432" s="342"/>
      <c r="F432" s="342"/>
      <c r="G432" s="344"/>
      <c r="H432" s="344"/>
      <c r="I432" s="344"/>
      <c r="J432" s="334"/>
      <c r="K432" s="335"/>
      <c r="L432" s="336"/>
      <c r="M432" s="336"/>
      <c r="N432" s="337"/>
      <c r="O432" s="337"/>
      <c r="P432" s="315"/>
      <c r="Q432" s="314"/>
      <c r="R432" s="317"/>
      <c r="S432" s="315"/>
      <c r="T432" s="315"/>
      <c r="U432" s="315"/>
      <c r="V432" s="258"/>
      <c r="W432" s="322"/>
      <c r="X432" s="318"/>
      <c r="Y432" s="315"/>
      <c r="Z432" s="318"/>
      <c r="AA432" s="314"/>
      <c r="AB432" s="336"/>
      <c r="AC432" s="314"/>
      <c r="AD432" s="316"/>
      <c r="AE432" s="315"/>
      <c r="AF432" s="315"/>
      <c r="AG432" s="315"/>
      <c r="AH432" s="315"/>
      <c r="AI432" s="377"/>
      <c r="AJ432" s="407"/>
      <c r="AK432" s="377"/>
      <c r="AL432" s="314"/>
      <c r="AM432" s="314"/>
      <c r="AN432" s="314"/>
      <c r="AO432" s="315"/>
      <c r="AP432" s="257"/>
      <c r="AQ432" s="257"/>
      <c r="AR432" s="257"/>
      <c r="AS432" s="315"/>
      <c r="AT432" s="257"/>
      <c r="AU432" s="257"/>
      <c r="AV432" s="316"/>
      <c r="AW432" s="314"/>
      <c r="AX432" s="315"/>
      <c r="AY432" s="315"/>
      <c r="AZ432" s="315"/>
      <c r="BA432" s="315"/>
      <c r="BB432" s="315"/>
      <c r="BC432" s="315"/>
      <c r="BD432" s="319"/>
      <c r="BE432" s="319"/>
      <c r="BF432" s="319"/>
      <c r="BG432" s="319"/>
      <c r="BH432" s="319"/>
      <c r="BI432" s="319"/>
      <c r="BJ432" s="319"/>
      <c r="BK432" s="315"/>
      <c r="BL432" s="316"/>
      <c r="BM432" s="314"/>
      <c r="BN432" s="319"/>
      <c r="BO432" s="315"/>
      <c r="BP432" s="314"/>
      <c r="BQ432" s="316"/>
      <c r="BR432" s="314"/>
      <c r="BS432" s="262"/>
      <c r="BT432" s="262"/>
    </row>
    <row r="433" spans="1:72" ht="45.75" customHeight="1">
      <c r="A433" s="342"/>
      <c r="B433" s="342"/>
      <c r="C433" s="342"/>
      <c r="D433" s="343"/>
      <c r="E433" s="342"/>
      <c r="F433" s="342"/>
      <c r="G433" s="344"/>
      <c r="H433" s="344"/>
      <c r="I433" s="344"/>
      <c r="J433" s="334"/>
      <c r="K433" s="335"/>
      <c r="L433" s="336"/>
      <c r="M433" s="336"/>
      <c r="N433" s="337"/>
      <c r="O433" s="337"/>
      <c r="P433" s="315"/>
      <c r="Q433" s="314"/>
      <c r="R433" s="317"/>
      <c r="S433" s="315"/>
      <c r="T433" s="315"/>
      <c r="U433" s="315"/>
      <c r="V433" s="258"/>
      <c r="W433" s="322"/>
      <c r="X433" s="318"/>
      <c r="Y433" s="315"/>
      <c r="Z433" s="318"/>
      <c r="AA433" s="314"/>
      <c r="AB433" s="336"/>
      <c r="AC433" s="314"/>
      <c r="AD433" s="316"/>
      <c r="AE433" s="315"/>
      <c r="AF433" s="315"/>
      <c r="AG433" s="315"/>
      <c r="AH433" s="315"/>
      <c r="AI433" s="377"/>
      <c r="AJ433" s="407"/>
      <c r="AK433" s="377"/>
      <c r="AL433" s="314"/>
      <c r="AM433" s="314"/>
      <c r="AN433" s="314"/>
      <c r="AO433" s="315"/>
      <c r="AP433" s="257"/>
      <c r="AQ433" s="257"/>
      <c r="AR433" s="257"/>
      <c r="AS433" s="315"/>
      <c r="AT433" s="257"/>
      <c r="AU433" s="257"/>
      <c r="AV433" s="316"/>
      <c r="AW433" s="314"/>
      <c r="AX433" s="315"/>
      <c r="AY433" s="315"/>
      <c r="AZ433" s="315"/>
      <c r="BA433" s="315"/>
      <c r="BB433" s="315"/>
      <c r="BC433" s="315"/>
      <c r="BD433" s="319"/>
      <c r="BE433" s="319"/>
      <c r="BF433" s="319"/>
      <c r="BG433" s="319"/>
      <c r="BH433" s="319"/>
      <c r="BI433" s="319"/>
      <c r="BJ433" s="319"/>
      <c r="BK433" s="315"/>
      <c r="BL433" s="316"/>
      <c r="BM433" s="314"/>
      <c r="BN433" s="319"/>
      <c r="BO433" s="315"/>
      <c r="BP433" s="314"/>
      <c r="BQ433" s="316"/>
      <c r="BR433" s="314"/>
      <c r="BS433" s="262"/>
      <c r="BT433" s="262"/>
    </row>
    <row r="434" spans="1:72" ht="45.75" customHeight="1">
      <c r="A434" s="342"/>
      <c r="B434" s="342"/>
      <c r="C434" s="342"/>
      <c r="D434" s="343"/>
      <c r="E434" s="342"/>
      <c r="F434" s="342"/>
      <c r="G434" s="344"/>
      <c r="H434" s="344"/>
      <c r="I434" s="344"/>
      <c r="J434" s="334"/>
      <c r="K434" s="335"/>
      <c r="L434" s="336"/>
      <c r="M434" s="336"/>
      <c r="N434" s="337"/>
      <c r="O434" s="337"/>
      <c r="P434" s="315"/>
      <c r="Q434" s="314"/>
      <c r="R434" s="317"/>
      <c r="S434" s="315"/>
      <c r="T434" s="315"/>
      <c r="U434" s="315"/>
      <c r="V434" s="258"/>
      <c r="W434" s="322"/>
      <c r="X434" s="318"/>
      <c r="Y434" s="315"/>
      <c r="Z434" s="318"/>
      <c r="AA434" s="314"/>
      <c r="AB434" s="336"/>
      <c r="AC434" s="314"/>
      <c r="AD434" s="316"/>
      <c r="AE434" s="315"/>
      <c r="AF434" s="315"/>
      <c r="AG434" s="315"/>
      <c r="AH434" s="315"/>
      <c r="AI434" s="377"/>
      <c r="AJ434" s="407"/>
      <c r="AK434" s="377"/>
      <c r="AL434" s="314"/>
      <c r="AM434" s="314"/>
      <c r="AN434" s="314"/>
      <c r="AO434" s="315"/>
      <c r="AP434" s="257"/>
      <c r="AQ434" s="257"/>
      <c r="AR434" s="257"/>
      <c r="AS434" s="315"/>
      <c r="AT434" s="257"/>
      <c r="AU434" s="257"/>
      <c r="AV434" s="316"/>
      <c r="AW434" s="314"/>
      <c r="AX434" s="315"/>
      <c r="AY434" s="315"/>
      <c r="AZ434" s="315"/>
      <c r="BA434" s="315"/>
      <c r="BB434" s="315"/>
      <c r="BC434" s="315"/>
      <c r="BD434" s="319"/>
      <c r="BE434" s="319"/>
      <c r="BF434" s="319"/>
      <c r="BG434" s="319"/>
      <c r="BH434" s="319"/>
      <c r="BI434" s="319"/>
      <c r="BJ434" s="319"/>
      <c r="BK434" s="315"/>
      <c r="BL434" s="316"/>
      <c r="BM434" s="314"/>
      <c r="BN434" s="319"/>
      <c r="BO434" s="315"/>
      <c r="BP434" s="314"/>
      <c r="BQ434" s="316"/>
      <c r="BR434" s="314"/>
      <c r="BS434" s="262"/>
      <c r="BT434" s="262"/>
    </row>
    <row r="435" spans="1:72" ht="45.75" customHeight="1">
      <c r="A435" s="342"/>
      <c r="B435" s="342"/>
      <c r="C435" s="342"/>
      <c r="D435" s="343"/>
      <c r="E435" s="342"/>
      <c r="F435" s="342"/>
      <c r="G435" s="344"/>
      <c r="H435" s="344"/>
      <c r="I435" s="344"/>
      <c r="J435" s="334"/>
      <c r="K435" s="335"/>
      <c r="L435" s="336"/>
      <c r="M435" s="336"/>
      <c r="N435" s="337"/>
      <c r="O435" s="337"/>
      <c r="P435" s="315"/>
      <c r="Q435" s="314"/>
      <c r="R435" s="317"/>
      <c r="S435" s="315"/>
      <c r="T435" s="315"/>
      <c r="U435" s="315"/>
      <c r="V435" s="258"/>
      <c r="W435" s="322"/>
      <c r="X435" s="318"/>
      <c r="Y435" s="315"/>
      <c r="Z435" s="318"/>
      <c r="AA435" s="314"/>
      <c r="AB435" s="336"/>
      <c r="AC435" s="314"/>
      <c r="AD435" s="316"/>
      <c r="AE435" s="315"/>
      <c r="AF435" s="315"/>
      <c r="AG435" s="315"/>
      <c r="AH435" s="315"/>
      <c r="AI435" s="377"/>
      <c r="AJ435" s="407"/>
      <c r="AK435" s="377"/>
      <c r="AL435" s="314"/>
      <c r="AM435" s="314"/>
      <c r="AN435" s="314"/>
      <c r="AO435" s="315"/>
      <c r="AP435" s="257"/>
      <c r="AQ435" s="257"/>
      <c r="AR435" s="257"/>
      <c r="AS435" s="315"/>
      <c r="AT435" s="257"/>
      <c r="AU435" s="257"/>
      <c r="AV435" s="316"/>
      <c r="AW435" s="314"/>
      <c r="AX435" s="315"/>
      <c r="AY435" s="315"/>
      <c r="AZ435" s="315"/>
      <c r="BA435" s="315"/>
      <c r="BB435" s="315"/>
      <c r="BC435" s="315"/>
      <c r="BD435" s="319"/>
      <c r="BE435" s="319"/>
      <c r="BF435" s="319"/>
      <c r="BG435" s="319"/>
      <c r="BH435" s="319"/>
      <c r="BI435" s="319"/>
      <c r="BJ435" s="319"/>
      <c r="BK435" s="315"/>
      <c r="BL435" s="316"/>
      <c r="BM435" s="314"/>
      <c r="BN435" s="319"/>
      <c r="BO435" s="315"/>
      <c r="BP435" s="314"/>
      <c r="BQ435" s="316"/>
      <c r="BR435" s="314"/>
      <c r="BS435" s="262"/>
      <c r="BT435" s="262"/>
    </row>
    <row r="436" spans="1:72" ht="45.75" customHeight="1">
      <c r="A436" s="342"/>
      <c r="B436" s="342"/>
      <c r="C436" s="342"/>
      <c r="D436" s="343"/>
      <c r="E436" s="342"/>
      <c r="F436" s="342"/>
      <c r="G436" s="344"/>
      <c r="H436" s="344"/>
      <c r="I436" s="344"/>
      <c r="J436" s="334"/>
      <c r="K436" s="335"/>
      <c r="L436" s="336"/>
      <c r="M436" s="336"/>
      <c r="N436" s="337"/>
      <c r="O436" s="337"/>
      <c r="P436" s="315"/>
      <c r="Q436" s="314"/>
      <c r="R436" s="317"/>
      <c r="S436" s="315"/>
      <c r="T436" s="315"/>
      <c r="U436" s="315"/>
      <c r="V436" s="258"/>
      <c r="W436" s="322"/>
      <c r="X436" s="318"/>
      <c r="Y436" s="315"/>
      <c r="Z436" s="318"/>
      <c r="AA436" s="314"/>
      <c r="AB436" s="336"/>
      <c r="AC436" s="314"/>
      <c r="AD436" s="316"/>
      <c r="AE436" s="315"/>
      <c r="AF436" s="315"/>
      <c r="AG436" s="315"/>
      <c r="AH436" s="315"/>
      <c r="AI436" s="377"/>
      <c r="AJ436" s="407"/>
      <c r="AK436" s="377"/>
      <c r="AL436" s="314"/>
      <c r="AM436" s="314"/>
      <c r="AN436" s="314"/>
      <c r="AO436" s="315"/>
      <c r="AP436" s="257"/>
      <c r="AQ436" s="257"/>
      <c r="AR436" s="257"/>
      <c r="AS436" s="315"/>
      <c r="AT436" s="257"/>
      <c r="AU436" s="257"/>
      <c r="AV436" s="316"/>
      <c r="AW436" s="314"/>
      <c r="AX436" s="315"/>
      <c r="AY436" s="315"/>
      <c r="AZ436" s="315"/>
      <c r="BA436" s="315"/>
      <c r="BB436" s="315"/>
      <c r="BC436" s="315"/>
      <c r="BD436" s="319"/>
      <c r="BE436" s="319"/>
      <c r="BF436" s="319"/>
      <c r="BG436" s="319"/>
      <c r="BH436" s="319"/>
      <c r="BI436" s="319"/>
      <c r="BJ436" s="319"/>
      <c r="BK436" s="315"/>
      <c r="BL436" s="316"/>
      <c r="BM436" s="314"/>
      <c r="BN436" s="319"/>
      <c r="BO436" s="315"/>
      <c r="BP436" s="314"/>
      <c r="BQ436" s="316"/>
      <c r="BR436" s="314"/>
      <c r="BS436" s="262"/>
      <c r="BT436" s="262"/>
    </row>
    <row r="437" spans="1:72" ht="45.75" customHeight="1">
      <c r="A437" s="342"/>
      <c r="B437" s="342"/>
      <c r="C437" s="342"/>
      <c r="D437" s="343"/>
      <c r="E437" s="342"/>
      <c r="F437" s="342"/>
      <c r="G437" s="344"/>
      <c r="H437" s="344"/>
      <c r="I437" s="344"/>
      <c r="J437" s="334"/>
      <c r="K437" s="335"/>
      <c r="L437" s="336"/>
      <c r="M437" s="336"/>
      <c r="N437" s="337"/>
      <c r="O437" s="337"/>
      <c r="P437" s="315"/>
      <c r="Q437" s="314"/>
      <c r="R437" s="317"/>
      <c r="S437" s="315"/>
      <c r="T437" s="315"/>
      <c r="U437" s="315"/>
      <c r="V437" s="258"/>
      <c r="W437" s="322"/>
      <c r="X437" s="318"/>
      <c r="Y437" s="315"/>
      <c r="Z437" s="318"/>
      <c r="AA437" s="314"/>
      <c r="AB437" s="336"/>
      <c r="AC437" s="314"/>
      <c r="AD437" s="316"/>
      <c r="AE437" s="315"/>
      <c r="AF437" s="315"/>
      <c r="AG437" s="315"/>
      <c r="AH437" s="315"/>
      <c r="AI437" s="377"/>
      <c r="AJ437" s="407"/>
      <c r="AK437" s="377"/>
      <c r="AL437" s="314"/>
      <c r="AM437" s="314"/>
      <c r="AN437" s="314"/>
      <c r="AO437" s="315"/>
      <c r="AP437" s="257"/>
      <c r="AQ437" s="257"/>
      <c r="AR437" s="257"/>
      <c r="AS437" s="315"/>
      <c r="AT437" s="257"/>
      <c r="AU437" s="257"/>
      <c r="AV437" s="316"/>
      <c r="AW437" s="314"/>
      <c r="AX437" s="315"/>
      <c r="AY437" s="315"/>
      <c r="AZ437" s="315"/>
      <c r="BA437" s="315"/>
      <c r="BB437" s="315"/>
      <c r="BC437" s="315"/>
      <c r="BD437" s="319"/>
      <c r="BE437" s="319"/>
      <c r="BF437" s="319"/>
      <c r="BG437" s="319"/>
      <c r="BH437" s="319"/>
      <c r="BI437" s="319"/>
      <c r="BJ437" s="319"/>
      <c r="BK437" s="315"/>
      <c r="BL437" s="316"/>
      <c r="BM437" s="314"/>
      <c r="BN437" s="319"/>
      <c r="BO437" s="315"/>
      <c r="BP437" s="314"/>
      <c r="BQ437" s="316"/>
      <c r="BR437" s="314"/>
      <c r="BS437" s="262"/>
      <c r="BT437" s="262"/>
    </row>
    <row r="438" spans="1:72" ht="45.75" customHeight="1">
      <c r="A438" s="342"/>
      <c r="B438" s="342"/>
      <c r="C438" s="342"/>
      <c r="D438" s="343"/>
      <c r="E438" s="342"/>
      <c r="F438" s="342"/>
      <c r="G438" s="344"/>
      <c r="H438" s="344"/>
      <c r="I438" s="344"/>
      <c r="J438" s="334"/>
      <c r="K438" s="335"/>
      <c r="L438" s="336"/>
      <c r="M438" s="336"/>
      <c r="N438" s="337"/>
      <c r="O438" s="337"/>
      <c r="P438" s="315"/>
      <c r="Q438" s="314"/>
      <c r="R438" s="317"/>
      <c r="S438" s="315"/>
      <c r="T438" s="315"/>
      <c r="U438" s="315"/>
      <c r="V438" s="258"/>
      <c r="W438" s="322"/>
      <c r="X438" s="318"/>
      <c r="Y438" s="315"/>
      <c r="Z438" s="318"/>
      <c r="AA438" s="314"/>
      <c r="AB438" s="336"/>
      <c r="AC438" s="314"/>
      <c r="AD438" s="316"/>
      <c r="AE438" s="315"/>
      <c r="AF438" s="315"/>
      <c r="AG438" s="315"/>
      <c r="AH438" s="315"/>
      <c r="AI438" s="377"/>
      <c r="AJ438" s="407"/>
      <c r="AK438" s="377"/>
      <c r="AL438" s="314"/>
      <c r="AM438" s="314"/>
      <c r="AN438" s="314"/>
      <c r="AO438" s="315"/>
      <c r="AP438" s="257"/>
      <c r="AQ438" s="257"/>
      <c r="AR438" s="257"/>
      <c r="AS438" s="315"/>
      <c r="AT438" s="257"/>
      <c r="AU438" s="257"/>
      <c r="AV438" s="316"/>
      <c r="AW438" s="314"/>
      <c r="AX438" s="315"/>
      <c r="AY438" s="315"/>
      <c r="AZ438" s="315"/>
      <c r="BA438" s="315"/>
      <c r="BB438" s="315"/>
      <c r="BC438" s="315"/>
      <c r="BD438" s="319"/>
      <c r="BE438" s="319"/>
      <c r="BF438" s="319"/>
      <c r="BG438" s="319"/>
      <c r="BH438" s="319"/>
      <c r="BI438" s="319"/>
      <c r="BJ438" s="319"/>
      <c r="BK438" s="315"/>
      <c r="BL438" s="316"/>
      <c r="BM438" s="314"/>
      <c r="BN438" s="319"/>
      <c r="BO438" s="315"/>
      <c r="BP438" s="314"/>
      <c r="BQ438" s="316"/>
      <c r="BR438" s="314"/>
      <c r="BS438" s="262"/>
      <c r="BT438" s="262"/>
    </row>
    <row r="439" spans="1:72" ht="45.75" customHeight="1">
      <c r="A439" s="342"/>
      <c r="B439" s="342"/>
      <c r="C439" s="342"/>
      <c r="D439" s="343"/>
      <c r="E439" s="342"/>
      <c r="F439" s="342"/>
      <c r="G439" s="344"/>
      <c r="H439" s="344"/>
      <c r="I439" s="344"/>
      <c r="J439" s="334"/>
      <c r="K439" s="335"/>
      <c r="L439" s="336"/>
      <c r="M439" s="336"/>
      <c r="N439" s="337"/>
      <c r="O439" s="337"/>
      <c r="P439" s="315"/>
      <c r="Q439" s="314"/>
      <c r="R439" s="317"/>
      <c r="S439" s="315"/>
      <c r="T439" s="315"/>
      <c r="U439" s="315"/>
      <c r="V439" s="258"/>
      <c r="W439" s="322"/>
      <c r="X439" s="318"/>
      <c r="Y439" s="315"/>
      <c r="Z439" s="318"/>
      <c r="AA439" s="314"/>
      <c r="AB439" s="336"/>
      <c r="AC439" s="314"/>
      <c r="AD439" s="316"/>
      <c r="AE439" s="315"/>
      <c r="AF439" s="315"/>
      <c r="AG439" s="315"/>
      <c r="AH439" s="315"/>
      <c r="AI439" s="377"/>
      <c r="AJ439" s="407"/>
      <c r="AK439" s="377"/>
      <c r="AL439" s="314"/>
      <c r="AM439" s="314"/>
      <c r="AN439" s="314"/>
      <c r="AO439" s="315"/>
      <c r="AP439" s="257"/>
      <c r="AQ439" s="257"/>
      <c r="AR439" s="257"/>
      <c r="AS439" s="315"/>
      <c r="AT439" s="257"/>
      <c r="AU439" s="257"/>
      <c r="AV439" s="316"/>
      <c r="AW439" s="314"/>
      <c r="AX439" s="315"/>
      <c r="AY439" s="315"/>
      <c r="AZ439" s="315"/>
      <c r="BA439" s="315"/>
      <c r="BB439" s="315"/>
      <c r="BC439" s="315"/>
      <c r="BD439" s="319"/>
      <c r="BE439" s="319"/>
      <c r="BF439" s="319"/>
      <c r="BG439" s="319"/>
      <c r="BH439" s="319"/>
      <c r="BI439" s="319"/>
      <c r="BJ439" s="319"/>
      <c r="BK439" s="315"/>
      <c r="BL439" s="316"/>
      <c r="BM439" s="314"/>
      <c r="BN439" s="319"/>
      <c r="BO439" s="315"/>
      <c r="BP439" s="314"/>
      <c r="BQ439" s="316"/>
      <c r="BR439" s="314"/>
      <c r="BS439" s="262"/>
      <c r="BT439" s="262"/>
    </row>
    <row r="440" spans="1:72" ht="45.75" customHeight="1">
      <c r="A440" s="342"/>
      <c r="B440" s="342"/>
      <c r="C440" s="342"/>
      <c r="D440" s="343"/>
      <c r="E440" s="342"/>
      <c r="F440" s="342"/>
      <c r="G440" s="344"/>
      <c r="H440" s="344"/>
      <c r="I440" s="344"/>
      <c r="J440" s="334"/>
      <c r="K440" s="335"/>
      <c r="L440" s="336"/>
      <c r="M440" s="336"/>
      <c r="N440" s="337"/>
      <c r="O440" s="337"/>
      <c r="P440" s="315"/>
      <c r="Q440" s="314"/>
      <c r="R440" s="317"/>
      <c r="S440" s="315"/>
      <c r="T440" s="315"/>
      <c r="U440" s="315"/>
      <c r="V440" s="258"/>
      <c r="W440" s="322"/>
      <c r="X440" s="318"/>
      <c r="Y440" s="315"/>
      <c r="Z440" s="318"/>
      <c r="AA440" s="314"/>
      <c r="AB440" s="336"/>
      <c r="AC440" s="314"/>
      <c r="AD440" s="316"/>
      <c r="AE440" s="315"/>
      <c r="AF440" s="315"/>
      <c r="AG440" s="315"/>
      <c r="AH440" s="315"/>
      <c r="AI440" s="377"/>
      <c r="AJ440" s="407"/>
      <c r="AK440" s="377"/>
      <c r="AL440" s="314"/>
      <c r="AM440" s="314"/>
      <c r="AN440" s="314"/>
      <c r="AO440" s="315"/>
      <c r="AP440" s="257"/>
      <c r="AQ440" s="257"/>
      <c r="AR440" s="257"/>
      <c r="AS440" s="315"/>
      <c r="AT440" s="257"/>
      <c r="AU440" s="257"/>
      <c r="AV440" s="316"/>
      <c r="AW440" s="314"/>
      <c r="AX440" s="315"/>
      <c r="AY440" s="315"/>
      <c r="AZ440" s="315"/>
      <c r="BA440" s="315"/>
      <c r="BB440" s="315"/>
      <c r="BC440" s="315"/>
      <c r="BD440" s="319"/>
      <c r="BE440" s="319"/>
      <c r="BF440" s="319"/>
      <c r="BG440" s="319"/>
      <c r="BH440" s="319"/>
      <c r="BI440" s="319"/>
      <c r="BJ440" s="319"/>
      <c r="BK440" s="315"/>
      <c r="BL440" s="316"/>
      <c r="BM440" s="314"/>
      <c r="BN440" s="319"/>
      <c r="BO440" s="315"/>
      <c r="BP440" s="314"/>
      <c r="BQ440" s="316"/>
      <c r="BR440" s="314"/>
      <c r="BS440" s="262"/>
      <c r="BT440" s="262"/>
    </row>
    <row r="441" spans="1:72" ht="45.75" customHeight="1">
      <c r="A441" s="342"/>
      <c r="B441" s="342"/>
      <c r="C441" s="342"/>
      <c r="D441" s="343"/>
      <c r="E441" s="342"/>
      <c r="F441" s="342"/>
      <c r="G441" s="344"/>
      <c r="H441" s="344"/>
      <c r="I441" s="344"/>
      <c r="J441" s="334"/>
      <c r="K441" s="335"/>
      <c r="L441" s="336"/>
      <c r="M441" s="336"/>
      <c r="N441" s="337"/>
      <c r="O441" s="337"/>
      <c r="P441" s="315"/>
      <c r="Q441" s="314"/>
      <c r="R441" s="317"/>
      <c r="S441" s="315"/>
      <c r="T441" s="315"/>
      <c r="U441" s="315"/>
      <c r="V441" s="258"/>
      <c r="W441" s="322"/>
      <c r="X441" s="318"/>
      <c r="Y441" s="315"/>
      <c r="Z441" s="318"/>
      <c r="AA441" s="314"/>
      <c r="AB441" s="336"/>
      <c r="AC441" s="314"/>
      <c r="AD441" s="316"/>
      <c r="AE441" s="315"/>
      <c r="AF441" s="315"/>
      <c r="AG441" s="315"/>
      <c r="AH441" s="315"/>
      <c r="AI441" s="377"/>
      <c r="AJ441" s="407"/>
      <c r="AK441" s="377"/>
      <c r="AL441" s="314"/>
      <c r="AM441" s="314"/>
      <c r="AN441" s="314"/>
      <c r="AO441" s="315"/>
      <c r="AP441" s="257"/>
      <c r="AQ441" s="257"/>
      <c r="AR441" s="257"/>
      <c r="AS441" s="315"/>
      <c r="AT441" s="257"/>
      <c r="AU441" s="257"/>
      <c r="AV441" s="316"/>
      <c r="AW441" s="314"/>
      <c r="AX441" s="315"/>
      <c r="AY441" s="315"/>
      <c r="AZ441" s="315"/>
      <c r="BA441" s="315"/>
      <c r="BB441" s="315"/>
      <c r="BC441" s="315"/>
      <c r="BD441" s="319"/>
      <c r="BE441" s="319"/>
      <c r="BF441" s="319"/>
      <c r="BG441" s="319"/>
      <c r="BH441" s="319"/>
      <c r="BI441" s="319"/>
      <c r="BJ441" s="319"/>
      <c r="BK441" s="315"/>
      <c r="BL441" s="316"/>
      <c r="BM441" s="314"/>
      <c r="BN441" s="319"/>
      <c r="BO441" s="315"/>
      <c r="BP441" s="314"/>
      <c r="BQ441" s="316"/>
      <c r="BR441" s="314"/>
      <c r="BS441" s="262"/>
      <c r="BT441" s="262"/>
    </row>
    <row r="442" spans="1:72" ht="45.75" customHeight="1">
      <c r="A442" s="342"/>
      <c r="B442" s="342"/>
      <c r="C442" s="342"/>
      <c r="D442" s="343"/>
      <c r="E442" s="342"/>
      <c r="F442" s="342"/>
      <c r="G442" s="344"/>
      <c r="H442" s="344"/>
      <c r="I442" s="344"/>
      <c r="J442" s="334"/>
      <c r="K442" s="335"/>
      <c r="L442" s="336"/>
      <c r="M442" s="336"/>
      <c r="N442" s="337"/>
      <c r="O442" s="337"/>
      <c r="P442" s="315"/>
      <c r="Q442" s="314"/>
      <c r="R442" s="317"/>
      <c r="S442" s="315"/>
      <c r="T442" s="315"/>
      <c r="U442" s="315"/>
      <c r="V442" s="258"/>
      <c r="W442" s="322"/>
      <c r="X442" s="318"/>
      <c r="Y442" s="315"/>
      <c r="Z442" s="318"/>
      <c r="AA442" s="314"/>
      <c r="AB442" s="336"/>
      <c r="AC442" s="314"/>
      <c r="AD442" s="316"/>
      <c r="AE442" s="315"/>
      <c r="AF442" s="315"/>
      <c r="AG442" s="315"/>
      <c r="AH442" s="315"/>
      <c r="AI442" s="377"/>
      <c r="AJ442" s="407"/>
      <c r="AK442" s="377"/>
      <c r="AL442" s="314"/>
      <c r="AM442" s="314"/>
      <c r="AN442" s="314"/>
      <c r="AO442" s="315"/>
      <c r="AP442" s="257"/>
      <c r="AQ442" s="257"/>
      <c r="AR442" s="257"/>
      <c r="AS442" s="315"/>
      <c r="AT442" s="257"/>
      <c r="AU442" s="257"/>
      <c r="AV442" s="316"/>
      <c r="AW442" s="314"/>
      <c r="AX442" s="315"/>
      <c r="AY442" s="315"/>
      <c r="AZ442" s="315"/>
      <c r="BA442" s="315"/>
      <c r="BB442" s="315"/>
      <c r="BC442" s="315"/>
      <c r="BD442" s="319"/>
      <c r="BE442" s="319"/>
      <c r="BF442" s="319"/>
      <c r="BG442" s="319"/>
      <c r="BH442" s="319"/>
      <c r="BI442" s="319"/>
      <c r="BJ442" s="319"/>
      <c r="BK442" s="315"/>
      <c r="BL442" s="316"/>
      <c r="BM442" s="314"/>
      <c r="BN442" s="319"/>
      <c r="BO442" s="315"/>
      <c r="BP442" s="314"/>
      <c r="BQ442" s="316"/>
      <c r="BR442" s="314"/>
      <c r="BS442" s="262"/>
      <c r="BT442" s="262"/>
    </row>
    <row r="443" spans="1:72" ht="45.75" customHeight="1">
      <c r="A443" s="342"/>
      <c r="B443" s="342"/>
      <c r="C443" s="342"/>
      <c r="D443" s="343"/>
      <c r="E443" s="342"/>
      <c r="F443" s="342"/>
      <c r="G443" s="344"/>
      <c r="H443" s="344"/>
      <c r="I443" s="344"/>
      <c r="J443" s="334"/>
      <c r="K443" s="335"/>
      <c r="L443" s="336"/>
      <c r="M443" s="336"/>
      <c r="N443" s="337"/>
      <c r="O443" s="337"/>
      <c r="P443" s="315"/>
      <c r="Q443" s="314"/>
      <c r="R443" s="317"/>
      <c r="S443" s="315"/>
      <c r="T443" s="315"/>
      <c r="U443" s="315"/>
      <c r="V443" s="258"/>
      <c r="W443" s="322"/>
      <c r="X443" s="318"/>
      <c r="Y443" s="315"/>
      <c r="Z443" s="318"/>
      <c r="AA443" s="314"/>
      <c r="AB443" s="336"/>
      <c r="AC443" s="314"/>
      <c r="AD443" s="316"/>
      <c r="AE443" s="315"/>
      <c r="AF443" s="315"/>
      <c r="AG443" s="315"/>
      <c r="AH443" s="315"/>
      <c r="AI443" s="377"/>
      <c r="AJ443" s="407"/>
      <c r="AK443" s="377"/>
      <c r="AL443" s="314"/>
      <c r="AM443" s="314"/>
      <c r="AN443" s="314"/>
      <c r="AO443" s="315"/>
      <c r="AP443" s="257"/>
      <c r="AQ443" s="257"/>
      <c r="AR443" s="257"/>
      <c r="AS443" s="315"/>
      <c r="AT443" s="257"/>
      <c r="AU443" s="257"/>
      <c r="AV443" s="316"/>
      <c r="AW443" s="314"/>
      <c r="AX443" s="315"/>
      <c r="AY443" s="315"/>
      <c r="AZ443" s="315"/>
      <c r="BA443" s="315"/>
      <c r="BB443" s="315"/>
      <c r="BC443" s="315"/>
      <c r="BD443" s="319"/>
      <c r="BE443" s="319"/>
      <c r="BF443" s="319"/>
      <c r="BG443" s="319"/>
      <c r="BH443" s="319"/>
      <c r="BI443" s="319"/>
      <c r="BJ443" s="319"/>
      <c r="BK443" s="315"/>
      <c r="BL443" s="316"/>
      <c r="BM443" s="314"/>
      <c r="BN443" s="319"/>
      <c r="BO443" s="315"/>
      <c r="BP443" s="314"/>
      <c r="BQ443" s="316"/>
      <c r="BR443" s="314"/>
      <c r="BS443" s="262"/>
      <c r="BT443" s="262"/>
    </row>
    <row r="444" spans="1:72" ht="45.75" customHeight="1">
      <c r="A444" s="342"/>
      <c r="B444" s="342"/>
      <c r="C444" s="342"/>
      <c r="D444" s="343"/>
      <c r="E444" s="342"/>
      <c r="F444" s="342"/>
      <c r="G444" s="344"/>
      <c r="H444" s="344"/>
      <c r="I444" s="344"/>
      <c r="J444" s="334"/>
      <c r="K444" s="335"/>
      <c r="L444" s="336"/>
      <c r="M444" s="336"/>
      <c r="N444" s="337"/>
      <c r="O444" s="337"/>
      <c r="P444" s="315"/>
      <c r="Q444" s="314"/>
      <c r="R444" s="317"/>
      <c r="S444" s="315"/>
      <c r="T444" s="315"/>
      <c r="U444" s="315"/>
      <c r="V444" s="258"/>
      <c r="W444" s="322"/>
      <c r="X444" s="318"/>
      <c r="Y444" s="315"/>
      <c r="Z444" s="318"/>
      <c r="AA444" s="314"/>
      <c r="AB444" s="336"/>
      <c r="AC444" s="314"/>
      <c r="AD444" s="316"/>
      <c r="AE444" s="315"/>
      <c r="AF444" s="315"/>
      <c r="AG444" s="315"/>
      <c r="AH444" s="315"/>
      <c r="AI444" s="377"/>
      <c r="AJ444" s="407"/>
      <c r="AK444" s="377"/>
      <c r="AL444" s="314"/>
      <c r="AM444" s="314"/>
      <c r="AN444" s="314"/>
      <c r="AO444" s="315"/>
      <c r="AP444" s="257"/>
      <c r="AQ444" s="257"/>
      <c r="AR444" s="257"/>
      <c r="AS444" s="315"/>
      <c r="AT444" s="257"/>
      <c r="AU444" s="257"/>
      <c r="AV444" s="316"/>
      <c r="AW444" s="314"/>
      <c r="AX444" s="315"/>
      <c r="AY444" s="315"/>
      <c r="AZ444" s="315"/>
      <c r="BA444" s="315"/>
      <c r="BB444" s="315"/>
      <c r="BC444" s="315"/>
      <c r="BD444" s="319"/>
      <c r="BE444" s="319"/>
      <c r="BF444" s="319"/>
      <c r="BG444" s="319"/>
      <c r="BH444" s="319"/>
      <c r="BI444" s="319"/>
      <c r="BJ444" s="319"/>
      <c r="BK444" s="315"/>
      <c r="BL444" s="316"/>
      <c r="BM444" s="314"/>
      <c r="BN444" s="319"/>
      <c r="BO444" s="315"/>
      <c r="BP444" s="314"/>
      <c r="BQ444" s="316"/>
      <c r="BR444" s="314"/>
      <c r="BS444" s="262"/>
      <c r="BT444" s="262"/>
    </row>
    <row r="445" spans="1:72" ht="45.75" customHeight="1">
      <c r="A445" s="342"/>
      <c r="B445" s="342"/>
      <c r="C445" s="342"/>
      <c r="D445" s="343"/>
      <c r="E445" s="342"/>
      <c r="F445" s="342"/>
      <c r="G445" s="344"/>
      <c r="H445" s="344"/>
      <c r="I445" s="344"/>
      <c r="J445" s="334"/>
      <c r="K445" s="335"/>
      <c r="L445" s="336"/>
      <c r="M445" s="336"/>
      <c r="N445" s="337"/>
      <c r="O445" s="337"/>
      <c r="P445" s="315"/>
      <c r="Q445" s="314"/>
      <c r="R445" s="317"/>
      <c r="S445" s="315"/>
      <c r="T445" s="315"/>
      <c r="U445" s="315"/>
      <c r="V445" s="258"/>
      <c r="W445" s="322"/>
      <c r="X445" s="318"/>
      <c r="Y445" s="315"/>
      <c r="Z445" s="318"/>
      <c r="AA445" s="314"/>
      <c r="AB445" s="336"/>
      <c r="AC445" s="314"/>
      <c r="AD445" s="316"/>
      <c r="AE445" s="315"/>
      <c r="AF445" s="315"/>
      <c r="AG445" s="315"/>
      <c r="AH445" s="315"/>
      <c r="AI445" s="377"/>
      <c r="AJ445" s="407"/>
      <c r="AK445" s="377"/>
      <c r="AL445" s="314"/>
      <c r="AM445" s="314"/>
      <c r="AN445" s="314"/>
      <c r="AO445" s="315"/>
      <c r="AP445" s="257"/>
      <c r="AQ445" s="257"/>
      <c r="AR445" s="257"/>
      <c r="AS445" s="315"/>
      <c r="AT445" s="257"/>
      <c r="AU445" s="257"/>
      <c r="AV445" s="316"/>
      <c r="AW445" s="314"/>
      <c r="AX445" s="315"/>
      <c r="AY445" s="315"/>
      <c r="AZ445" s="315"/>
      <c r="BA445" s="315"/>
      <c r="BB445" s="315"/>
      <c r="BC445" s="315"/>
      <c r="BD445" s="319"/>
      <c r="BE445" s="319"/>
      <c r="BF445" s="319"/>
      <c r="BG445" s="319"/>
      <c r="BH445" s="319"/>
      <c r="BI445" s="319"/>
      <c r="BJ445" s="319"/>
      <c r="BK445" s="315"/>
      <c r="BL445" s="316"/>
      <c r="BM445" s="314"/>
      <c r="BN445" s="319"/>
      <c r="BO445" s="315"/>
      <c r="BP445" s="314"/>
      <c r="BQ445" s="316"/>
      <c r="BR445" s="314"/>
      <c r="BS445" s="262"/>
      <c r="BT445" s="262"/>
    </row>
    <row r="446" spans="1:72" ht="45.75" customHeight="1">
      <c r="A446" s="342"/>
      <c r="B446" s="342"/>
      <c r="C446" s="342"/>
      <c r="D446" s="343"/>
      <c r="E446" s="342"/>
      <c r="F446" s="342"/>
      <c r="G446" s="344"/>
      <c r="H446" s="344"/>
      <c r="I446" s="344"/>
      <c r="J446" s="334"/>
      <c r="K446" s="335"/>
      <c r="L446" s="336"/>
      <c r="M446" s="336"/>
      <c r="N446" s="337"/>
      <c r="O446" s="337"/>
      <c r="P446" s="315"/>
      <c r="Q446" s="314"/>
      <c r="R446" s="317"/>
      <c r="S446" s="315"/>
      <c r="T446" s="315"/>
      <c r="U446" s="315"/>
      <c r="V446" s="258"/>
      <c r="W446" s="322"/>
      <c r="X446" s="318"/>
      <c r="Y446" s="315"/>
      <c r="Z446" s="318"/>
      <c r="AA446" s="314"/>
      <c r="AB446" s="336"/>
      <c r="AC446" s="314"/>
      <c r="AD446" s="316"/>
      <c r="AE446" s="315"/>
      <c r="AF446" s="315"/>
      <c r="AG446" s="315"/>
      <c r="AH446" s="315"/>
      <c r="AI446" s="377"/>
      <c r="AJ446" s="407"/>
      <c r="AK446" s="377"/>
      <c r="AL446" s="314"/>
      <c r="AM446" s="314"/>
      <c r="AN446" s="314"/>
      <c r="AO446" s="315"/>
      <c r="AP446" s="257"/>
      <c r="AQ446" s="257"/>
      <c r="AR446" s="257"/>
      <c r="AS446" s="315"/>
      <c r="AT446" s="257"/>
      <c r="AU446" s="257"/>
      <c r="AV446" s="316"/>
      <c r="AW446" s="314"/>
      <c r="AX446" s="315"/>
      <c r="AY446" s="315"/>
      <c r="AZ446" s="315"/>
      <c r="BA446" s="315"/>
      <c r="BB446" s="315"/>
      <c r="BC446" s="315"/>
      <c r="BD446" s="319"/>
      <c r="BE446" s="319"/>
      <c r="BF446" s="319"/>
      <c r="BG446" s="319"/>
      <c r="BH446" s="319"/>
      <c r="BI446" s="319"/>
      <c r="BJ446" s="319"/>
      <c r="BK446" s="315"/>
      <c r="BL446" s="316"/>
      <c r="BM446" s="314"/>
      <c r="BN446" s="319"/>
      <c r="BO446" s="315"/>
      <c r="BP446" s="314"/>
      <c r="BQ446" s="316"/>
      <c r="BR446" s="314"/>
      <c r="BS446" s="262"/>
      <c r="BT446" s="262"/>
    </row>
    <row r="447" spans="1:72" ht="45.75" customHeight="1">
      <c r="A447" s="342"/>
      <c r="B447" s="342"/>
      <c r="C447" s="342"/>
      <c r="D447" s="343"/>
      <c r="E447" s="342"/>
      <c r="F447" s="342"/>
      <c r="G447" s="344"/>
      <c r="H447" s="344"/>
      <c r="I447" s="344"/>
      <c r="J447" s="334"/>
      <c r="K447" s="335"/>
      <c r="L447" s="336"/>
      <c r="M447" s="336"/>
      <c r="N447" s="337"/>
      <c r="O447" s="337"/>
      <c r="P447" s="315"/>
      <c r="Q447" s="314"/>
      <c r="R447" s="317"/>
      <c r="S447" s="315"/>
      <c r="T447" s="315"/>
      <c r="U447" s="315"/>
      <c r="V447" s="258"/>
      <c r="W447" s="322"/>
      <c r="X447" s="318"/>
      <c r="Y447" s="315"/>
      <c r="Z447" s="318"/>
      <c r="AA447" s="314"/>
      <c r="AB447" s="336"/>
      <c r="AC447" s="314"/>
      <c r="AD447" s="316"/>
      <c r="AE447" s="315"/>
      <c r="AF447" s="315"/>
      <c r="AG447" s="315"/>
      <c r="AH447" s="315"/>
      <c r="AI447" s="377"/>
      <c r="AJ447" s="407"/>
      <c r="AK447" s="377"/>
      <c r="AL447" s="314"/>
      <c r="AM447" s="314"/>
      <c r="AN447" s="314"/>
      <c r="AO447" s="315"/>
      <c r="AP447" s="257"/>
      <c r="AQ447" s="257"/>
      <c r="AR447" s="257"/>
      <c r="AS447" s="315"/>
      <c r="AT447" s="257"/>
      <c r="AU447" s="257"/>
      <c r="AV447" s="316"/>
      <c r="AW447" s="314"/>
      <c r="AX447" s="315"/>
      <c r="AY447" s="315"/>
      <c r="AZ447" s="315"/>
      <c r="BA447" s="315"/>
      <c r="BB447" s="315"/>
      <c r="BC447" s="315"/>
      <c r="BD447" s="319"/>
      <c r="BE447" s="319"/>
      <c r="BF447" s="319"/>
      <c r="BG447" s="319"/>
      <c r="BH447" s="319"/>
      <c r="BI447" s="319"/>
      <c r="BJ447" s="319"/>
      <c r="BK447" s="315"/>
      <c r="BL447" s="316"/>
      <c r="BM447" s="314"/>
      <c r="BN447" s="319"/>
      <c r="BO447" s="315"/>
      <c r="BP447" s="314"/>
      <c r="BQ447" s="316"/>
      <c r="BR447" s="314"/>
      <c r="BS447" s="262"/>
      <c r="BT447" s="262"/>
    </row>
    <row r="448" spans="1:72" ht="45.75" customHeight="1">
      <c r="A448" s="342"/>
      <c r="B448" s="342"/>
      <c r="C448" s="342"/>
      <c r="D448" s="343"/>
      <c r="E448" s="342"/>
      <c r="F448" s="342"/>
      <c r="G448" s="344"/>
      <c r="H448" s="344"/>
      <c r="I448" s="344"/>
      <c r="J448" s="334"/>
      <c r="K448" s="335"/>
      <c r="L448" s="336"/>
      <c r="M448" s="336"/>
      <c r="N448" s="337"/>
      <c r="O448" s="337"/>
      <c r="P448" s="315"/>
      <c r="Q448" s="314"/>
      <c r="R448" s="317"/>
      <c r="S448" s="315"/>
      <c r="T448" s="315"/>
      <c r="U448" s="315"/>
      <c r="V448" s="258"/>
      <c r="W448" s="322"/>
      <c r="X448" s="318"/>
      <c r="Y448" s="315"/>
      <c r="Z448" s="318"/>
      <c r="AA448" s="314"/>
      <c r="AB448" s="336"/>
      <c r="AC448" s="314"/>
      <c r="AD448" s="316"/>
      <c r="AE448" s="315"/>
      <c r="AF448" s="315"/>
      <c r="AG448" s="315"/>
      <c r="AH448" s="315"/>
      <c r="AI448" s="377"/>
      <c r="AJ448" s="407"/>
      <c r="AK448" s="377"/>
      <c r="AL448" s="314"/>
      <c r="AM448" s="314"/>
      <c r="AN448" s="314"/>
      <c r="AO448" s="315"/>
      <c r="AP448" s="257"/>
      <c r="AQ448" s="257"/>
      <c r="AR448" s="257"/>
      <c r="AS448" s="315"/>
      <c r="AT448" s="257"/>
      <c r="AU448" s="257"/>
      <c r="AV448" s="316"/>
      <c r="AW448" s="314"/>
      <c r="AX448" s="315"/>
      <c r="AY448" s="315"/>
      <c r="AZ448" s="315"/>
      <c r="BA448" s="315"/>
      <c r="BB448" s="315"/>
      <c r="BC448" s="315"/>
      <c r="BD448" s="319"/>
      <c r="BE448" s="319"/>
      <c r="BF448" s="319"/>
      <c r="BG448" s="319"/>
      <c r="BH448" s="319"/>
      <c r="BI448" s="319"/>
      <c r="BJ448" s="319"/>
      <c r="BK448" s="315"/>
      <c r="BL448" s="316"/>
      <c r="BM448" s="314"/>
      <c r="BN448" s="319"/>
      <c r="BO448" s="315"/>
      <c r="BP448" s="314"/>
      <c r="BQ448" s="316"/>
      <c r="BR448" s="314"/>
      <c r="BS448" s="262"/>
      <c r="BT448" s="262"/>
    </row>
    <row r="449" spans="1:72" ht="45.75" customHeight="1">
      <c r="A449" s="342"/>
      <c r="B449" s="342"/>
      <c r="C449" s="342"/>
      <c r="D449" s="343"/>
      <c r="E449" s="342"/>
      <c r="F449" s="342"/>
      <c r="G449" s="344"/>
      <c r="H449" s="344"/>
      <c r="I449" s="344"/>
      <c r="J449" s="334"/>
      <c r="K449" s="335"/>
      <c r="L449" s="336"/>
      <c r="M449" s="336"/>
      <c r="N449" s="337"/>
      <c r="O449" s="337"/>
      <c r="P449" s="315"/>
      <c r="Q449" s="314"/>
      <c r="R449" s="317"/>
      <c r="S449" s="315"/>
      <c r="T449" s="315"/>
      <c r="U449" s="315"/>
      <c r="V449" s="258"/>
      <c r="W449" s="322"/>
      <c r="X449" s="318"/>
      <c r="Y449" s="315"/>
      <c r="Z449" s="318"/>
      <c r="AA449" s="314"/>
      <c r="AB449" s="336"/>
      <c r="AC449" s="314"/>
      <c r="AD449" s="316"/>
      <c r="AE449" s="315"/>
      <c r="AF449" s="315"/>
      <c r="AG449" s="315"/>
      <c r="AH449" s="315"/>
      <c r="AI449" s="377"/>
      <c r="AJ449" s="407"/>
      <c r="AK449" s="377"/>
      <c r="AL449" s="314"/>
      <c r="AM449" s="314"/>
      <c r="AN449" s="314"/>
      <c r="AO449" s="315"/>
      <c r="AP449" s="257"/>
      <c r="AQ449" s="257"/>
      <c r="AR449" s="257"/>
      <c r="AS449" s="315"/>
      <c r="AT449" s="257"/>
      <c r="AU449" s="257"/>
      <c r="AV449" s="316"/>
      <c r="AW449" s="314"/>
      <c r="AX449" s="315"/>
      <c r="AY449" s="315"/>
      <c r="AZ449" s="315"/>
      <c r="BA449" s="315"/>
      <c r="BB449" s="315"/>
      <c r="BC449" s="315"/>
      <c r="BD449" s="319"/>
      <c r="BE449" s="319"/>
      <c r="BF449" s="319"/>
      <c r="BG449" s="319"/>
      <c r="BH449" s="319"/>
      <c r="BI449" s="319"/>
      <c r="BJ449" s="319"/>
      <c r="BK449" s="315"/>
      <c r="BL449" s="316"/>
      <c r="BM449" s="314"/>
      <c r="BN449" s="319"/>
      <c r="BO449" s="315"/>
      <c r="BP449" s="314"/>
      <c r="BQ449" s="316"/>
      <c r="BR449" s="314"/>
      <c r="BS449" s="262"/>
      <c r="BT449" s="262"/>
    </row>
    <row r="450" spans="1:72" ht="45.75" customHeight="1">
      <c r="A450" s="342"/>
      <c r="B450" s="342"/>
      <c r="C450" s="342"/>
      <c r="D450" s="343"/>
      <c r="E450" s="342"/>
      <c r="F450" s="342"/>
      <c r="G450" s="344"/>
      <c r="H450" s="344"/>
      <c r="I450" s="344"/>
      <c r="J450" s="334"/>
      <c r="K450" s="335"/>
      <c r="L450" s="336"/>
      <c r="M450" s="336"/>
      <c r="N450" s="337"/>
      <c r="O450" s="337"/>
      <c r="P450" s="315"/>
      <c r="Q450" s="314"/>
      <c r="R450" s="317"/>
      <c r="S450" s="315"/>
      <c r="T450" s="315"/>
      <c r="U450" s="315"/>
      <c r="V450" s="258"/>
      <c r="W450" s="322"/>
      <c r="X450" s="318"/>
      <c r="Y450" s="315"/>
      <c r="Z450" s="318"/>
      <c r="AA450" s="314"/>
      <c r="AB450" s="336"/>
      <c r="AC450" s="314"/>
      <c r="AD450" s="316"/>
      <c r="AE450" s="315"/>
      <c r="AF450" s="315"/>
      <c r="AG450" s="315"/>
      <c r="AH450" s="315"/>
      <c r="AI450" s="377"/>
      <c r="AJ450" s="407"/>
      <c r="AK450" s="377"/>
      <c r="AL450" s="314"/>
      <c r="AM450" s="314"/>
      <c r="AN450" s="314"/>
      <c r="AO450" s="315"/>
      <c r="AP450" s="257"/>
      <c r="AQ450" s="257"/>
      <c r="AR450" s="257"/>
      <c r="AS450" s="315"/>
      <c r="AT450" s="257"/>
      <c r="AU450" s="257"/>
      <c r="AV450" s="316"/>
      <c r="AW450" s="314"/>
      <c r="AX450" s="315"/>
      <c r="AY450" s="315"/>
      <c r="AZ450" s="315"/>
      <c r="BA450" s="315"/>
      <c r="BB450" s="315"/>
      <c r="BC450" s="315"/>
      <c r="BD450" s="319"/>
      <c r="BE450" s="319"/>
      <c r="BF450" s="319"/>
      <c r="BG450" s="319"/>
      <c r="BH450" s="319"/>
      <c r="BI450" s="319"/>
      <c r="BJ450" s="319"/>
      <c r="BK450" s="315"/>
      <c r="BL450" s="316"/>
      <c r="BM450" s="314"/>
      <c r="BN450" s="319"/>
      <c r="BO450" s="315"/>
      <c r="BP450" s="314"/>
      <c r="BQ450" s="316"/>
      <c r="BR450" s="314"/>
      <c r="BS450" s="262"/>
      <c r="BT450" s="262"/>
    </row>
    <row r="451" spans="1:72" ht="45.75" customHeight="1">
      <c r="A451" s="342"/>
      <c r="B451" s="342"/>
      <c r="C451" s="342"/>
      <c r="D451" s="343"/>
      <c r="E451" s="342"/>
      <c r="F451" s="342"/>
      <c r="G451" s="344"/>
      <c r="H451" s="344"/>
      <c r="I451" s="344"/>
      <c r="J451" s="334"/>
      <c r="K451" s="335"/>
      <c r="L451" s="336"/>
      <c r="M451" s="336"/>
      <c r="N451" s="337"/>
      <c r="O451" s="337"/>
      <c r="P451" s="315"/>
      <c r="Q451" s="314"/>
      <c r="R451" s="317"/>
      <c r="S451" s="315"/>
      <c r="T451" s="315"/>
      <c r="U451" s="315"/>
      <c r="V451" s="258"/>
      <c r="W451" s="322"/>
      <c r="X451" s="318"/>
      <c r="Y451" s="315"/>
      <c r="Z451" s="318"/>
      <c r="AA451" s="314"/>
      <c r="AB451" s="336"/>
      <c r="AC451" s="314"/>
      <c r="AD451" s="316"/>
      <c r="AE451" s="315"/>
      <c r="AF451" s="315"/>
      <c r="AG451" s="315"/>
      <c r="AH451" s="315"/>
      <c r="AI451" s="377"/>
      <c r="AJ451" s="407"/>
      <c r="AK451" s="377"/>
      <c r="AL451" s="314"/>
      <c r="AM451" s="314"/>
      <c r="AN451" s="314"/>
      <c r="AO451" s="315"/>
      <c r="AP451" s="257"/>
      <c r="AQ451" s="257"/>
      <c r="AR451" s="257"/>
      <c r="AS451" s="315"/>
      <c r="AT451" s="257"/>
      <c r="AU451" s="257"/>
      <c r="AV451" s="316"/>
      <c r="AW451" s="314"/>
      <c r="AX451" s="315"/>
      <c r="AY451" s="315"/>
      <c r="AZ451" s="315"/>
      <c r="BA451" s="315"/>
      <c r="BB451" s="315"/>
      <c r="BC451" s="315"/>
      <c r="BD451" s="319"/>
      <c r="BE451" s="319"/>
      <c r="BF451" s="319"/>
      <c r="BG451" s="319"/>
      <c r="BH451" s="319"/>
      <c r="BI451" s="319"/>
      <c r="BJ451" s="319"/>
      <c r="BK451" s="315"/>
      <c r="BL451" s="316"/>
      <c r="BM451" s="314"/>
      <c r="BN451" s="319"/>
      <c r="BO451" s="315"/>
      <c r="BP451" s="314"/>
      <c r="BQ451" s="316"/>
      <c r="BR451" s="314"/>
      <c r="BS451" s="262"/>
      <c r="BT451" s="262"/>
    </row>
    <row r="452" spans="1:72" ht="45.75" customHeight="1">
      <c r="A452" s="342"/>
      <c r="B452" s="342"/>
      <c r="C452" s="342"/>
      <c r="D452" s="343"/>
      <c r="E452" s="342"/>
      <c r="F452" s="342"/>
      <c r="G452" s="344"/>
      <c r="H452" s="344"/>
      <c r="I452" s="344"/>
      <c r="J452" s="334"/>
      <c r="K452" s="335"/>
      <c r="L452" s="336"/>
      <c r="M452" s="336"/>
      <c r="N452" s="337"/>
      <c r="O452" s="337"/>
      <c r="P452" s="315"/>
      <c r="Q452" s="314"/>
      <c r="R452" s="317"/>
      <c r="S452" s="315"/>
      <c r="T452" s="315"/>
      <c r="U452" s="315"/>
      <c r="V452" s="258"/>
      <c r="W452" s="322"/>
      <c r="X452" s="318"/>
      <c r="Y452" s="315"/>
      <c r="Z452" s="318"/>
      <c r="AA452" s="314"/>
      <c r="AB452" s="336"/>
      <c r="AC452" s="314"/>
      <c r="AD452" s="316"/>
      <c r="AE452" s="315"/>
      <c r="AF452" s="315"/>
      <c r="AG452" s="315"/>
      <c r="AH452" s="315"/>
      <c r="AI452" s="377"/>
      <c r="AJ452" s="407"/>
      <c r="AK452" s="377"/>
      <c r="AL452" s="314"/>
      <c r="AM452" s="314"/>
      <c r="AN452" s="314"/>
      <c r="AO452" s="315"/>
      <c r="AP452" s="257"/>
      <c r="AQ452" s="257"/>
      <c r="AR452" s="257"/>
      <c r="AS452" s="315"/>
      <c r="AT452" s="257"/>
      <c r="AU452" s="257"/>
      <c r="AV452" s="316"/>
      <c r="AW452" s="314"/>
      <c r="AX452" s="315"/>
      <c r="AY452" s="315"/>
      <c r="AZ452" s="315"/>
      <c r="BA452" s="315"/>
      <c r="BB452" s="315"/>
      <c r="BC452" s="315"/>
      <c r="BD452" s="319"/>
      <c r="BE452" s="319"/>
      <c r="BF452" s="319"/>
      <c r="BG452" s="319"/>
      <c r="BH452" s="319"/>
      <c r="BI452" s="319"/>
      <c r="BJ452" s="319"/>
      <c r="BK452" s="315"/>
      <c r="BL452" s="316"/>
      <c r="BM452" s="314"/>
      <c r="BN452" s="319"/>
      <c r="BO452" s="315"/>
      <c r="BP452" s="314"/>
      <c r="BQ452" s="316"/>
      <c r="BR452" s="314"/>
      <c r="BS452" s="262"/>
      <c r="BT452" s="262"/>
    </row>
    <row r="453" spans="1:72" ht="45.75" customHeight="1">
      <c r="A453" s="342"/>
      <c r="B453" s="342"/>
      <c r="C453" s="342"/>
      <c r="D453" s="343"/>
      <c r="E453" s="342"/>
      <c r="F453" s="342"/>
      <c r="G453" s="344"/>
      <c r="H453" s="344"/>
      <c r="I453" s="344"/>
      <c r="J453" s="334"/>
      <c r="K453" s="335"/>
      <c r="L453" s="336"/>
      <c r="M453" s="336"/>
      <c r="N453" s="337"/>
      <c r="O453" s="337"/>
      <c r="P453" s="315"/>
      <c r="Q453" s="314"/>
      <c r="R453" s="317"/>
      <c r="S453" s="315"/>
      <c r="T453" s="315"/>
      <c r="U453" s="315"/>
      <c r="V453" s="258"/>
      <c r="W453" s="322"/>
      <c r="X453" s="318"/>
      <c r="Y453" s="315"/>
      <c r="Z453" s="318"/>
      <c r="AA453" s="314"/>
      <c r="AB453" s="336"/>
      <c r="AC453" s="314"/>
      <c r="AD453" s="316"/>
      <c r="AE453" s="315"/>
      <c r="AF453" s="315"/>
      <c r="AG453" s="315"/>
      <c r="AH453" s="315"/>
      <c r="AI453" s="377"/>
      <c r="AJ453" s="407"/>
      <c r="AK453" s="377"/>
      <c r="AL453" s="314"/>
      <c r="AM453" s="314"/>
      <c r="AN453" s="314"/>
      <c r="AO453" s="315"/>
      <c r="AP453" s="257"/>
      <c r="AQ453" s="257"/>
      <c r="AR453" s="257"/>
      <c r="AS453" s="315"/>
      <c r="AT453" s="257"/>
      <c r="AU453" s="257"/>
      <c r="AV453" s="316"/>
      <c r="AW453" s="314"/>
      <c r="AX453" s="315"/>
      <c r="AY453" s="315"/>
      <c r="AZ453" s="315"/>
      <c r="BA453" s="315"/>
      <c r="BB453" s="315"/>
      <c r="BC453" s="315"/>
      <c r="BD453" s="319"/>
      <c r="BE453" s="319"/>
      <c r="BF453" s="319"/>
      <c r="BG453" s="319"/>
      <c r="BH453" s="319"/>
      <c r="BI453" s="319"/>
      <c r="BJ453" s="319"/>
      <c r="BK453" s="315"/>
      <c r="BL453" s="316"/>
      <c r="BM453" s="314"/>
      <c r="BN453" s="319"/>
      <c r="BO453" s="315"/>
      <c r="BP453" s="314"/>
      <c r="BQ453" s="316"/>
      <c r="BR453" s="314"/>
      <c r="BS453" s="262"/>
      <c r="BT453" s="262"/>
    </row>
    <row r="454" spans="1:72" ht="45.75" customHeight="1">
      <c r="A454" s="342"/>
      <c r="B454" s="342"/>
      <c r="C454" s="342"/>
      <c r="D454" s="343"/>
      <c r="E454" s="342"/>
      <c r="F454" s="342"/>
      <c r="G454" s="344"/>
      <c r="H454" s="344"/>
      <c r="I454" s="344"/>
      <c r="J454" s="334"/>
      <c r="K454" s="335"/>
      <c r="L454" s="336"/>
      <c r="M454" s="336"/>
      <c r="N454" s="337"/>
      <c r="O454" s="337"/>
      <c r="P454" s="315"/>
      <c r="Q454" s="314"/>
      <c r="R454" s="317"/>
      <c r="S454" s="315"/>
      <c r="T454" s="315"/>
      <c r="U454" s="315"/>
      <c r="V454" s="258"/>
      <c r="W454" s="322"/>
      <c r="X454" s="318"/>
      <c r="Y454" s="315"/>
      <c r="Z454" s="318"/>
      <c r="AA454" s="314"/>
      <c r="AB454" s="336"/>
      <c r="AC454" s="314"/>
      <c r="AD454" s="316"/>
      <c r="AE454" s="315"/>
      <c r="AF454" s="315"/>
      <c r="AG454" s="315"/>
      <c r="AH454" s="315"/>
      <c r="AI454" s="377"/>
      <c r="AJ454" s="407"/>
      <c r="AK454" s="377"/>
      <c r="AL454" s="314"/>
      <c r="AM454" s="314"/>
      <c r="AN454" s="314"/>
      <c r="AO454" s="315"/>
      <c r="AP454" s="257"/>
      <c r="AQ454" s="257"/>
      <c r="AR454" s="257"/>
      <c r="AS454" s="315"/>
      <c r="AT454" s="257"/>
      <c r="AU454" s="257"/>
      <c r="AV454" s="316"/>
      <c r="AW454" s="314"/>
      <c r="AX454" s="315"/>
      <c r="AY454" s="315"/>
      <c r="AZ454" s="315"/>
      <c r="BA454" s="315"/>
      <c r="BB454" s="315"/>
      <c r="BC454" s="315"/>
      <c r="BD454" s="319"/>
      <c r="BE454" s="319"/>
      <c r="BF454" s="319"/>
      <c r="BG454" s="319"/>
      <c r="BH454" s="319"/>
      <c r="BI454" s="319"/>
      <c r="BJ454" s="319"/>
      <c r="BK454" s="315"/>
      <c r="BL454" s="316"/>
      <c r="BM454" s="314"/>
      <c r="BN454" s="319"/>
      <c r="BO454" s="315"/>
      <c r="BP454" s="314"/>
      <c r="BQ454" s="316"/>
      <c r="BR454" s="314"/>
      <c r="BS454" s="262"/>
      <c r="BT454" s="262"/>
    </row>
    <row r="455" spans="1:72" ht="45.75" customHeight="1">
      <c r="A455" s="342"/>
      <c r="B455" s="342"/>
      <c r="C455" s="342"/>
      <c r="D455" s="343"/>
      <c r="E455" s="342"/>
      <c r="F455" s="342"/>
      <c r="G455" s="344"/>
      <c r="H455" s="344"/>
      <c r="I455" s="344"/>
      <c r="J455" s="334"/>
      <c r="K455" s="335"/>
      <c r="L455" s="336"/>
      <c r="M455" s="336"/>
      <c r="N455" s="337"/>
      <c r="O455" s="337"/>
      <c r="P455" s="315"/>
      <c r="Q455" s="314"/>
      <c r="R455" s="317"/>
      <c r="S455" s="315"/>
      <c r="T455" s="315"/>
      <c r="U455" s="315"/>
      <c r="V455" s="258"/>
      <c r="W455" s="322"/>
      <c r="X455" s="318"/>
      <c r="Y455" s="315"/>
      <c r="Z455" s="318"/>
      <c r="AA455" s="314"/>
      <c r="AB455" s="336"/>
      <c r="AC455" s="314"/>
      <c r="AD455" s="316"/>
      <c r="AE455" s="315"/>
      <c r="AF455" s="315"/>
      <c r="AG455" s="315"/>
      <c r="AH455" s="315"/>
      <c r="AI455" s="377"/>
      <c r="AJ455" s="407"/>
      <c r="AK455" s="377"/>
      <c r="AL455" s="314"/>
      <c r="AM455" s="314"/>
      <c r="AN455" s="314"/>
      <c r="AO455" s="315"/>
      <c r="AP455" s="257"/>
      <c r="AQ455" s="257"/>
      <c r="AR455" s="257"/>
      <c r="AS455" s="315"/>
      <c r="AT455" s="257"/>
      <c r="AU455" s="257"/>
      <c r="AV455" s="316"/>
      <c r="AW455" s="314"/>
      <c r="AX455" s="315"/>
      <c r="AY455" s="315"/>
      <c r="AZ455" s="315"/>
      <c r="BA455" s="315"/>
      <c r="BB455" s="315"/>
      <c r="BC455" s="315"/>
      <c r="BD455" s="319"/>
      <c r="BE455" s="319"/>
      <c r="BF455" s="319"/>
      <c r="BG455" s="319"/>
      <c r="BH455" s="319"/>
      <c r="BI455" s="319"/>
      <c r="BJ455" s="319"/>
      <c r="BK455" s="315"/>
      <c r="BL455" s="316"/>
      <c r="BM455" s="314"/>
      <c r="BN455" s="319"/>
      <c r="BO455" s="315"/>
      <c r="BP455" s="314"/>
      <c r="BQ455" s="316"/>
      <c r="BR455" s="314"/>
      <c r="BS455" s="262"/>
      <c r="BT455" s="262"/>
    </row>
    <row r="456" spans="1:72" ht="45.75" customHeight="1">
      <c r="A456" s="342"/>
      <c r="B456" s="342"/>
      <c r="C456" s="342"/>
      <c r="D456" s="343"/>
      <c r="E456" s="342"/>
      <c r="F456" s="342"/>
      <c r="G456" s="344"/>
      <c r="H456" s="344"/>
      <c r="I456" s="344"/>
      <c r="J456" s="334"/>
      <c r="K456" s="335"/>
      <c r="L456" s="336"/>
      <c r="M456" s="336"/>
      <c r="N456" s="337"/>
      <c r="O456" s="337"/>
      <c r="P456" s="315"/>
      <c r="Q456" s="314"/>
      <c r="R456" s="317"/>
      <c r="S456" s="315"/>
      <c r="T456" s="315"/>
      <c r="U456" s="315"/>
      <c r="V456" s="258"/>
      <c r="W456" s="322"/>
      <c r="X456" s="318"/>
      <c r="Y456" s="315"/>
      <c r="Z456" s="318"/>
      <c r="AA456" s="314"/>
      <c r="AB456" s="336"/>
      <c r="AC456" s="314"/>
      <c r="AD456" s="316"/>
      <c r="AE456" s="315"/>
      <c r="AF456" s="315"/>
      <c r="AG456" s="315"/>
      <c r="AH456" s="315"/>
      <c r="AI456" s="377"/>
      <c r="AJ456" s="407"/>
      <c r="AK456" s="377"/>
      <c r="AL456" s="314"/>
      <c r="AM456" s="314"/>
      <c r="AN456" s="314"/>
      <c r="AO456" s="315"/>
      <c r="AP456" s="257"/>
      <c r="AQ456" s="257"/>
      <c r="AR456" s="257"/>
      <c r="AS456" s="315"/>
      <c r="AT456" s="257"/>
      <c r="AU456" s="257"/>
      <c r="AV456" s="316"/>
      <c r="AW456" s="314"/>
      <c r="AX456" s="315"/>
      <c r="AY456" s="315"/>
      <c r="AZ456" s="315"/>
      <c r="BA456" s="315"/>
      <c r="BB456" s="315"/>
      <c r="BC456" s="315"/>
      <c r="BD456" s="319"/>
      <c r="BE456" s="319"/>
      <c r="BF456" s="319"/>
      <c r="BG456" s="319"/>
      <c r="BH456" s="319"/>
      <c r="BI456" s="319"/>
      <c r="BJ456" s="319"/>
      <c r="BK456" s="315"/>
      <c r="BL456" s="316"/>
      <c r="BM456" s="314"/>
      <c r="BN456" s="319"/>
      <c r="BO456" s="315"/>
      <c r="BP456" s="314"/>
      <c r="BQ456" s="316"/>
      <c r="BR456" s="314"/>
      <c r="BS456" s="262"/>
      <c r="BT456" s="262"/>
    </row>
    <row r="457" spans="1:72" ht="45.75" customHeight="1">
      <c r="A457" s="342"/>
      <c r="B457" s="342"/>
      <c r="C457" s="342"/>
      <c r="D457" s="343"/>
      <c r="E457" s="342"/>
      <c r="F457" s="342"/>
      <c r="G457" s="344"/>
      <c r="H457" s="344"/>
      <c r="I457" s="344"/>
      <c r="J457" s="334"/>
      <c r="K457" s="335"/>
      <c r="L457" s="336"/>
      <c r="M457" s="336"/>
      <c r="N457" s="337"/>
      <c r="O457" s="337"/>
      <c r="P457" s="315"/>
      <c r="Q457" s="314"/>
      <c r="R457" s="317"/>
      <c r="S457" s="315"/>
      <c r="T457" s="315"/>
      <c r="U457" s="315"/>
      <c r="V457" s="258"/>
      <c r="W457" s="322"/>
      <c r="X457" s="318"/>
      <c r="Y457" s="315"/>
      <c r="Z457" s="318"/>
      <c r="AA457" s="314"/>
      <c r="AB457" s="336"/>
      <c r="AC457" s="314"/>
      <c r="AD457" s="316"/>
      <c r="AE457" s="315"/>
      <c r="AF457" s="315"/>
      <c r="AG457" s="315"/>
      <c r="AH457" s="315"/>
      <c r="AI457" s="377"/>
      <c r="AJ457" s="407"/>
      <c r="AK457" s="377"/>
      <c r="AL457" s="314"/>
      <c r="AM457" s="314"/>
      <c r="AN457" s="314"/>
      <c r="AO457" s="315"/>
      <c r="AP457" s="257"/>
      <c r="AQ457" s="257"/>
      <c r="AR457" s="257"/>
      <c r="AS457" s="315"/>
      <c r="AT457" s="257"/>
      <c r="AU457" s="257"/>
      <c r="AV457" s="316"/>
      <c r="AW457" s="314"/>
      <c r="AX457" s="315"/>
      <c r="AY457" s="315"/>
      <c r="AZ457" s="315"/>
      <c r="BA457" s="315"/>
      <c r="BB457" s="315"/>
      <c r="BC457" s="315"/>
      <c r="BD457" s="319"/>
      <c r="BE457" s="319"/>
      <c r="BF457" s="319"/>
      <c r="BG457" s="319"/>
      <c r="BH457" s="319"/>
      <c r="BI457" s="319"/>
      <c r="BJ457" s="319"/>
      <c r="BK457" s="315"/>
      <c r="BL457" s="316"/>
      <c r="BM457" s="314"/>
      <c r="BN457" s="319"/>
      <c r="BO457" s="315"/>
      <c r="BP457" s="314"/>
      <c r="BQ457" s="316"/>
      <c r="BR457" s="314"/>
      <c r="BS457" s="262"/>
      <c r="BT457" s="262"/>
    </row>
    <row r="458" spans="1:72" ht="45.75" customHeight="1">
      <c r="A458" s="342"/>
      <c r="B458" s="342"/>
      <c r="C458" s="342"/>
      <c r="D458" s="343"/>
      <c r="E458" s="342"/>
      <c r="F458" s="342"/>
      <c r="G458" s="344"/>
      <c r="H458" s="344"/>
      <c r="I458" s="344"/>
      <c r="J458" s="334"/>
      <c r="K458" s="335"/>
      <c r="L458" s="336"/>
      <c r="M458" s="336"/>
      <c r="N458" s="337"/>
      <c r="O458" s="337"/>
      <c r="P458" s="315"/>
      <c r="Q458" s="314"/>
      <c r="R458" s="317"/>
      <c r="S458" s="315"/>
      <c r="T458" s="315"/>
      <c r="U458" s="315"/>
      <c r="V458" s="258"/>
      <c r="W458" s="322"/>
      <c r="X458" s="318"/>
      <c r="Y458" s="315"/>
      <c r="Z458" s="318"/>
      <c r="AA458" s="314"/>
      <c r="AB458" s="336"/>
      <c r="AC458" s="314"/>
      <c r="AD458" s="316"/>
      <c r="AE458" s="315"/>
      <c r="AF458" s="315"/>
      <c r="AG458" s="315"/>
      <c r="AH458" s="315"/>
      <c r="AI458" s="377"/>
      <c r="AJ458" s="407"/>
      <c r="AK458" s="377"/>
      <c r="AL458" s="314"/>
      <c r="AM458" s="314"/>
      <c r="AN458" s="314"/>
      <c r="AO458" s="315"/>
      <c r="AP458" s="257"/>
      <c r="AQ458" s="257"/>
      <c r="AR458" s="257"/>
      <c r="AS458" s="315"/>
      <c r="AT458" s="257"/>
      <c r="AU458" s="257"/>
      <c r="AV458" s="316"/>
      <c r="AW458" s="314"/>
      <c r="AX458" s="315"/>
      <c r="AY458" s="315"/>
      <c r="AZ458" s="315"/>
      <c r="BA458" s="315"/>
      <c r="BB458" s="315"/>
      <c r="BC458" s="315"/>
      <c r="BD458" s="319"/>
      <c r="BE458" s="319"/>
      <c r="BF458" s="319"/>
      <c r="BG458" s="319"/>
      <c r="BH458" s="319"/>
      <c r="BI458" s="319"/>
      <c r="BJ458" s="319"/>
      <c r="BK458" s="315"/>
      <c r="BL458" s="316"/>
      <c r="BM458" s="314"/>
      <c r="BN458" s="319"/>
      <c r="BO458" s="315"/>
      <c r="BP458" s="314"/>
      <c r="BQ458" s="316"/>
      <c r="BR458" s="314"/>
      <c r="BS458" s="262"/>
      <c r="BT458" s="262"/>
    </row>
    <row r="459" spans="1:72" ht="45.75" customHeight="1">
      <c r="A459" s="342"/>
      <c r="B459" s="342"/>
      <c r="C459" s="342"/>
      <c r="D459" s="343"/>
      <c r="E459" s="342"/>
      <c r="F459" s="342"/>
      <c r="G459" s="344"/>
      <c r="H459" s="344"/>
      <c r="I459" s="344"/>
      <c r="J459" s="334"/>
      <c r="K459" s="335"/>
      <c r="L459" s="336"/>
      <c r="M459" s="336"/>
      <c r="N459" s="337"/>
      <c r="O459" s="337"/>
      <c r="P459" s="315"/>
      <c r="Q459" s="314"/>
      <c r="R459" s="317"/>
      <c r="S459" s="315"/>
      <c r="T459" s="315"/>
      <c r="U459" s="315"/>
      <c r="V459" s="258"/>
      <c r="W459" s="322"/>
      <c r="X459" s="318"/>
      <c r="Y459" s="315"/>
      <c r="Z459" s="318"/>
      <c r="AA459" s="314"/>
      <c r="AB459" s="336"/>
      <c r="AC459" s="314"/>
      <c r="AD459" s="316"/>
      <c r="AE459" s="315"/>
      <c r="AF459" s="315"/>
      <c r="AG459" s="315"/>
      <c r="AH459" s="315"/>
      <c r="AI459" s="377"/>
      <c r="AJ459" s="407"/>
      <c r="AK459" s="377"/>
      <c r="AL459" s="314"/>
      <c r="AM459" s="314"/>
      <c r="AN459" s="314"/>
      <c r="AO459" s="315"/>
      <c r="AP459" s="257"/>
      <c r="AQ459" s="257"/>
      <c r="AR459" s="257"/>
      <c r="AS459" s="315"/>
      <c r="AT459" s="257"/>
      <c r="AU459" s="257"/>
      <c r="AV459" s="316"/>
      <c r="AW459" s="314"/>
      <c r="AX459" s="315"/>
      <c r="AY459" s="315"/>
      <c r="AZ459" s="315"/>
      <c r="BA459" s="315"/>
      <c r="BB459" s="315"/>
      <c r="BC459" s="315"/>
      <c r="BD459" s="319"/>
      <c r="BE459" s="319"/>
      <c r="BF459" s="319"/>
      <c r="BG459" s="319"/>
      <c r="BH459" s="319"/>
      <c r="BI459" s="319"/>
      <c r="BJ459" s="319"/>
      <c r="BK459" s="315"/>
      <c r="BL459" s="316"/>
      <c r="BM459" s="314"/>
      <c r="BN459" s="319"/>
      <c r="BO459" s="315"/>
      <c r="BP459" s="314"/>
      <c r="BQ459" s="316"/>
      <c r="BR459" s="314"/>
      <c r="BS459" s="262"/>
      <c r="BT459" s="262"/>
    </row>
    <row r="460" spans="1:72" ht="45.75" customHeight="1">
      <c r="A460" s="342"/>
      <c r="B460" s="342"/>
      <c r="C460" s="342"/>
      <c r="D460" s="343"/>
      <c r="E460" s="342"/>
      <c r="F460" s="342"/>
      <c r="G460" s="344"/>
      <c r="H460" s="344"/>
      <c r="I460" s="344"/>
      <c r="J460" s="334"/>
      <c r="K460" s="335"/>
      <c r="L460" s="336"/>
      <c r="M460" s="336"/>
      <c r="N460" s="337"/>
      <c r="O460" s="337"/>
      <c r="P460" s="315"/>
      <c r="Q460" s="314"/>
      <c r="R460" s="317"/>
      <c r="S460" s="315"/>
      <c r="T460" s="315"/>
      <c r="U460" s="315"/>
      <c r="V460" s="258"/>
      <c r="W460" s="322"/>
      <c r="X460" s="318"/>
      <c r="Y460" s="315"/>
      <c r="Z460" s="318"/>
      <c r="AA460" s="314"/>
      <c r="AB460" s="336"/>
      <c r="AC460" s="314"/>
      <c r="AD460" s="316"/>
      <c r="AE460" s="315"/>
      <c r="AF460" s="315"/>
      <c r="AG460" s="315"/>
      <c r="AH460" s="315"/>
      <c r="AI460" s="377"/>
      <c r="AJ460" s="407"/>
      <c r="AK460" s="377"/>
      <c r="AL460" s="314"/>
      <c r="AM460" s="314"/>
      <c r="AN460" s="314"/>
      <c r="AO460" s="315"/>
      <c r="AP460" s="257"/>
      <c r="AQ460" s="257"/>
      <c r="AR460" s="257"/>
      <c r="AS460" s="315"/>
      <c r="AT460" s="257"/>
      <c r="AU460" s="257"/>
      <c r="AV460" s="316"/>
      <c r="AW460" s="314"/>
      <c r="AX460" s="315"/>
      <c r="AY460" s="315"/>
      <c r="AZ460" s="315"/>
      <c r="BA460" s="315"/>
      <c r="BB460" s="315"/>
      <c r="BC460" s="315"/>
      <c r="BD460" s="319"/>
      <c r="BE460" s="319"/>
      <c r="BF460" s="319"/>
      <c r="BG460" s="319"/>
      <c r="BH460" s="319"/>
      <c r="BI460" s="319"/>
      <c r="BJ460" s="319"/>
      <c r="BK460" s="315"/>
      <c r="BL460" s="316"/>
      <c r="BM460" s="314"/>
      <c r="BN460" s="319"/>
      <c r="BO460" s="315"/>
      <c r="BP460" s="314"/>
      <c r="BQ460" s="316"/>
      <c r="BR460" s="314"/>
      <c r="BS460" s="262"/>
      <c r="BT460" s="262"/>
    </row>
    <row r="461" spans="1:72" ht="45.75" customHeight="1">
      <c r="A461" s="342"/>
      <c r="B461" s="342"/>
      <c r="C461" s="342"/>
      <c r="D461" s="343"/>
      <c r="E461" s="342"/>
      <c r="F461" s="342"/>
      <c r="G461" s="344"/>
      <c r="H461" s="344"/>
      <c r="I461" s="344"/>
      <c r="J461" s="334"/>
      <c r="K461" s="335"/>
      <c r="L461" s="336"/>
      <c r="M461" s="336"/>
      <c r="N461" s="337"/>
      <c r="O461" s="337"/>
      <c r="P461" s="315"/>
      <c r="Q461" s="314"/>
      <c r="R461" s="317"/>
      <c r="S461" s="315"/>
      <c r="T461" s="315"/>
      <c r="U461" s="315"/>
      <c r="V461" s="258"/>
      <c r="W461" s="322"/>
      <c r="X461" s="318"/>
      <c r="Y461" s="315"/>
      <c r="Z461" s="318"/>
      <c r="AA461" s="314"/>
      <c r="AB461" s="336"/>
      <c r="AC461" s="314"/>
      <c r="AD461" s="316"/>
      <c r="AE461" s="315"/>
      <c r="AF461" s="315"/>
      <c r="AG461" s="315"/>
      <c r="AH461" s="315"/>
      <c r="AI461" s="377"/>
      <c r="AJ461" s="407"/>
      <c r="AK461" s="377"/>
      <c r="AL461" s="314"/>
      <c r="AM461" s="314"/>
      <c r="AN461" s="314"/>
      <c r="AO461" s="315"/>
      <c r="AP461" s="257"/>
      <c r="AQ461" s="257"/>
      <c r="AR461" s="257"/>
      <c r="AS461" s="315"/>
      <c r="AT461" s="257"/>
      <c r="AU461" s="257"/>
      <c r="AV461" s="316"/>
      <c r="AW461" s="314"/>
      <c r="AX461" s="315"/>
      <c r="AY461" s="315"/>
      <c r="AZ461" s="315"/>
      <c r="BA461" s="315"/>
      <c r="BB461" s="315"/>
      <c r="BC461" s="315"/>
      <c r="BD461" s="319"/>
      <c r="BE461" s="319"/>
      <c r="BF461" s="319"/>
      <c r="BG461" s="319"/>
      <c r="BH461" s="319"/>
      <c r="BI461" s="319"/>
      <c r="BJ461" s="319"/>
      <c r="BK461" s="315"/>
      <c r="BL461" s="316"/>
      <c r="BM461" s="314"/>
      <c r="BN461" s="319"/>
      <c r="BO461" s="315"/>
      <c r="BP461" s="314"/>
      <c r="BQ461" s="316"/>
      <c r="BR461" s="314"/>
      <c r="BS461" s="262"/>
      <c r="BT461" s="262"/>
    </row>
    <row r="462" spans="1:72" ht="45.75" customHeight="1">
      <c r="A462" s="342"/>
      <c r="B462" s="342"/>
      <c r="C462" s="342"/>
      <c r="D462" s="343"/>
      <c r="E462" s="342"/>
      <c r="F462" s="342"/>
      <c r="G462" s="344"/>
      <c r="H462" s="344"/>
      <c r="I462" s="344"/>
      <c r="J462" s="334"/>
      <c r="K462" s="335"/>
      <c r="L462" s="336"/>
      <c r="M462" s="336"/>
      <c r="N462" s="337"/>
      <c r="O462" s="337"/>
      <c r="P462" s="315"/>
      <c r="Q462" s="314"/>
      <c r="R462" s="317"/>
      <c r="S462" s="315"/>
      <c r="T462" s="315"/>
      <c r="U462" s="315"/>
      <c r="V462" s="258"/>
      <c r="W462" s="322"/>
      <c r="X462" s="318"/>
      <c r="Y462" s="315"/>
      <c r="Z462" s="318"/>
      <c r="AA462" s="314"/>
      <c r="AB462" s="336"/>
      <c r="AC462" s="314"/>
      <c r="AD462" s="316"/>
      <c r="AE462" s="315"/>
      <c r="AF462" s="315"/>
      <c r="AG462" s="315"/>
      <c r="AH462" s="315"/>
      <c r="AI462" s="377"/>
      <c r="AJ462" s="407"/>
      <c r="AK462" s="377"/>
      <c r="AL462" s="314"/>
      <c r="AM462" s="314"/>
      <c r="AN462" s="314"/>
      <c r="AO462" s="315"/>
      <c r="AP462" s="257"/>
      <c r="AQ462" s="257"/>
      <c r="AR462" s="257"/>
      <c r="AS462" s="315"/>
      <c r="AT462" s="257"/>
      <c r="AU462" s="257"/>
      <c r="AV462" s="316"/>
      <c r="AW462" s="314"/>
      <c r="AX462" s="315"/>
      <c r="AY462" s="315"/>
      <c r="AZ462" s="315"/>
      <c r="BA462" s="315"/>
      <c r="BB462" s="315"/>
      <c r="BC462" s="315"/>
      <c r="BD462" s="319"/>
      <c r="BE462" s="319"/>
      <c r="BF462" s="319"/>
      <c r="BG462" s="319"/>
      <c r="BH462" s="319"/>
      <c r="BI462" s="319"/>
      <c r="BJ462" s="319"/>
      <c r="BK462" s="315"/>
      <c r="BL462" s="316"/>
      <c r="BM462" s="314"/>
      <c r="BN462" s="319"/>
      <c r="BO462" s="315"/>
      <c r="BP462" s="314"/>
      <c r="BQ462" s="316"/>
      <c r="BR462" s="314"/>
      <c r="BS462" s="262"/>
      <c r="BT462" s="262"/>
    </row>
    <row r="463" spans="1:72" ht="45.75" customHeight="1">
      <c r="A463" s="342"/>
      <c r="B463" s="342"/>
      <c r="C463" s="342"/>
      <c r="D463" s="343"/>
      <c r="E463" s="342"/>
      <c r="F463" s="342"/>
      <c r="G463" s="344"/>
      <c r="H463" s="344"/>
      <c r="I463" s="344"/>
      <c r="J463" s="334"/>
      <c r="K463" s="335"/>
      <c r="L463" s="336"/>
      <c r="M463" s="336"/>
      <c r="N463" s="337"/>
      <c r="O463" s="337"/>
      <c r="P463" s="315"/>
      <c r="Q463" s="314"/>
      <c r="R463" s="317"/>
      <c r="S463" s="315"/>
      <c r="T463" s="315"/>
      <c r="U463" s="315"/>
      <c r="V463" s="258"/>
      <c r="W463" s="322"/>
      <c r="X463" s="318"/>
      <c r="Y463" s="315"/>
      <c r="Z463" s="318"/>
      <c r="AA463" s="314"/>
      <c r="AB463" s="336"/>
      <c r="AC463" s="314"/>
      <c r="AD463" s="316"/>
      <c r="AE463" s="315"/>
      <c r="AF463" s="315"/>
      <c r="AG463" s="315"/>
      <c r="AH463" s="315"/>
      <c r="AI463" s="377"/>
      <c r="AJ463" s="407"/>
      <c r="AK463" s="377"/>
      <c r="AL463" s="314"/>
      <c r="AM463" s="314"/>
      <c r="AN463" s="314"/>
      <c r="AO463" s="315"/>
      <c r="AP463" s="257"/>
      <c r="AQ463" s="257"/>
      <c r="AR463" s="257"/>
      <c r="AS463" s="315"/>
      <c r="AT463" s="257"/>
      <c r="AU463" s="257"/>
      <c r="AV463" s="316"/>
      <c r="AW463" s="314"/>
      <c r="AX463" s="315"/>
      <c r="AY463" s="315"/>
      <c r="AZ463" s="315"/>
      <c r="BA463" s="315"/>
      <c r="BB463" s="315"/>
      <c r="BC463" s="315"/>
      <c r="BD463" s="319"/>
      <c r="BE463" s="319"/>
      <c r="BF463" s="319"/>
      <c r="BG463" s="319"/>
      <c r="BH463" s="319"/>
      <c r="BI463" s="319"/>
      <c r="BJ463" s="319"/>
      <c r="BK463" s="315"/>
      <c r="BL463" s="316"/>
      <c r="BM463" s="314"/>
      <c r="BN463" s="319"/>
      <c r="BO463" s="315"/>
      <c r="BP463" s="314"/>
      <c r="BQ463" s="316"/>
      <c r="BR463" s="314"/>
      <c r="BS463" s="262"/>
      <c r="BT463" s="262"/>
    </row>
    <row r="464" spans="1:72" ht="45.75" customHeight="1">
      <c r="A464" s="342"/>
      <c r="B464" s="342"/>
      <c r="C464" s="342"/>
      <c r="D464" s="343"/>
      <c r="E464" s="342"/>
      <c r="F464" s="342"/>
      <c r="G464" s="344"/>
      <c r="H464" s="344"/>
      <c r="I464" s="344"/>
      <c r="J464" s="334"/>
      <c r="K464" s="335"/>
      <c r="L464" s="336"/>
      <c r="M464" s="336"/>
      <c r="N464" s="337"/>
      <c r="O464" s="337"/>
      <c r="P464" s="315"/>
      <c r="Q464" s="314"/>
      <c r="R464" s="317"/>
      <c r="S464" s="315"/>
      <c r="T464" s="315"/>
      <c r="U464" s="315"/>
      <c r="V464" s="258"/>
      <c r="W464" s="322"/>
      <c r="X464" s="318"/>
      <c r="Y464" s="315"/>
      <c r="Z464" s="318"/>
      <c r="AA464" s="314"/>
      <c r="AB464" s="336"/>
      <c r="AC464" s="314"/>
      <c r="AD464" s="316"/>
      <c r="AE464" s="315"/>
      <c r="AF464" s="315"/>
      <c r="AG464" s="315"/>
      <c r="AH464" s="315"/>
      <c r="AI464" s="377"/>
      <c r="AJ464" s="407"/>
      <c r="AK464" s="377"/>
      <c r="AL464" s="314"/>
      <c r="AM464" s="314"/>
      <c r="AN464" s="314"/>
      <c r="AO464" s="315"/>
      <c r="AP464" s="257"/>
      <c r="AQ464" s="257"/>
      <c r="AR464" s="257"/>
      <c r="AS464" s="315"/>
      <c r="AT464" s="257"/>
      <c r="AU464" s="257"/>
      <c r="AV464" s="316"/>
      <c r="AW464" s="314"/>
      <c r="AX464" s="315"/>
      <c r="AY464" s="315"/>
      <c r="AZ464" s="315"/>
      <c r="BA464" s="315"/>
      <c r="BB464" s="315"/>
      <c r="BC464" s="315"/>
      <c r="BD464" s="319"/>
      <c r="BE464" s="319"/>
      <c r="BF464" s="319"/>
      <c r="BG464" s="319"/>
      <c r="BH464" s="319"/>
      <c r="BI464" s="319"/>
      <c r="BJ464" s="319"/>
      <c r="BK464" s="315"/>
      <c r="BL464" s="316"/>
      <c r="BM464" s="314"/>
      <c r="BN464" s="319"/>
      <c r="BO464" s="315"/>
      <c r="BP464" s="314"/>
      <c r="BQ464" s="316"/>
      <c r="BR464" s="314"/>
      <c r="BS464" s="262"/>
      <c r="BT464" s="262"/>
    </row>
    <row r="465" spans="1:72" ht="45.75" customHeight="1">
      <c r="A465" s="342"/>
      <c r="B465" s="342"/>
      <c r="C465" s="342"/>
      <c r="D465" s="343"/>
      <c r="E465" s="342"/>
      <c r="F465" s="342"/>
      <c r="G465" s="344"/>
      <c r="H465" s="344"/>
      <c r="I465" s="344"/>
      <c r="J465" s="334"/>
      <c r="K465" s="335"/>
      <c r="L465" s="336"/>
      <c r="M465" s="336"/>
      <c r="N465" s="337"/>
      <c r="O465" s="337"/>
      <c r="P465" s="315"/>
      <c r="Q465" s="314"/>
      <c r="R465" s="317"/>
      <c r="S465" s="315"/>
      <c r="T465" s="315"/>
      <c r="U465" s="315"/>
      <c r="V465" s="258"/>
      <c r="W465" s="322"/>
      <c r="X465" s="318"/>
      <c r="Y465" s="315"/>
      <c r="Z465" s="318"/>
      <c r="AA465" s="314"/>
      <c r="AB465" s="336"/>
      <c r="AC465" s="314"/>
      <c r="AD465" s="316"/>
      <c r="AE465" s="315"/>
      <c r="AF465" s="315"/>
      <c r="AG465" s="315"/>
      <c r="AH465" s="315"/>
      <c r="AI465" s="377"/>
      <c r="AJ465" s="407"/>
      <c r="AK465" s="377"/>
      <c r="AL465" s="314"/>
      <c r="AM465" s="314"/>
      <c r="AN465" s="314"/>
      <c r="AO465" s="315"/>
      <c r="AP465" s="257"/>
      <c r="AQ465" s="257"/>
      <c r="AR465" s="257"/>
      <c r="AS465" s="315"/>
      <c r="AT465" s="257"/>
      <c r="AU465" s="257"/>
      <c r="AV465" s="316"/>
      <c r="AW465" s="314"/>
      <c r="AX465" s="315"/>
      <c r="AY465" s="315"/>
      <c r="AZ465" s="315"/>
      <c r="BA465" s="315"/>
      <c r="BB465" s="315"/>
      <c r="BC465" s="315"/>
      <c r="BD465" s="319"/>
      <c r="BE465" s="319"/>
      <c r="BF465" s="319"/>
      <c r="BG465" s="319"/>
      <c r="BH465" s="319"/>
      <c r="BI465" s="319"/>
      <c r="BJ465" s="319"/>
      <c r="BK465" s="315"/>
      <c r="BL465" s="316"/>
      <c r="BM465" s="314"/>
      <c r="BN465" s="319"/>
      <c r="BO465" s="315"/>
      <c r="BP465" s="314"/>
      <c r="BQ465" s="316"/>
      <c r="BR465" s="314"/>
      <c r="BS465" s="262"/>
      <c r="BT465" s="262"/>
    </row>
    <row r="466" spans="1:72" ht="45.75" customHeight="1">
      <c r="A466" s="342"/>
      <c r="B466" s="342"/>
      <c r="C466" s="342"/>
      <c r="D466" s="343"/>
      <c r="E466" s="342"/>
      <c r="F466" s="342"/>
      <c r="G466" s="344"/>
      <c r="H466" s="344"/>
      <c r="I466" s="344"/>
      <c r="J466" s="334"/>
      <c r="K466" s="335"/>
      <c r="L466" s="336"/>
      <c r="M466" s="336"/>
      <c r="N466" s="337"/>
      <c r="O466" s="337"/>
      <c r="P466" s="315"/>
      <c r="Q466" s="314"/>
      <c r="R466" s="317"/>
      <c r="S466" s="315"/>
      <c r="T466" s="315"/>
      <c r="U466" s="315"/>
      <c r="V466" s="258"/>
      <c r="W466" s="322"/>
      <c r="X466" s="318"/>
      <c r="Y466" s="315"/>
      <c r="Z466" s="318"/>
      <c r="AA466" s="314"/>
      <c r="AB466" s="336"/>
      <c r="AC466" s="314"/>
      <c r="AD466" s="316"/>
      <c r="AE466" s="315"/>
      <c r="AF466" s="315"/>
      <c r="AG466" s="315"/>
      <c r="AH466" s="315"/>
      <c r="AI466" s="377"/>
      <c r="AJ466" s="407"/>
      <c r="AK466" s="377"/>
      <c r="AL466" s="314"/>
      <c r="AM466" s="314"/>
      <c r="AN466" s="314"/>
      <c r="AO466" s="315"/>
      <c r="AP466" s="257"/>
      <c r="AQ466" s="257"/>
      <c r="AR466" s="257"/>
      <c r="AS466" s="315"/>
      <c r="AT466" s="257"/>
      <c r="AU466" s="257"/>
      <c r="AV466" s="316"/>
      <c r="AW466" s="314"/>
      <c r="AX466" s="315"/>
      <c r="AY466" s="315"/>
      <c r="AZ466" s="315"/>
      <c r="BA466" s="315"/>
      <c r="BB466" s="315"/>
      <c r="BC466" s="315"/>
      <c r="BD466" s="319"/>
      <c r="BE466" s="319"/>
      <c r="BF466" s="319"/>
      <c r="BG466" s="319"/>
      <c r="BH466" s="319"/>
      <c r="BI466" s="319"/>
      <c r="BJ466" s="319"/>
      <c r="BK466" s="315"/>
      <c r="BL466" s="316"/>
      <c r="BM466" s="314"/>
      <c r="BN466" s="319"/>
      <c r="BO466" s="315"/>
      <c r="BP466" s="314"/>
      <c r="BQ466" s="316"/>
      <c r="BR466" s="314"/>
      <c r="BS466" s="262"/>
      <c r="BT466" s="262"/>
    </row>
    <row r="467" spans="1:72" ht="45.75" customHeight="1">
      <c r="A467" s="342"/>
      <c r="B467" s="342"/>
      <c r="C467" s="342"/>
      <c r="D467" s="343"/>
      <c r="E467" s="342"/>
      <c r="F467" s="342"/>
      <c r="G467" s="344"/>
      <c r="H467" s="344"/>
      <c r="I467" s="344"/>
      <c r="J467" s="334"/>
      <c r="K467" s="335"/>
      <c r="L467" s="336"/>
      <c r="M467" s="336"/>
      <c r="N467" s="337"/>
      <c r="O467" s="337"/>
      <c r="P467" s="315"/>
      <c r="Q467" s="314"/>
      <c r="R467" s="317"/>
      <c r="S467" s="315"/>
      <c r="T467" s="315"/>
      <c r="U467" s="315"/>
      <c r="V467" s="258"/>
      <c r="W467" s="322"/>
      <c r="X467" s="318"/>
      <c r="Y467" s="315"/>
      <c r="Z467" s="318"/>
      <c r="AA467" s="314"/>
      <c r="AB467" s="336"/>
      <c r="AC467" s="314"/>
      <c r="AD467" s="316"/>
      <c r="AE467" s="315"/>
      <c r="AF467" s="315"/>
      <c r="AG467" s="315"/>
      <c r="AH467" s="315"/>
      <c r="AI467" s="377"/>
      <c r="AJ467" s="407"/>
      <c r="AK467" s="377"/>
      <c r="AL467" s="314"/>
      <c r="AM467" s="314"/>
      <c r="AN467" s="314"/>
      <c r="AO467" s="315"/>
      <c r="AP467" s="257"/>
      <c r="AQ467" s="257"/>
      <c r="AR467" s="257"/>
      <c r="AS467" s="315"/>
      <c r="AT467" s="257"/>
      <c r="AU467" s="257"/>
      <c r="AV467" s="316"/>
      <c r="AW467" s="314"/>
      <c r="AX467" s="315"/>
      <c r="AY467" s="315"/>
      <c r="AZ467" s="315"/>
      <c r="BA467" s="315"/>
      <c r="BB467" s="315"/>
      <c r="BC467" s="315"/>
      <c r="BD467" s="319"/>
      <c r="BE467" s="319"/>
      <c r="BF467" s="319"/>
      <c r="BG467" s="319"/>
      <c r="BH467" s="319"/>
      <c r="BI467" s="319"/>
      <c r="BJ467" s="319"/>
      <c r="BK467" s="315"/>
      <c r="BL467" s="316"/>
      <c r="BM467" s="314"/>
      <c r="BN467" s="319"/>
      <c r="BO467" s="315"/>
      <c r="BP467" s="314"/>
      <c r="BQ467" s="316"/>
      <c r="BR467" s="314"/>
      <c r="BS467" s="262"/>
      <c r="BT467" s="262"/>
    </row>
    <row r="468" spans="1:72" ht="45.75" customHeight="1">
      <c r="A468" s="342"/>
      <c r="B468" s="342"/>
      <c r="C468" s="342"/>
      <c r="D468" s="343"/>
      <c r="E468" s="342"/>
      <c r="F468" s="342"/>
      <c r="G468" s="344"/>
      <c r="H468" s="344"/>
      <c r="I468" s="344"/>
      <c r="J468" s="334"/>
      <c r="K468" s="335"/>
      <c r="L468" s="336"/>
      <c r="M468" s="336"/>
      <c r="N468" s="337"/>
      <c r="O468" s="337"/>
      <c r="P468" s="315"/>
      <c r="Q468" s="314"/>
      <c r="R468" s="317"/>
      <c r="S468" s="315"/>
      <c r="T468" s="315"/>
      <c r="U468" s="315"/>
      <c r="V468" s="258"/>
      <c r="W468" s="322"/>
      <c r="X468" s="318"/>
      <c r="Y468" s="315"/>
      <c r="Z468" s="318"/>
      <c r="AA468" s="314"/>
      <c r="AB468" s="336"/>
      <c r="AC468" s="314"/>
      <c r="AD468" s="316"/>
      <c r="AE468" s="315"/>
      <c r="AF468" s="315"/>
      <c r="AG468" s="315"/>
      <c r="AH468" s="315"/>
      <c r="AI468" s="377"/>
      <c r="AJ468" s="407"/>
      <c r="AK468" s="377"/>
      <c r="AL468" s="314"/>
      <c r="AM468" s="314"/>
      <c r="AN468" s="314"/>
      <c r="AO468" s="315"/>
      <c r="AP468" s="257"/>
      <c r="AQ468" s="257"/>
      <c r="AR468" s="257"/>
      <c r="AS468" s="315"/>
      <c r="AT468" s="257"/>
      <c r="AU468" s="257"/>
      <c r="AV468" s="316"/>
      <c r="AW468" s="314"/>
      <c r="AX468" s="315"/>
      <c r="AY468" s="315"/>
      <c r="AZ468" s="315"/>
      <c r="BA468" s="315"/>
      <c r="BB468" s="315"/>
      <c r="BC468" s="315"/>
      <c r="BD468" s="319"/>
      <c r="BE468" s="319"/>
      <c r="BF468" s="319"/>
      <c r="BG468" s="319"/>
      <c r="BH468" s="319"/>
      <c r="BI468" s="319"/>
      <c r="BJ468" s="319"/>
      <c r="BK468" s="315"/>
      <c r="BL468" s="316"/>
      <c r="BM468" s="314"/>
      <c r="BN468" s="319"/>
      <c r="BO468" s="315"/>
      <c r="BP468" s="314"/>
      <c r="BQ468" s="316"/>
      <c r="BR468" s="314"/>
      <c r="BS468" s="262"/>
      <c r="BT468" s="262"/>
    </row>
    <row r="469" spans="1:72" ht="45.75" customHeight="1">
      <c r="A469" s="342"/>
      <c r="B469" s="342"/>
      <c r="C469" s="342"/>
      <c r="D469" s="343"/>
      <c r="E469" s="342"/>
      <c r="F469" s="342"/>
      <c r="G469" s="344"/>
      <c r="H469" s="344"/>
      <c r="I469" s="344"/>
      <c r="J469" s="334"/>
      <c r="K469" s="335"/>
      <c r="L469" s="336"/>
      <c r="M469" s="336"/>
      <c r="N469" s="337"/>
      <c r="O469" s="337"/>
      <c r="P469" s="315"/>
      <c r="Q469" s="314"/>
      <c r="R469" s="317"/>
      <c r="S469" s="315"/>
      <c r="T469" s="315"/>
      <c r="U469" s="315"/>
      <c r="V469" s="258"/>
      <c r="W469" s="322"/>
      <c r="X469" s="318"/>
      <c r="Y469" s="315"/>
      <c r="Z469" s="318"/>
      <c r="AA469" s="314"/>
      <c r="AB469" s="336"/>
      <c r="AC469" s="314"/>
      <c r="AD469" s="316"/>
      <c r="AE469" s="315"/>
      <c r="AF469" s="315"/>
      <c r="AG469" s="315"/>
      <c r="AH469" s="315"/>
      <c r="AI469" s="377"/>
      <c r="AJ469" s="407"/>
      <c r="AK469" s="377"/>
      <c r="AL469" s="314"/>
      <c r="AM469" s="314"/>
      <c r="AN469" s="314"/>
      <c r="AO469" s="315"/>
      <c r="AP469" s="257"/>
      <c r="AQ469" s="257"/>
      <c r="AR469" s="257"/>
      <c r="AS469" s="315"/>
      <c r="AT469" s="257"/>
      <c r="AU469" s="257"/>
      <c r="AV469" s="316"/>
      <c r="AW469" s="314"/>
      <c r="AX469" s="315"/>
      <c r="AY469" s="315"/>
      <c r="AZ469" s="315"/>
      <c r="BA469" s="315"/>
      <c r="BB469" s="315"/>
      <c r="BC469" s="315"/>
      <c r="BD469" s="319"/>
      <c r="BE469" s="319"/>
      <c r="BF469" s="319"/>
      <c r="BG469" s="319"/>
      <c r="BH469" s="319"/>
      <c r="BI469" s="319"/>
      <c r="BJ469" s="319"/>
      <c r="BK469" s="315"/>
      <c r="BL469" s="316"/>
      <c r="BM469" s="314"/>
      <c r="BN469" s="319"/>
      <c r="BO469" s="315"/>
      <c r="BP469" s="314"/>
      <c r="BQ469" s="316"/>
      <c r="BR469" s="314"/>
      <c r="BS469" s="262"/>
      <c r="BT469" s="262"/>
    </row>
    <row r="470" spans="1:72" ht="45.75" customHeight="1">
      <c r="A470" s="342"/>
      <c r="B470" s="342"/>
      <c r="C470" s="342"/>
      <c r="D470" s="343"/>
      <c r="E470" s="342"/>
      <c r="F470" s="342"/>
      <c r="G470" s="344"/>
      <c r="H470" s="344"/>
      <c r="I470" s="344"/>
      <c r="J470" s="334"/>
      <c r="K470" s="335"/>
      <c r="L470" s="336"/>
      <c r="M470" s="336"/>
      <c r="N470" s="337"/>
      <c r="O470" s="337"/>
      <c r="P470" s="315"/>
      <c r="Q470" s="314"/>
      <c r="R470" s="317"/>
      <c r="S470" s="315"/>
      <c r="T470" s="315"/>
      <c r="U470" s="315"/>
      <c r="V470" s="258"/>
      <c r="W470" s="322"/>
      <c r="X470" s="318"/>
      <c r="Y470" s="315"/>
      <c r="Z470" s="318"/>
      <c r="AA470" s="314"/>
      <c r="AB470" s="336"/>
      <c r="AC470" s="314"/>
      <c r="AD470" s="316"/>
      <c r="AE470" s="315"/>
      <c r="AF470" s="315"/>
      <c r="AG470" s="315"/>
      <c r="AH470" s="315"/>
      <c r="AI470" s="377"/>
      <c r="AJ470" s="407"/>
      <c r="AK470" s="377"/>
      <c r="AL470" s="314"/>
      <c r="AM470" s="314"/>
      <c r="AN470" s="314"/>
      <c r="AO470" s="315"/>
      <c r="AP470" s="257"/>
      <c r="AQ470" s="257"/>
      <c r="AR470" s="257"/>
      <c r="AS470" s="315"/>
      <c r="AT470" s="257"/>
      <c r="AU470" s="257"/>
      <c r="AV470" s="316"/>
      <c r="AW470" s="314"/>
      <c r="AX470" s="315"/>
      <c r="AY470" s="315"/>
      <c r="AZ470" s="315"/>
      <c r="BA470" s="315"/>
      <c r="BB470" s="315"/>
      <c r="BC470" s="315"/>
      <c r="BD470" s="319"/>
      <c r="BE470" s="319"/>
      <c r="BF470" s="319"/>
      <c r="BG470" s="319"/>
      <c r="BH470" s="319"/>
      <c r="BI470" s="319"/>
      <c r="BJ470" s="319"/>
      <c r="BK470" s="315"/>
      <c r="BL470" s="316"/>
      <c r="BM470" s="314"/>
      <c r="BN470" s="319"/>
      <c r="BO470" s="315"/>
      <c r="BP470" s="314"/>
      <c r="BQ470" s="316"/>
      <c r="BR470" s="314"/>
      <c r="BS470" s="262"/>
      <c r="BT470" s="262"/>
    </row>
    <row r="471" spans="1:72" ht="45.75" customHeight="1">
      <c r="A471" s="342"/>
      <c r="B471" s="342"/>
      <c r="C471" s="342"/>
      <c r="D471" s="343"/>
      <c r="E471" s="342"/>
      <c r="F471" s="342"/>
      <c r="G471" s="344"/>
      <c r="H471" s="344"/>
      <c r="I471" s="344"/>
      <c r="J471" s="334"/>
      <c r="K471" s="335"/>
      <c r="L471" s="336"/>
      <c r="M471" s="336"/>
      <c r="N471" s="337"/>
      <c r="O471" s="337"/>
      <c r="P471" s="315"/>
      <c r="Q471" s="314"/>
      <c r="R471" s="317"/>
      <c r="S471" s="315"/>
      <c r="T471" s="315"/>
      <c r="U471" s="315"/>
      <c r="V471" s="258"/>
      <c r="W471" s="322"/>
      <c r="X471" s="318"/>
      <c r="Y471" s="315"/>
      <c r="Z471" s="318"/>
      <c r="AA471" s="314"/>
      <c r="AB471" s="336"/>
      <c r="AC471" s="314"/>
      <c r="AD471" s="316"/>
      <c r="AE471" s="315"/>
      <c r="AF471" s="315"/>
      <c r="AG471" s="315"/>
      <c r="AH471" s="315"/>
      <c r="AI471" s="377"/>
      <c r="AJ471" s="407"/>
      <c r="AK471" s="377"/>
      <c r="AL471" s="314"/>
      <c r="AM471" s="314"/>
      <c r="AN471" s="314"/>
      <c r="AO471" s="315"/>
      <c r="AP471" s="257"/>
      <c r="AQ471" s="257"/>
      <c r="AR471" s="257"/>
      <c r="AS471" s="315"/>
      <c r="AT471" s="257"/>
      <c r="AU471" s="257"/>
      <c r="AV471" s="316"/>
      <c r="AW471" s="314"/>
      <c r="AX471" s="315"/>
      <c r="AY471" s="315"/>
      <c r="AZ471" s="315"/>
      <c r="BA471" s="315"/>
      <c r="BB471" s="315"/>
      <c r="BC471" s="315"/>
      <c r="BD471" s="319"/>
      <c r="BE471" s="319"/>
      <c r="BF471" s="319"/>
      <c r="BG471" s="319"/>
      <c r="BH471" s="319"/>
      <c r="BI471" s="319"/>
      <c r="BJ471" s="319"/>
      <c r="BK471" s="315"/>
      <c r="BL471" s="316"/>
      <c r="BM471" s="314"/>
      <c r="BN471" s="319"/>
      <c r="BO471" s="315"/>
      <c r="BP471" s="314"/>
      <c r="BQ471" s="316"/>
      <c r="BR471" s="314"/>
      <c r="BS471" s="262"/>
      <c r="BT471" s="262"/>
    </row>
    <row r="472" spans="1:72" ht="45.75" customHeight="1">
      <c r="A472" s="342"/>
      <c r="B472" s="342"/>
      <c r="C472" s="342"/>
      <c r="D472" s="343"/>
      <c r="E472" s="342"/>
      <c r="F472" s="342"/>
      <c r="G472" s="344"/>
      <c r="H472" s="344"/>
      <c r="I472" s="344"/>
      <c r="J472" s="334"/>
      <c r="K472" s="335"/>
      <c r="L472" s="336"/>
      <c r="M472" s="336"/>
      <c r="N472" s="337"/>
      <c r="O472" s="337"/>
      <c r="P472" s="315"/>
      <c r="Q472" s="314"/>
      <c r="R472" s="317"/>
      <c r="S472" s="315"/>
      <c r="T472" s="315"/>
      <c r="U472" s="315"/>
      <c r="V472" s="258"/>
      <c r="W472" s="322"/>
      <c r="X472" s="318"/>
      <c r="Y472" s="315"/>
      <c r="Z472" s="318"/>
      <c r="AA472" s="314"/>
      <c r="AB472" s="336"/>
      <c r="AC472" s="314"/>
      <c r="AD472" s="316"/>
      <c r="AE472" s="315"/>
      <c r="AF472" s="315"/>
      <c r="AG472" s="315"/>
      <c r="AH472" s="315"/>
      <c r="AI472" s="377"/>
      <c r="AJ472" s="407"/>
      <c r="AK472" s="377"/>
      <c r="AL472" s="314"/>
      <c r="AM472" s="314"/>
      <c r="AN472" s="314"/>
      <c r="AO472" s="315"/>
      <c r="AP472" s="257"/>
      <c r="AQ472" s="257"/>
      <c r="AR472" s="257"/>
      <c r="AS472" s="315"/>
      <c r="AT472" s="257"/>
      <c r="AU472" s="257"/>
      <c r="AV472" s="316"/>
      <c r="AW472" s="314"/>
      <c r="AX472" s="315"/>
      <c r="AY472" s="315"/>
      <c r="AZ472" s="315"/>
      <c r="BA472" s="315"/>
      <c r="BB472" s="315"/>
      <c r="BC472" s="315"/>
      <c r="BD472" s="319"/>
      <c r="BE472" s="319"/>
      <c r="BF472" s="319"/>
      <c r="BG472" s="319"/>
      <c r="BH472" s="319"/>
      <c r="BI472" s="319"/>
      <c r="BJ472" s="319"/>
      <c r="BK472" s="315"/>
      <c r="BL472" s="316"/>
      <c r="BM472" s="314"/>
      <c r="BN472" s="319"/>
      <c r="BO472" s="315"/>
      <c r="BP472" s="314"/>
      <c r="BQ472" s="316"/>
      <c r="BR472" s="314"/>
      <c r="BS472" s="262"/>
      <c r="BT472" s="262"/>
    </row>
    <row r="473" spans="1:72" ht="45.75" customHeight="1">
      <c r="A473" s="342"/>
      <c r="B473" s="342"/>
      <c r="C473" s="342"/>
      <c r="D473" s="343"/>
      <c r="E473" s="342"/>
      <c r="F473" s="342"/>
      <c r="G473" s="344"/>
      <c r="H473" s="344"/>
      <c r="I473" s="344"/>
      <c r="J473" s="334"/>
      <c r="K473" s="335"/>
      <c r="L473" s="336"/>
      <c r="M473" s="336"/>
      <c r="N473" s="337"/>
      <c r="O473" s="337"/>
      <c r="P473" s="315"/>
      <c r="Q473" s="314"/>
      <c r="R473" s="317"/>
      <c r="S473" s="315"/>
      <c r="T473" s="315"/>
      <c r="U473" s="315"/>
      <c r="V473" s="258"/>
      <c r="W473" s="322"/>
      <c r="X473" s="318"/>
      <c r="Y473" s="315"/>
      <c r="Z473" s="318"/>
      <c r="AA473" s="314"/>
      <c r="AB473" s="336"/>
      <c r="AC473" s="314"/>
      <c r="AD473" s="316"/>
      <c r="AE473" s="315"/>
      <c r="AF473" s="315"/>
      <c r="AG473" s="315"/>
      <c r="AH473" s="315"/>
      <c r="AI473" s="377"/>
      <c r="AJ473" s="407"/>
      <c r="AK473" s="377"/>
      <c r="AL473" s="314"/>
      <c r="AM473" s="314"/>
      <c r="AN473" s="314"/>
      <c r="AO473" s="315"/>
      <c r="AP473" s="257"/>
      <c r="AQ473" s="257"/>
      <c r="AR473" s="257"/>
      <c r="AS473" s="315"/>
      <c r="AT473" s="257"/>
      <c r="AU473" s="257"/>
      <c r="AV473" s="316"/>
      <c r="AW473" s="314"/>
      <c r="AX473" s="315"/>
      <c r="AY473" s="315"/>
      <c r="AZ473" s="315"/>
      <c r="BA473" s="315"/>
      <c r="BB473" s="315"/>
      <c r="BC473" s="315"/>
      <c r="BD473" s="319"/>
      <c r="BE473" s="319"/>
      <c r="BF473" s="319"/>
      <c r="BG473" s="319"/>
      <c r="BH473" s="319"/>
      <c r="BI473" s="319"/>
      <c r="BJ473" s="319"/>
      <c r="BK473" s="315"/>
      <c r="BL473" s="316"/>
      <c r="BM473" s="314"/>
      <c r="BN473" s="319"/>
      <c r="BO473" s="315"/>
      <c r="BP473" s="314"/>
      <c r="BQ473" s="316"/>
      <c r="BR473" s="314"/>
      <c r="BS473" s="262"/>
      <c r="BT473" s="262"/>
    </row>
    <row r="474" spans="1:72" ht="45.75" customHeight="1">
      <c r="A474" s="342"/>
      <c r="B474" s="342"/>
      <c r="C474" s="342"/>
      <c r="D474" s="343"/>
      <c r="E474" s="342"/>
      <c r="F474" s="342"/>
      <c r="G474" s="344"/>
      <c r="H474" s="344"/>
      <c r="I474" s="344"/>
      <c r="J474" s="334"/>
      <c r="K474" s="335"/>
      <c r="L474" s="336"/>
      <c r="M474" s="336"/>
      <c r="N474" s="337"/>
      <c r="O474" s="337"/>
      <c r="P474" s="315"/>
      <c r="Q474" s="314"/>
      <c r="R474" s="317"/>
      <c r="S474" s="315"/>
      <c r="T474" s="315"/>
      <c r="U474" s="315"/>
      <c r="V474" s="258"/>
      <c r="W474" s="322"/>
      <c r="X474" s="318"/>
      <c r="Y474" s="315"/>
      <c r="Z474" s="318"/>
      <c r="AA474" s="314"/>
      <c r="AB474" s="336"/>
      <c r="AC474" s="314"/>
      <c r="AD474" s="316"/>
      <c r="AE474" s="315"/>
      <c r="AF474" s="315"/>
      <c r="AG474" s="315"/>
      <c r="AH474" s="315"/>
      <c r="AI474" s="377"/>
      <c r="AJ474" s="407"/>
      <c r="AK474" s="377"/>
      <c r="AL474" s="314"/>
      <c r="AM474" s="314"/>
      <c r="AN474" s="314"/>
      <c r="AO474" s="315"/>
      <c r="AP474" s="257"/>
      <c r="AQ474" s="257"/>
      <c r="AR474" s="257"/>
      <c r="AS474" s="315"/>
      <c r="AT474" s="257"/>
      <c r="AU474" s="257"/>
      <c r="AV474" s="316"/>
      <c r="AW474" s="314"/>
      <c r="AX474" s="315"/>
      <c r="AY474" s="315"/>
      <c r="AZ474" s="315"/>
      <c r="BA474" s="315"/>
      <c r="BB474" s="315"/>
      <c r="BC474" s="315"/>
      <c r="BD474" s="319"/>
      <c r="BE474" s="319"/>
      <c r="BF474" s="319"/>
      <c r="BG474" s="319"/>
      <c r="BH474" s="319"/>
      <c r="BI474" s="319"/>
      <c r="BJ474" s="319"/>
      <c r="BK474" s="315"/>
      <c r="BL474" s="316"/>
      <c r="BM474" s="314"/>
      <c r="BN474" s="319"/>
      <c r="BO474" s="315"/>
      <c r="BP474" s="314"/>
      <c r="BQ474" s="316"/>
      <c r="BR474" s="314"/>
      <c r="BS474" s="262"/>
      <c r="BT474" s="262"/>
    </row>
    <row r="475" spans="1:72" ht="45.75" customHeight="1">
      <c r="A475" s="342"/>
      <c r="B475" s="342"/>
      <c r="C475" s="342"/>
      <c r="D475" s="343"/>
      <c r="E475" s="342"/>
      <c r="F475" s="342"/>
      <c r="G475" s="344"/>
      <c r="H475" s="344"/>
      <c r="I475" s="344"/>
      <c r="J475" s="334"/>
      <c r="K475" s="335"/>
      <c r="L475" s="336"/>
      <c r="M475" s="336"/>
      <c r="N475" s="337"/>
      <c r="O475" s="337"/>
      <c r="P475" s="315"/>
      <c r="Q475" s="314"/>
      <c r="R475" s="317"/>
      <c r="S475" s="315"/>
      <c r="T475" s="315"/>
      <c r="U475" s="315"/>
      <c r="V475" s="258"/>
      <c r="W475" s="322"/>
      <c r="X475" s="318"/>
      <c r="Y475" s="315"/>
      <c r="Z475" s="318"/>
      <c r="AA475" s="314"/>
      <c r="AB475" s="336"/>
      <c r="AC475" s="314"/>
      <c r="AD475" s="316"/>
      <c r="AE475" s="315"/>
      <c r="AF475" s="315"/>
      <c r="AG475" s="315"/>
      <c r="AH475" s="315"/>
      <c r="AI475" s="377"/>
      <c r="AJ475" s="407"/>
      <c r="AK475" s="377"/>
      <c r="AL475" s="314"/>
      <c r="AM475" s="314"/>
      <c r="AN475" s="314"/>
      <c r="AO475" s="315"/>
      <c r="AP475" s="257"/>
      <c r="AQ475" s="257"/>
      <c r="AR475" s="257"/>
      <c r="AS475" s="315"/>
      <c r="AT475" s="257"/>
      <c r="AU475" s="257"/>
      <c r="AV475" s="316"/>
      <c r="AW475" s="314"/>
      <c r="AX475" s="315"/>
      <c r="AY475" s="315"/>
      <c r="AZ475" s="315"/>
      <c r="BA475" s="315"/>
      <c r="BB475" s="315"/>
      <c r="BC475" s="315"/>
      <c r="BD475" s="319"/>
      <c r="BE475" s="319"/>
      <c r="BF475" s="319"/>
      <c r="BG475" s="319"/>
      <c r="BH475" s="319"/>
      <c r="BI475" s="319"/>
      <c r="BJ475" s="319"/>
      <c r="BK475" s="315"/>
      <c r="BL475" s="316"/>
      <c r="BM475" s="314"/>
      <c r="BN475" s="319"/>
      <c r="BO475" s="315"/>
      <c r="BP475" s="314"/>
      <c r="BQ475" s="316"/>
      <c r="BR475" s="314"/>
      <c r="BS475" s="262"/>
      <c r="BT475" s="262"/>
    </row>
    <row r="476" spans="1:72" ht="45.75" customHeight="1">
      <c r="A476" s="342"/>
      <c r="B476" s="342"/>
      <c r="C476" s="342"/>
      <c r="D476" s="343"/>
      <c r="E476" s="342"/>
      <c r="F476" s="342"/>
      <c r="G476" s="344"/>
      <c r="H476" s="344"/>
      <c r="I476" s="344"/>
      <c r="J476" s="334"/>
      <c r="K476" s="335"/>
      <c r="L476" s="336"/>
      <c r="M476" s="336"/>
      <c r="N476" s="337"/>
      <c r="O476" s="337"/>
      <c r="P476" s="315"/>
      <c r="Q476" s="314"/>
      <c r="R476" s="317"/>
      <c r="S476" s="315"/>
      <c r="T476" s="315"/>
      <c r="U476" s="315"/>
      <c r="V476" s="258"/>
      <c r="W476" s="322"/>
      <c r="X476" s="318"/>
      <c r="Y476" s="315"/>
      <c r="Z476" s="318"/>
      <c r="AA476" s="314"/>
      <c r="AB476" s="336"/>
      <c r="AC476" s="314"/>
      <c r="AD476" s="316"/>
      <c r="AE476" s="315"/>
      <c r="AF476" s="315"/>
      <c r="AG476" s="315"/>
      <c r="AH476" s="315"/>
      <c r="AI476" s="377"/>
      <c r="AJ476" s="407"/>
      <c r="AK476" s="377"/>
      <c r="AL476" s="314"/>
      <c r="AM476" s="314"/>
      <c r="AN476" s="314"/>
      <c r="AO476" s="315"/>
      <c r="AP476" s="257"/>
      <c r="AQ476" s="257"/>
      <c r="AR476" s="257"/>
      <c r="AS476" s="315"/>
      <c r="AT476" s="257"/>
      <c r="AU476" s="257"/>
      <c r="AV476" s="316"/>
      <c r="AW476" s="314"/>
      <c r="AX476" s="315"/>
      <c r="AY476" s="315"/>
      <c r="AZ476" s="315"/>
      <c r="BA476" s="315"/>
      <c r="BB476" s="315"/>
      <c r="BC476" s="315"/>
      <c r="BD476" s="319"/>
      <c r="BE476" s="319"/>
      <c r="BF476" s="319"/>
      <c r="BG476" s="319"/>
      <c r="BH476" s="319"/>
      <c r="BI476" s="319"/>
      <c r="BJ476" s="319"/>
      <c r="BK476" s="315"/>
      <c r="BL476" s="316"/>
      <c r="BM476" s="314"/>
      <c r="BN476" s="319"/>
      <c r="BO476" s="315"/>
      <c r="BP476" s="314"/>
      <c r="BQ476" s="316"/>
      <c r="BR476" s="314"/>
      <c r="BS476" s="262"/>
      <c r="BT476" s="262"/>
    </row>
    <row r="477" spans="1:72" ht="45.75" customHeight="1">
      <c r="A477" s="342"/>
      <c r="B477" s="342"/>
      <c r="C477" s="342"/>
      <c r="D477" s="343"/>
      <c r="E477" s="342"/>
      <c r="F477" s="342"/>
      <c r="G477" s="344"/>
      <c r="H477" s="344"/>
      <c r="I477" s="344"/>
      <c r="J477" s="334"/>
      <c r="K477" s="335"/>
      <c r="L477" s="336"/>
      <c r="M477" s="336"/>
      <c r="N477" s="337"/>
      <c r="O477" s="337"/>
      <c r="P477" s="315"/>
      <c r="Q477" s="314"/>
      <c r="R477" s="317"/>
      <c r="S477" s="315"/>
      <c r="T477" s="315"/>
      <c r="U477" s="315"/>
      <c r="V477" s="258"/>
      <c r="W477" s="322"/>
      <c r="X477" s="318"/>
      <c r="Y477" s="315"/>
      <c r="Z477" s="318"/>
      <c r="AA477" s="314"/>
      <c r="AB477" s="336"/>
      <c r="AC477" s="314"/>
      <c r="AD477" s="316"/>
      <c r="AE477" s="315"/>
      <c r="AF477" s="315"/>
      <c r="AG477" s="315"/>
      <c r="AH477" s="315"/>
      <c r="AI477" s="377"/>
      <c r="AJ477" s="407"/>
      <c r="AK477" s="377"/>
      <c r="AL477" s="314"/>
      <c r="AM477" s="314"/>
      <c r="AN477" s="314"/>
      <c r="AO477" s="315"/>
      <c r="AP477" s="257"/>
      <c r="AQ477" s="257"/>
      <c r="AR477" s="257"/>
      <c r="AS477" s="315"/>
      <c r="AT477" s="257"/>
      <c r="AU477" s="257"/>
      <c r="AV477" s="316"/>
      <c r="AW477" s="314"/>
      <c r="AX477" s="315"/>
      <c r="AY477" s="315"/>
      <c r="AZ477" s="315"/>
      <c r="BA477" s="315"/>
      <c r="BB477" s="315"/>
      <c r="BC477" s="315"/>
      <c r="BD477" s="319"/>
      <c r="BE477" s="319"/>
      <c r="BF477" s="319"/>
      <c r="BG477" s="319"/>
      <c r="BH477" s="319"/>
      <c r="BI477" s="319"/>
      <c r="BJ477" s="319"/>
      <c r="BK477" s="315"/>
      <c r="BL477" s="316"/>
      <c r="BM477" s="314"/>
      <c r="BN477" s="319"/>
      <c r="BO477" s="315"/>
      <c r="BP477" s="314"/>
      <c r="BQ477" s="316"/>
      <c r="BR477" s="314"/>
      <c r="BS477" s="262"/>
      <c r="BT477" s="262"/>
    </row>
    <row r="478" spans="1:72" ht="45.75" customHeight="1">
      <c r="A478" s="342"/>
      <c r="B478" s="342"/>
      <c r="C478" s="342"/>
      <c r="D478" s="343"/>
      <c r="E478" s="342"/>
      <c r="F478" s="342"/>
      <c r="G478" s="344"/>
      <c r="H478" s="344"/>
      <c r="I478" s="344"/>
      <c r="J478" s="334"/>
      <c r="K478" s="335"/>
      <c r="L478" s="336"/>
      <c r="M478" s="336"/>
      <c r="N478" s="337"/>
      <c r="O478" s="337"/>
      <c r="P478" s="315"/>
      <c r="Q478" s="314"/>
      <c r="R478" s="317"/>
      <c r="S478" s="315"/>
      <c r="T478" s="315"/>
      <c r="U478" s="315"/>
      <c r="V478" s="258"/>
      <c r="W478" s="322"/>
      <c r="X478" s="318"/>
      <c r="Y478" s="315"/>
      <c r="Z478" s="318"/>
      <c r="AA478" s="314"/>
      <c r="AB478" s="336"/>
      <c r="AC478" s="314"/>
      <c r="AD478" s="316"/>
      <c r="AE478" s="315"/>
      <c r="AF478" s="315"/>
      <c r="AG478" s="315"/>
      <c r="AH478" s="315"/>
      <c r="AI478" s="377"/>
      <c r="AJ478" s="407"/>
      <c r="AK478" s="377"/>
      <c r="AL478" s="314"/>
      <c r="AM478" s="314"/>
      <c r="AN478" s="314"/>
      <c r="AO478" s="315"/>
      <c r="AP478" s="257"/>
      <c r="AQ478" s="257"/>
      <c r="AR478" s="257"/>
      <c r="AS478" s="315"/>
      <c r="AT478" s="257"/>
      <c r="AU478" s="257"/>
      <c r="AV478" s="316"/>
      <c r="AW478" s="314"/>
      <c r="AX478" s="315"/>
      <c r="AY478" s="315"/>
      <c r="AZ478" s="315"/>
      <c r="BA478" s="315"/>
      <c r="BB478" s="315"/>
      <c r="BC478" s="315"/>
      <c r="BD478" s="319"/>
      <c r="BE478" s="319"/>
      <c r="BF478" s="319"/>
      <c r="BG478" s="319"/>
      <c r="BH478" s="319"/>
      <c r="BI478" s="319"/>
      <c r="BJ478" s="319"/>
      <c r="BK478" s="315"/>
      <c r="BL478" s="316"/>
      <c r="BM478" s="314"/>
      <c r="BN478" s="319"/>
      <c r="BO478" s="315"/>
      <c r="BP478" s="314"/>
      <c r="BQ478" s="316"/>
      <c r="BR478" s="314"/>
      <c r="BS478" s="262"/>
      <c r="BT478" s="262"/>
    </row>
    <row r="479" spans="1:72" ht="45.75" customHeight="1">
      <c r="A479" s="342"/>
      <c r="B479" s="342"/>
      <c r="C479" s="342"/>
      <c r="D479" s="343"/>
      <c r="E479" s="342"/>
      <c r="F479" s="342"/>
      <c r="G479" s="344"/>
      <c r="H479" s="344"/>
      <c r="I479" s="344"/>
      <c r="J479" s="334"/>
      <c r="K479" s="335"/>
      <c r="L479" s="336"/>
      <c r="M479" s="336"/>
      <c r="N479" s="337"/>
      <c r="O479" s="337"/>
      <c r="P479" s="315"/>
      <c r="Q479" s="314"/>
      <c r="R479" s="317"/>
      <c r="S479" s="315"/>
      <c r="T479" s="315"/>
      <c r="U479" s="315"/>
      <c r="V479" s="258"/>
      <c r="W479" s="322"/>
      <c r="X479" s="318"/>
      <c r="Y479" s="315"/>
      <c r="Z479" s="318"/>
      <c r="AA479" s="314"/>
      <c r="AB479" s="336"/>
      <c r="AC479" s="314"/>
      <c r="AD479" s="316"/>
      <c r="AE479" s="315"/>
      <c r="AF479" s="315"/>
      <c r="AG479" s="315"/>
      <c r="AH479" s="315"/>
      <c r="AI479" s="377"/>
      <c r="AJ479" s="407"/>
      <c r="AK479" s="377"/>
      <c r="AL479" s="314"/>
      <c r="AM479" s="314"/>
      <c r="AN479" s="314"/>
      <c r="AO479" s="315"/>
      <c r="AP479" s="257"/>
      <c r="AQ479" s="257"/>
      <c r="AR479" s="257"/>
      <c r="AS479" s="315"/>
      <c r="AT479" s="257"/>
      <c r="AU479" s="257"/>
      <c r="AV479" s="316"/>
      <c r="AW479" s="314"/>
      <c r="AX479" s="315"/>
      <c r="AY479" s="315"/>
      <c r="AZ479" s="315"/>
      <c r="BA479" s="315"/>
      <c r="BB479" s="315"/>
      <c r="BC479" s="315"/>
      <c r="BD479" s="319"/>
      <c r="BE479" s="319"/>
      <c r="BF479" s="319"/>
      <c r="BG479" s="319"/>
      <c r="BH479" s="319"/>
      <c r="BI479" s="319"/>
      <c r="BJ479" s="319"/>
      <c r="BK479" s="315"/>
      <c r="BL479" s="316"/>
      <c r="BM479" s="314"/>
      <c r="BN479" s="319"/>
      <c r="BO479" s="315"/>
      <c r="BP479" s="314"/>
      <c r="BQ479" s="316"/>
      <c r="BR479" s="314"/>
      <c r="BS479" s="262"/>
      <c r="BT479" s="262"/>
    </row>
    <row r="480" spans="1:72" ht="45.75" customHeight="1">
      <c r="A480" s="342"/>
      <c r="B480" s="342"/>
      <c r="C480" s="342"/>
      <c r="D480" s="343"/>
      <c r="E480" s="342"/>
      <c r="F480" s="342"/>
      <c r="G480" s="344"/>
      <c r="H480" s="344"/>
      <c r="I480" s="344"/>
      <c r="J480" s="334"/>
      <c r="K480" s="335"/>
      <c r="L480" s="336"/>
      <c r="M480" s="336"/>
      <c r="N480" s="337"/>
      <c r="O480" s="337"/>
      <c r="P480" s="315"/>
      <c r="Q480" s="314"/>
      <c r="R480" s="317"/>
      <c r="S480" s="315"/>
      <c r="T480" s="315"/>
      <c r="U480" s="315"/>
      <c r="V480" s="258"/>
      <c r="W480" s="322"/>
      <c r="X480" s="318"/>
      <c r="Y480" s="315"/>
      <c r="Z480" s="318"/>
      <c r="AA480" s="314"/>
      <c r="AB480" s="336"/>
      <c r="AC480" s="314"/>
      <c r="AD480" s="316"/>
      <c r="AE480" s="315"/>
      <c r="AF480" s="315"/>
      <c r="AG480" s="315"/>
      <c r="AH480" s="315"/>
      <c r="AI480" s="377"/>
      <c r="AJ480" s="407"/>
      <c r="AK480" s="377"/>
      <c r="AL480" s="314"/>
      <c r="AM480" s="314"/>
      <c r="AN480" s="314"/>
      <c r="AO480" s="315"/>
      <c r="AP480" s="257"/>
      <c r="AQ480" s="257"/>
      <c r="AR480" s="257"/>
      <c r="AS480" s="315"/>
      <c r="AT480" s="257"/>
      <c r="AU480" s="257"/>
      <c r="AV480" s="316"/>
      <c r="AW480" s="314"/>
      <c r="AX480" s="315"/>
      <c r="AY480" s="315"/>
      <c r="AZ480" s="315"/>
      <c r="BA480" s="315"/>
      <c r="BB480" s="315"/>
      <c r="BC480" s="315"/>
      <c r="BD480" s="319"/>
      <c r="BE480" s="319"/>
      <c r="BF480" s="319"/>
      <c r="BG480" s="319"/>
      <c r="BH480" s="319"/>
      <c r="BI480" s="319"/>
      <c r="BJ480" s="319"/>
      <c r="BK480" s="315"/>
      <c r="BL480" s="316"/>
      <c r="BM480" s="314"/>
      <c r="BN480" s="319"/>
      <c r="BO480" s="315"/>
      <c r="BP480" s="314"/>
      <c r="BQ480" s="316"/>
      <c r="BR480" s="314"/>
      <c r="BS480" s="262"/>
      <c r="BT480" s="262"/>
    </row>
    <row r="481" spans="1:72" ht="45.75" customHeight="1">
      <c r="A481" s="342"/>
      <c r="B481" s="342"/>
      <c r="C481" s="342"/>
      <c r="D481" s="343"/>
      <c r="E481" s="342"/>
      <c r="F481" s="342"/>
      <c r="G481" s="344"/>
      <c r="H481" s="344"/>
      <c r="I481" s="344"/>
      <c r="J481" s="334"/>
      <c r="K481" s="335"/>
      <c r="L481" s="336"/>
      <c r="M481" s="336"/>
      <c r="N481" s="337"/>
      <c r="O481" s="337"/>
      <c r="P481" s="315"/>
      <c r="Q481" s="314"/>
      <c r="R481" s="317"/>
      <c r="S481" s="315"/>
      <c r="T481" s="315"/>
      <c r="U481" s="315"/>
      <c r="V481" s="258"/>
      <c r="W481" s="322"/>
      <c r="X481" s="318"/>
      <c r="Y481" s="315"/>
      <c r="Z481" s="318"/>
      <c r="AA481" s="314"/>
      <c r="AB481" s="336"/>
      <c r="AC481" s="314"/>
      <c r="AD481" s="316"/>
      <c r="AE481" s="315"/>
      <c r="AF481" s="315"/>
      <c r="AG481" s="315"/>
      <c r="AH481" s="315"/>
      <c r="AI481" s="377"/>
      <c r="AJ481" s="407"/>
      <c r="AK481" s="377"/>
      <c r="AL481" s="314"/>
      <c r="AM481" s="314"/>
      <c r="AN481" s="314"/>
      <c r="AO481" s="315"/>
      <c r="AP481" s="257"/>
      <c r="AQ481" s="257"/>
      <c r="AR481" s="257"/>
      <c r="AS481" s="315"/>
      <c r="AT481" s="257"/>
      <c r="AU481" s="257"/>
      <c r="AV481" s="316"/>
      <c r="AW481" s="314"/>
      <c r="AX481" s="315"/>
      <c r="AY481" s="315"/>
      <c r="AZ481" s="315"/>
      <c r="BA481" s="315"/>
      <c r="BB481" s="315"/>
      <c r="BC481" s="315"/>
      <c r="BD481" s="319"/>
      <c r="BE481" s="319"/>
      <c r="BF481" s="319"/>
      <c r="BG481" s="319"/>
      <c r="BH481" s="319"/>
      <c r="BI481" s="319"/>
      <c r="BJ481" s="319"/>
      <c r="BK481" s="315"/>
      <c r="BL481" s="316"/>
      <c r="BM481" s="314"/>
      <c r="BN481" s="319"/>
      <c r="BO481" s="315"/>
      <c r="BP481" s="314"/>
      <c r="BQ481" s="316"/>
      <c r="BR481" s="314"/>
      <c r="BS481" s="262"/>
      <c r="BT481" s="262"/>
    </row>
    <row r="482" spans="1:72" ht="45.75" customHeight="1">
      <c r="A482" s="342"/>
      <c r="B482" s="342"/>
      <c r="C482" s="342"/>
      <c r="D482" s="343"/>
      <c r="E482" s="342"/>
      <c r="F482" s="342"/>
      <c r="G482" s="344"/>
      <c r="H482" s="344"/>
      <c r="I482" s="344"/>
      <c r="J482" s="334"/>
      <c r="K482" s="335"/>
      <c r="L482" s="336"/>
      <c r="M482" s="336"/>
      <c r="N482" s="337"/>
      <c r="O482" s="337"/>
      <c r="P482" s="315"/>
      <c r="Q482" s="314"/>
      <c r="R482" s="317"/>
      <c r="S482" s="315"/>
      <c r="T482" s="315"/>
      <c r="U482" s="315"/>
      <c r="V482" s="258"/>
      <c r="W482" s="322"/>
      <c r="X482" s="318"/>
      <c r="Y482" s="315"/>
      <c r="Z482" s="318"/>
      <c r="AA482" s="314"/>
      <c r="AB482" s="336"/>
      <c r="AC482" s="314"/>
      <c r="AD482" s="316"/>
      <c r="AE482" s="315"/>
      <c r="AF482" s="315"/>
      <c r="AG482" s="315"/>
      <c r="AH482" s="315"/>
      <c r="AI482" s="377"/>
      <c r="AJ482" s="407"/>
      <c r="AK482" s="377"/>
      <c r="AL482" s="314"/>
      <c r="AM482" s="314"/>
      <c r="AN482" s="314"/>
      <c r="AO482" s="315"/>
      <c r="AP482" s="257"/>
      <c r="AQ482" s="257"/>
      <c r="AR482" s="257"/>
      <c r="AS482" s="315"/>
      <c r="AT482" s="257"/>
      <c r="AU482" s="257"/>
      <c r="AV482" s="316"/>
      <c r="AW482" s="314"/>
      <c r="AX482" s="315"/>
      <c r="AY482" s="315"/>
      <c r="AZ482" s="315"/>
      <c r="BA482" s="315"/>
      <c r="BB482" s="315"/>
      <c r="BC482" s="315"/>
      <c r="BD482" s="319"/>
      <c r="BE482" s="319"/>
      <c r="BF482" s="319"/>
      <c r="BG482" s="319"/>
      <c r="BH482" s="319"/>
      <c r="BI482" s="319"/>
      <c r="BJ482" s="319"/>
      <c r="BK482" s="315"/>
      <c r="BL482" s="316"/>
      <c r="BM482" s="314"/>
      <c r="BN482" s="319"/>
      <c r="BO482" s="315"/>
      <c r="BP482" s="314"/>
      <c r="BQ482" s="316"/>
      <c r="BR482" s="314"/>
      <c r="BS482" s="262"/>
      <c r="BT482" s="262"/>
    </row>
    <row r="483" spans="1:72" ht="45.75" customHeight="1">
      <c r="A483" s="342"/>
      <c r="B483" s="342"/>
      <c r="C483" s="342"/>
      <c r="D483" s="343"/>
      <c r="E483" s="342"/>
      <c r="F483" s="342"/>
      <c r="G483" s="344"/>
      <c r="H483" s="344"/>
      <c r="I483" s="344"/>
      <c r="J483" s="334"/>
      <c r="K483" s="335"/>
      <c r="L483" s="336"/>
      <c r="M483" s="336"/>
      <c r="N483" s="337"/>
      <c r="O483" s="337"/>
      <c r="P483" s="315"/>
      <c r="Q483" s="314"/>
      <c r="R483" s="317"/>
      <c r="S483" s="315"/>
      <c r="T483" s="315"/>
      <c r="U483" s="315"/>
      <c r="V483" s="258"/>
      <c r="W483" s="322"/>
      <c r="X483" s="318"/>
      <c r="Y483" s="315"/>
      <c r="Z483" s="318"/>
      <c r="AA483" s="314"/>
      <c r="AB483" s="336"/>
      <c r="AC483" s="314"/>
      <c r="AD483" s="316"/>
      <c r="AE483" s="315"/>
      <c r="AF483" s="315"/>
      <c r="AG483" s="315"/>
      <c r="AH483" s="315"/>
      <c r="AI483" s="377"/>
      <c r="AJ483" s="407"/>
      <c r="AK483" s="377"/>
      <c r="AL483" s="314"/>
      <c r="AM483" s="314"/>
      <c r="AN483" s="314"/>
      <c r="AO483" s="315"/>
      <c r="AP483" s="257"/>
      <c r="AQ483" s="257"/>
      <c r="AR483" s="257"/>
      <c r="AS483" s="315"/>
      <c r="AT483" s="257"/>
      <c r="AU483" s="257"/>
      <c r="AV483" s="316"/>
      <c r="AW483" s="314"/>
      <c r="AX483" s="315"/>
      <c r="AY483" s="315"/>
      <c r="AZ483" s="315"/>
      <c r="BA483" s="315"/>
      <c r="BB483" s="315"/>
      <c r="BC483" s="315"/>
      <c r="BD483" s="319"/>
      <c r="BE483" s="319"/>
      <c r="BF483" s="319"/>
      <c r="BG483" s="319"/>
      <c r="BH483" s="319"/>
      <c r="BI483" s="319"/>
      <c r="BJ483" s="319"/>
      <c r="BK483" s="315"/>
      <c r="BL483" s="316"/>
      <c r="BM483" s="314"/>
      <c r="BN483" s="319"/>
      <c r="BO483" s="315"/>
      <c r="BP483" s="314"/>
      <c r="BQ483" s="316"/>
      <c r="BR483" s="314"/>
      <c r="BS483" s="262"/>
      <c r="BT483" s="262"/>
    </row>
    <row r="484" spans="1:72" ht="45.75" customHeight="1">
      <c r="A484" s="342"/>
      <c r="B484" s="342"/>
      <c r="C484" s="342"/>
      <c r="D484" s="343"/>
      <c r="E484" s="342"/>
      <c r="F484" s="342"/>
      <c r="G484" s="344"/>
      <c r="H484" s="344"/>
      <c r="I484" s="344"/>
      <c r="J484" s="334"/>
      <c r="K484" s="335"/>
      <c r="L484" s="336"/>
      <c r="M484" s="336"/>
      <c r="N484" s="337"/>
      <c r="O484" s="337"/>
      <c r="P484" s="315"/>
      <c r="Q484" s="314"/>
      <c r="R484" s="317"/>
      <c r="S484" s="315"/>
      <c r="T484" s="315"/>
      <c r="U484" s="315"/>
      <c r="V484" s="258"/>
      <c r="W484" s="322"/>
      <c r="X484" s="318"/>
      <c r="Y484" s="315"/>
      <c r="Z484" s="318"/>
      <c r="AA484" s="314"/>
      <c r="AB484" s="336"/>
      <c r="AC484" s="314"/>
      <c r="AD484" s="316"/>
      <c r="AE484" s="315"/>
      <c r="AF484" s="315"/>
      <c r="AG484" s="315"/>
      <c r="AH484" s="315"/>
      <c r="AI484" s="377"/>
      <c r="AJ484" s="407"/>
      <c r="AK484" s="377"/>
      <c r="AL484" s="314"/>
      <c r="AM484" s="314"/>
      <c r="AN484" s="314"/>
      <c r="AO484" s="315"/>
      <c r="AP484" s="257"/>
      <c r="AQ484" s="257"/>
      <c r="AR484" s="257"/>
      <c r="AS484" s="315"/>
      <c r="AT484" s="257"/>
      <c r="AU484" s="257"/>
      <c r="AV484" s="316"/>
      <c r="AW484" s="314"/>
      <c r="AX484" s="315"/>
      <c r="AY484" s="315"/>
      <c r="AZ484" s="315"/>
      <c r="BA484" s="315"/>
      <c r="BB484" s="315"/>
      <c r="BC484" s="315"/>
      <c r="BD484" s="319"/>
      <c r="BE484" s="319"/>
      <c r="BF484" s="319"/>
      <c r="BG484" s="319"/>
      <c r="BH484" s="319"/>
      <c r="BI484" s="319"/>
      <c r="BJ484" s="319"/>
      <c r="BK484" s="315"/>
      <c r="BL484" s="316"/>
      <c r="BM484" s="314"/>
      <c r="BN484" s="319"/>
      <c r="BO484" s="315"/>
      <c r="BP484" s="314"/>
      <c r="BQ484" s="316"/>
      <c r="BR484" s="314"/>
      <c r="BS484" s="262"/>
      <c r="BT484" s="262"/>
    </row>
    <row r="485" spans="1:72" ht="45.75" customHeight="1">
      <c r="A485" s="342"/>
      <c r="B485" s="342"/>
      <c r="C485" s="342"/>
      <c r="D485" s="343"/>
      <c r="E485" s="342"/>
      <c r="F485" s="342"/>
      <c r="G485" s="344"/>
      <c r="H485" s="344"/>
      <c r="I485" s="344"/>
      <c r="J485" s="334"/>
      <c r="K485" s="335"/>
      <c r="L485" s="336"/>
      <c r="M485" s="336"/>
      <c r="N485" s="337"/>
      <c r="O485" s="337"/>
      <c r="P485" s="315"/>
      <c r="Q485" s="314"/>
      <c r="R485" s="317"/>
      <c r="S485" s="315"/>
      <c r="T485" s="315"/>
      <c r="U485" s="315"/>
      <c r="V485" s="258"/>
      <c r="W485" s="322"/>
      <c r="X485" s="318"/>
      <c r="Y485" s="315"/>
      <c r="Z485" s="318"/>
      <c r="AA485" s="314"/>
      <c r="AB485" s="336"/>
      <c r="AC485" s="314"/>
      <c r="AD485" s="316"/>
      <c r="AE485" s="315"/>
      <c r="AF485" s="315"/>
      <c r="AG485" s="315"/>
      <c r="AH485" s="315"/>
      <c r="AI485" s="377"/>
      <c r="AJ485" s="407"/>
      <c r="AK485" s="377"/>
      <c r="AL485" s="314"/>
      <c r="AM485" s="314"/>
      <c r="AN485" s="314"/>
      <c r="AO485" s="315"/>
      <c r="AP485" s="257"/>
      <c r="AQ485" s="257"/>
      <c r="AR485" s="257"/>
      <c r="AS485" s="315"/>
      <c r="AT485" s="257"/>
      <c r="AU485" s="257"/>
      <c r="AV485" s="316"/>
      <c r="AW485" s="314"/>
      <c r="AX485" s="315"/>
      <c r="AY485" s="315"/>
      <c r="AZ485" s="315"/>
      <c r="BA485" s="315"/>
      <c r="BB485" s="315"/>
      <c r="BC485" s="315"/>
      <c r="BD485" s="319"/>
      <c r="BE485" s="319"/>
      <c r="BF485" s="319"/>
      <c r="BG485" s="319"/>
      <c r="BH485" s="319"/>
      <c r="BI485" s="319"/>
      <c r="BJ485" s="319"/>
      <c r="BK485" s="315"/>
      <c r="BL485" s="316"/>
      <c r="BM485" s="314"/>
      <c r="BN485" s="319"/>
      <c r="BO485" s="315"/>
      <c r="BP485" s="314"/>
      <c r="BQ485" s="316"/>
      <c r="BR485" s="314"/>
      <c r="BS485" s="262"/>
      <c r="BT485" s="262"/>
    </row>
    <row r="486" spans="1:72" ht="45.75" customHeight="1">
      <c r="A486" s="342"/>
      <c r="B486" s="342"/>
      <c r="C486" s="342"/>
      <c r="D486" s="343"/>
      <c r="E486" s="342"/>
      <c r="F486" s="342"/>
      <c r="G486" s="344"/>
      <c r="H486" s="344"/>
      <c r="I486" s="344"/>
      <c r="J486" s="334"/>
      <c r="K486" s="335"/>
      <c r="L486" s="336"/>
      <c r="M486" s="336"/>
      <c r="N486" s="337"/>
      <c r="O486" s="337"/>
      <c r="P486" s="315"/>
      <c r="Q486" s="314"/>
      <c r="R486" s="317"/>
      <c r="S486" s="315"/>
      <c r="T486" s="315"/>
      <c r="U486" s="315"/>
      <c r="V486" s="258"/>
      <c r="W486" s="322"/>
      <c r="X486" s="318"/>
      <c r="Y486" s="315"/>
      <c r="Z486" s="318"/>
      <c r="AA486" s="314"/>
      <c r="AB486" s="336"/>
      <c r="AC486" s="314"/>
      <c r="AD486" s="316"/>
      <c r="AE486" s="315"/>
      <c r="AF486" s="315"/>
      <c r="AG486" s="315"/>
      <c r="AH486" s="315"/>
      <c r="AI486" s="377"/>
      <c r="AJ486" s="407"/>
      <c r="AK486" s="377"/>
      <c r="AL486" s="314"/>
      <c r="AM486" s="314"/>
      <c r="AN486" s="314"/>
      <c r="AO486" s="315"/>
      <c r="AP486" s="257"/>
      <c r="AQ486" s="257"/>
      <c r="AR486" s="257"/>
      <c r="AS486" s="315"/>
      <c r="AT486" s="257"/>
      <c r="AU486" s="257"/>
      <c r="AV486" s="316"/>
      <c r="AW486" s="314"/>
      <c r="AX486" s="315"/>
      <c r="AY486" s="315"/>
      <c r="AZ486" s="315"/>
      <c r="BA486" s="315"/>
      <c r="BB486" s="315"/>
      <c r="BC486" s="315"/>
      <c r="BD486" s="319"/>
      <c r="BE486" s="319"/>
      <c r="BF486" s="319"/>
      <c r="BG486" s="319"/>
      <c r="BH486" s="319"/>
      <c r="BI486" s="319"/>
      <c r="BJ486" s="319"/>
      <c r="BK486" s="315"/>
      <c r="BL486" s="316"/>
      <c r="BM486" s="314"/>
      <c r="BN486" s="319"/>
      <c r="BO486" s="315"/>
      <c r="BP486" s="314"/>
      <c r="BQ486" s="316"/>
      <c r="BR486" s="314"/>
      <c r="BS486" s="262"/>
      <c r="BT486" s="262"/>
    </row>
    <row r="487" spans="1:72" ht="45.75" customHeight="1">
      <c r="A487" s="342"/>
      <c r="B487" s="342"/>
      <c r="C487" s="342"/>
      <c r="D487" s="343"/>
      <c r="E487" s="342"/>
      <c r="F487" s="342"/>
      <c r="G487" s="344"/>
      <c r="H487" s="344"/>
      <c r="I487" s="344"/>
      <c r="J487" s="334"/>
      <c r="K487" s="335"/>
      <c r="L487" s="336"/>
      <c r="M487" s="336"/>
      <c r="N487" s="337"/>
      <c r="O487" s="337"/>
      <c r="P487" s="315"/>
      <c r="Q487" s="314"/>
      <c r="R487" s="317"/>
      <c r="S487" s="315"/>
      <c r="T487" s="315"/>
      <c r="U487" s="315"/>
      <c r="V487" s="258"/>
      <c r="W487" s="322"/>
      <c r="X487" s="318"/>
      <c r="Y487" s="315"/>
      <c r="Z487" s="318"/>
      <c r="AA487" s="314"/>
      <c r="AB487" s="336"/>
      <c r="AC487" s="314"/>
      <c r="AD487" s="316"/>
      <c r="AE487" s="315"/>
      <c r="AF487" s="315"/>
      <c r="AG487" s="315"/>
      <c r="AH487" s="315"/>
      <c r="AI487" s="377"/>
      <c r="AJ487" s="407"/>
      <c r="AK487" s="377"/>
      <c r="AL487" s="314"/>
      <c r="AM487" s="314"/>
      <c r="AN487" s="314"/>
      <c r="AO487" s="315"/>
      <c r="AP487" s="257"/>
      <c r="AQ487" s="257"/>
      <c r="AR487" s="257"/>
      <c r="AS487" s="315"/>
      <c r="AT487" s="257"/>
      <c r="AU487" s="257"/>
      <c r="AV487" s="316"/>
      <c r="AW487" s="314"/>
      <c r="AX487" s="315"/>
      <c r="AY487" s="315"/>
      <c r="AZ487" s="315"/>
      <c r="BA487" s="315"/>
      <c r="BB487" s="315"/>
      <c r="BC487" s="315"/>
      <c r="BD487" s="319"/>
      <c r="BE487" s="319"/>
      <c r="BF487" s="319"/>
      <c r="BG487" s="319"/>
      <c r="BH487" s="319"/>
      <c r="BI487" s="319"/>
      <c r="BJ487" s="319"/>
      <c r="BK487" s="315"/>
      <c r="BL487" s="316"/>
      <c r="BM487" s="314"/>
      <c r="BN487" s="319"/>
      <c r="BO487" s="315"/>
      <c r="BP487" s="314"/>
      <c r="BQ487" s="316"/>
      <c r="BR487" s="314"/>
      <c r="BS487" s="262"/>
      <c r="BT487" s="262"/>
    </row>
    <row r="488" spans="1:72" ht="45.75" customHeight="1">
      <c r="A488" s="342"/>
      <c r="B488" s="342"/>
      <c r="C488" s="342"/>
      <c r="D488" s="343"/>
      <c r="E488" s="342"/>
      <c r="F488" s="342"/>
      <c r="G488" s="344"/>
      <c r="H488" s="344"/>
      <c r="I488" s="344"/>
      <c r="J488" s="334"/>
      <c r="K488" s="335"/>
      <c r="L488" s="336"/>
      <c r="M488" s="336"/>
      <c r="N488" s="337"/>
      <c r="O488" s="337"/>
      <c r="P488" s="315"/>
      <c r="Q488" s="314"/>
      <c r="R488" s="317"/>
      <c r="S488" s="315"/>
      <c r="T488" s="315"/>
      <c r="U488" s="315"/>
      <c r="V488" s="258"/>
      <c r="W488" s="322"/>
      <c r="X488" s="318"/>
      <c r="Y488" s="315"/>
      <c r="Z488" s="318"/>
      <c r="AA488" s="314"/>
      <c r="AB488" s="336"/>
      <c r="AC488" s="314"/>
      <c r="AD488" s="316"/>
      <c r="AE488" s="315"/>
      <c r="AF488" s="315"/>
      <c r="AG488" s="315"/>
      <c r="AH488" s="315"/>
      <c r="AI488" s="377"/>
      <c r="AJ488" s="407"/>
      <c r="AK488" s="377"/>
      <c r="AL488" s="314"/>
      <c r="AM488" s="314"/>
      <c r="AN488" s="314"/>
      <c r="AO488" s="315"/>
      <c r="AP488" s="257"/>
      <c r="AQ488" s="257"/>
      <c r="AR488" s="257"/>
      <c r="AS488" s="315"/>
      <c r="AT488" s="257"/>
      <c r="AU488" s="257"/>
      <c r="AV488" s="316"/>
      <c r="AW488" s="314"/>
      <c r="AX488" s="315"/>
      <c r="AY488" s="315"/>
      <c r="AZ488" s="315"/>
      <c r="BA488" s="315"/>
      <c r="BB488" s="315"/>
      <c r="BC488" s="315"/>
      <c r="BD488" s="319"/>
      <c r="BE488" s="319"/>
      <c r="BF488" s="319"/>
      <c r="BG488" s="319"/>
      <c r="BH488" s="319"/>
      <c r="BI488" s="319"/>
      <c r="BJ488" s="319"/>
      <c r="BK488" s="315"/>
      <c r="BL488" s="316"/>
      <c r="BM488" s="314"/>
      <c r="BN488" s="319"/>
      <c r="BO488" s="315"/>
      <c r="BP488" s="314"/>
      <c r="BQ488" s="316"/>
      <c r="BR488" s="314"/>
      <c r="BS488" s="262"/>
      <c r="BT488" s="262"/>
    </row>
    <row r="489" spans="1:72" ht="45.75" customHeight="1">
      <c r="A489" s="342"/>
      <c r="B489" s="342"/>
      <c r="C489" s="342"/>
      <c r="D489" s="343"/>
      <c r="E489" s="342"/>
      <c r="F489" s="342"/>
      <c r="G489" s="344"/>
      <c r="H489" s="344"/>
      <c r="I489" s="344"/>
      <c r="J489" s="334"/>
      <c r="K489" s="335"/>
      <c r="L489" s="336"/>
      <c r="M489" s="336"/>
      <c r="N489" s="337"/>
      <c r="O489" s="337"/>
      <c r="P489" s="315"/>
      <c r="Q489" s="314"/>
      <c r="R489" s="317"/>
      <c r="S489" s="315"/>
      <c r="T489" s="315"/>
      <c r="U489" s="315"/>
      <c r="V489" s="258"/>
      <c r="W489" s="322"/>
      <c r="X489" s="318"/>
      <c r="Y489" s="315"/>
      <c r="Z489" s="318"/>
      <c r="AA489" s="314"/>
      <c r="AB489" s="336"/>
      <c r="AC489" s="314"/>
      <c r="AD489" s="316"/>
      <c r="AE489" s="315"/>
      <c r="AF489" s="315"/>
      <c r="AG489" s="315"/>
      <c r="AH489" s="315"/>
      <c r="AI489" s="377"/>
      <c r="AJ489" s="407"/>
      <c r="AK489" s="377"/>
      <c r="AL489" s="314"/>
      <c r="AM489" s="314"/>
      <c r="AN489" s="314"/>
      <c r="AO489" s="315"/>
      <c r="AP489" s="257"/>
      <c r="AQ489" s="257"/>
      <c r="AR489" s="257"/>
      <c r="AS489" s="315"/>
      <c r="AT489" s="257"/>
      <c r="AU489" s="257"/>
      <c r="AV489" s="316"/>
      <c r="AW489" s="314"/>
      <c r="AX489" s="315"/>
      <c r="AY489" s="315"/>
      <c r="AZ489" s="315"/>
      <c r="BA489" s="315"/>
      <c r="BB489" s="315"/>
      <c r="BC489" s="315"/>
      <c r="BD489" s="319"/>
      <c r="BE489" s="319"/>
      <c r="BF489" s="319"/>
      <c r="BG489" s="319"/>
      <c r="BH489" s="319"/>
      <c r="BI489" s="319"/>
      <c r="BJ489" s="319"/>
      <c r="BK489" s="315"/>
      <c r="BL489" s="316"/>
      <c r="BM489" s="314"/>
      <c r="BN489" s="319"/>
      <c r="BO489" s="315"/>
      <c r="BP489" s="314"/>
      <c r="BQ489" s="316"/>
      <c r="BR489" s="314"/>
      <c r="BS489" s="262"/>
      <c r="BT489" s="262"/>
    </row>
    <row r="490" spans="1:72" ht="45.75" customHeight="1">
      <c r="A490" s="342"/>
      <c r="B490" s="342"/>
      <c r="C490" s="342"/>
      <c r="D490" s="343"/>
      <c r="E490" s="342"/>
      <c r="F490" s="342"/>
      <c r="G490" s="344"/>
      <c r="H490" s="344"/>
      <c r="I490" s="344"/>
      <c r="J490" s="334"/>
      <c r="K490" s="335"/>
      <c r="L490" s="336"/>
      <c r="M490" s="336"/>
      <c r="N490" s="337"/>
      <c r="O490" s="337"/>
      <c r="P490" s="315"/>
      <c r="Q490" s="314"/>
      <c r="R490" s="317"/>
      <c r="S490" s="315"/>
      <c r="T490" s="315"/>
      <c r="U490" s="315"/>
      <c r="V490" s="258"/>
      <c r="W490" s="322"/>
      <c r="X490" s="318"/>
      <c r="Y490" s="315"/>
      <c r="Z490" s="318"/>
      <c r="AA490" s="314"/>
      <c r="AB490" s="336"/>
      <c r="AC490" s="314"/>
      <c r="AD490" s="316"/>
      <c r="AE490" s="315"/>
      <c r="AF490" s="315"/>
      <c r="AG490" s="315"/>
      <c r="AH490" s="315"/>
      <c r="AI490" s="377"/>
      <c r="AJ490" s="407"/>
      <c r="AK490" s="377"/>
      <c r="AL490" s="314"/>
      <c r="AM490" s="314"/>
      <c r="AN490" s="314"/>
      <c r="AO490" s="315"/>
      <c r="AP490" s="257"/>
      <c r="AQ490" s="257"/>
      <c r="AR490" s="257"/>
      <c r="AS490" s="315"/>
      <c r="AT490" s="257"/>
      <c r="AU490" s="257"/>
      <c r="AV490" s="316"/>
      <c r="AW490" s="314"/>
      <c r="AX490" s="315"/>
      <c r="AY490" s="315"/>
      <c r="AZ490" s="315"/>
      <c r="BA490" s="315"/>
      <c r="BB490" s="315"/>
      <c r="BC490" s="315"/>
      <c r="BD490" s="319"/>
      <c r="BE490" s="319"/>
      <c r="BF490" s="319"/>
      <c r="BG490" s="319"/>
      <c r="BH490" s="319"/>
      <c r="BI490" s="319"/>
      <c r="BJ490" s="319"/>
      <c r="BK490" s="315"/>
      <c r="BL490" s="316"/>
      <c r="BM490" s="314"/>
      <c r="BN490" s="319"/>
      <c r="BO490" s="315"/>
      <c r="BP490" s="314"/>
      <c r="BQ490" s="316"/>
      <c r="BR490" s="314"/>
      <c r="BS490" s="262"/>
      <c r="BT490" s="262"/>
    </row>
    <row r="491" spans="1:72" ht="45.75" customHeight="1">
      <c r="A491" s="342"/>
      <c r="B491" s="342"/>
      <c r="C491" s="342"/>
      <c r="D491" s="343"/>
      <c r="E491" s="342"/>
      <c r="F491" s="342"/>
      <c r="G491" s="344"/>
      <c r="H491" s="344"/>
      <c r="I491" s="344"/>
      <c r="J491" s="334"/>
      <c r="K491" s="335"/>
      <c r="L491" s="336"/>
      <c r="M491" s="336"/>
      <c r="N491" s="337"/>
      <c r="O491" s="337"/>
      <c r="P491" s="315"/>
      <c r="Q491" s="314"/>
      <c r="R491" s="317"/>
      <c r="S491" s="315"/>
      <c r="T491" s="315"/>
      <c r="U491" s="315"/>
      <c r="V491" s="258"/>
      <c r="W491" s="322"/>
      <c r="X491" s="318"/>
      <c r="Y491" s="315"/>
      <c r="Z491" s="318"/>
      <c r="AA491" s="314"/>
      <c r="AB491" s="336"/>
      <c r="AC491" s="314"/>
      <c r="AD491" s="316"/>
      <c r="AE491" s="315"/>
      <c r="AF491" s="315"/>
      <c r="AG491" s="315"/>
      <c r="AH491" s="315"/>
      <c r="AI491" s="377"/>
      <c r="AJ491" s="407"/>
      <c r="AK491" s="377"/>
      <c r="AL491" s="314"/>
      <c r="AM491" s="314"/>
      <c r="AN491" s="314"/>
      <c r="AO491" s="315"/>
      <c r="AP491" s="257"/>
      <c r="AQ491" s="257"/>
      <c r="AR491" s="257"/>
      <c r="AS491" s="315"/>
      <c r="AT491" s="257"/>
      <c r="AU491" s="257"/>
      <c r="AV491" s="316"/>
      <c r="AW491" s="314"/>
      <c r="AX491" s="315"/>
      <c r="AY491" s="315"/>
      <c r="AZ491" s="315"/>
      <c r="BA491" s="315"/>
      <c r="BB491" s="315"/>
      <c r="BC491" s="315"/>
      <c r="BD491" s="319"/>
      <c r="BE491" s="319"/>
      <c r="BF491" s="319"/>
      <c r="BG491" s="319"/>
      <c r="BH491" s="319"/>
      <c r="BI491" s="319"/>
      <c r="BJ491" s="319"/>
      <c r="BK491" s="315"/>
      <c r="BL491" s="316"/>
      <c r="BM491" s="314"/>
      <c r="BN491" s="319"/>
      <c r="BO491" s="315"/>
      <c r="BP491" s="314"/>
      <c r="BQ491" s="316"/>
      <c r="BR491" s="314"/>
      <c r="BS491" s="262"/>
      <c r="BT491" s="262"/>
    </row>
    <row r="492" spans="1:72" ht="45.75" customHeight="1">
      <c r="A492" s="342"/>
      <c r="B492" s="342"/>
      <c r="C492" s="342"/>
      <c r="D492" s="343"/>
      <c r="E492" s="342"/>
      <c r="F492" s="342"/>
      <c r="G492" s="344"/>
      <c r="H492" s="344"/>
      <c r="I492" s="344"/>
      <c r="J492" s="334"/>
      <c r="K492" s="335"/>
      <c r="L492" s="336"/>
      <c r="M492" s="336"/>
      <c r="N492" s="337"/>
      <c r="O492" s="337"/>
      <c r="P492" s="315"/>
      <c r="Q492" s="314"/>
      <c r="R492" s="317"/>
      <c r="S492" s="315"/>
      <c r="T492" s="315"/>
      <c r="U492" s="315"/>
      <c r="V492" s="258"/>
      <c r="W492" s="322"/>
      <c r="X492" s="318"/>
      <c r="Y492" s="315"/>
      <c r="Z492" s="318"/>
      <c r="AA492" s="314"/>
      <c r="AB492" s="336"/>
      <c r="AC492" s="314"/>
      <c r="AD492" s="316"/>
      <c r="AE492" s="315"/>
      <c r="AF492" s="315"/>
      <c r="AG492" s="315"/>
      <c r="AH492" s="315"/>
      <c r="AI492" s="377"/>
      <c r="AJ492" s="407"/>
      <c r="AK492" s="377"/>
      <c r="AL492" s="314"/>
      <c r="AM492" s="314"/>
      <c r="AN492" s="314"/>
      <c r="AO492" s="315"/>
      <c r="AP492" s="257"/>
      <c r="AQ492" s="257"/>
      <c r="AR492" s="257"/>
      <c r="AS492" s="315"/>
      <c r="AT492" s="257"/>
      <c r="AU492" s="257"/>
      <c r="AV492" s="316"/>
      <c r="AW492" s="314"/>
      <c r="AX492" s="315"/>
      <c r="AY492" s="315"/>
      <c r="AZ492" s="315"/>
      <c r="BA492" s="315"/>
      <c r="BB492" s="315"/>
      <c r="BC492" s="315"/>
      <c r="BD492" s="319"/>
      <c r="BE492" s="319"/>
      <c r="BF492" s="319"/>
      <c r="BG492" s="319"/>
      <c r="BH492" s="319"/>
      <c r="BI492" s="319"/>
      <c r="BJ492" s="319"/>
      <c r="BK492" s="315"/>
      <c r="BL492" s="316"/>
      <c r="BM492" s="314"/>
      <c r="BN492" s="319"/>
      <c r="BO492" s="315"/>
      <c r="BP492" s="314"/>
      <c r="BQ492" s="316"/>
      <c r="BR492" s="314"/>
      <c r="BS492" s="262"/>
      <c r="BT492" s="262"/>
    </row>
    <row r="493" spans="1:72" ht="45.75" customHeight="1">
      <c r="A493" s="342"/>
      <c r="B493" s="342"/>
      <c r="C493" s="342"/>
      <c r="D493" s="343"/>
      <c r="E493" s="342"/>
      <c r="F493" s="342"/>
      <c r="G493" s="344"/>
      <c r="H493" s="344"/>
      <c r="I493" s="344"/>
      <c r="J493" s="334"/>
      <c r="K493" s="335"/>
      <c r="L493" s="336"/>
      <c r="M493" s="336"/>
      <c r="N493" s="337"/>
      <c r="O493" s="337"/>
      <c r="P493" s="315"/>
      <c r="Q493" s="314"/>
      <c r="R493" s="317"/>
      <c r="S493" s="315"/>
      <c r="T493" s="315"/>
      <c r="U493" s="315"/>
      <c r="V493" s="258"/>
      <c r="W493" s="322"/>
      <c r="X493" s="318"/>
      <c r="Y493" s="315"/>
      <c r="Z493" s="318"/>
      <c r="AA493" s="314"/>
      <c r="AB493" s="336"/>
      <c r="AC493" s="314"/>
      <c r="AD493" s="316"/>
      <c r="AE493" s="315"/>
      <c r="AF493" s="315"/>
      <c r="AG493" s="315"/>
      <c r="AH493" s="315"/>
      <c r="AI493" s="377"/>
      <c r="AJ493" s="407"/>
      <c r="AK493" s="377"/>
      <c r="AL493" s="314"/>
      <c r="AM493" s="314"/>
      <c r="AN493" s="314"/>
      <c r="AO493" s="315"/>
      <c r="AP493" s="257"/>
      <c r="AQ493" s="257"/>
      <c r="AR493" s="257"/>
      <c r="AS493" s="315"/>
      <c r="AT493" s="257"/>
      <c r="AU493" s="257"/>
      <c r="AV493" s="316"/>
      <c r="AW493" s="314"/>
      <c r="AX493" s="315"/>
      <c r="AY493" s="315"/>
      <c r="AZ493" s="315"/>
      <c r="BA493" s="315"/>
      <c r="BB493" s="315"/>
      <c r="BC493" s="315"/>
      <c r="BD493" s="319"/>
      <c r="BE493" s="319"/>
      <c r="BF493" s="319"/>
      <c r="BG493" s="319"/>
      <c r="BH493" s="319"/>
      <c r="BI493" s="319"/>
      <c r="BJ493" s="319"/>
      <c r="BK493" s="315"/>
      <c r="BL493" s="316"/>
      <c r="BM493" s="314"/>
      <c r="BN493" s="319"/>
      <c r="BO493" s="315"/>
      <c r="BP493" s="314"/>
      <c r="BQ493" s="316"/>
      <c r="BR493" s="314"/>
      <c r="BS493" s="262"/>
      <c r="BT493" s="262"/>
    </row>
    <row r="494" spans="1:72" ht="45.75" customHeight="1">
      <c r="A494" s="342"/>
      <c r="B494" s="342"/>
      <c r="C494" s="342"/>
      <c r="D494" s="343"/>
      <c r="E494" s="342"/>
      <c r="F494" s="342"/>
      <c r="G494" s="344"/>
      <c r="H494" s="344"/>
      <c r="I494" s="344"/>
      <c r="J494" s="334"/>
      <c r="K494" s="335"/>
      <c r="L494" s="336"/>
      <c r="M494" s="336"/>
      <c r="N494" s="337"/>
      <c r="O494" s="337"/>
      <c r="P494" s="315"/>
      <c r="Q494" s="314"/>
      <c r="R494" s="317"/>
      <c r="S494" s="315"/>
      <c r="T494" s="315"/>
      <c r="U494" s="315"/>
      <c r="V494" s="258"/>
      <c r="W494" s="322"/>
      <c r="X494" s="318"/>
      <c r="Y494" s="315"/>
      <c r="Z494" s="318"/>
      <c r="AA494" s="314"/>
      <c r="AB494" s="336"/>
      <c r="AC494" s="314"/>
      <c r="AD494" s="316"/>
      <c r="AE494" s="315"/>
      <c r="AF494" s="315"/>
      <c r="AG494" s="315"/>
      <c r="AH494" s="315"/>
      <c r="AI494" s="377"/>
      <c r="AJ494" s="407"/>
      <c r="AK494" s="377"/>
      <c r="AL494" s="314"/>
      <c r="AM494" s="314"/>
      <c r="AN494" s="314"/>
      <c r="AO494" s="315"/>
      <c r="AP494" s="257"/>
      <c r="AQ494" s="257"/>
      <c r="AR494" s="257"/>
      <c r="AS494" s="315"/>
      <c r="AT494" s="257"/>
      <c r="AU494" s="257"/>
      <c r="AV494" s="316"/>
      <c r="AW494" s="314"/>
      <c r="AX494" s="315"/>
      <c r="AY494" s="315"/>
      <c r="AZ494" s="315"/>
      <c r="BA494" s="315"/>
      <c r="BB494" s="315"/>
      <c r="BC494" s="315"/>
      <c r="BD494" s="319"/>
      <c r="BE494" s="319"/>
      <c r="BF494" s="319"/>
      <c r="BG494" s="319"/>
      <c r="BH494" s="319"/>
      <c r="BI494" s="319"/>
      <c r="BJ494" s="319"/>
      <c r="BK494" s="315"/>
      <c r="BL494" s="316"/>
      <c r="BM494" s="314"/>
      <c r="BN494" s="319"/>
      <c r="BO494" s="315"/>
      <c r="BP494" s="314"/>
      <c r="BQ494" s="316"/>
      <c r="BR494" s="314"/>
      <c r="BS494" s="262"/>
      <c r="BT494" s="262"/>
    </row>
    <row r="495" spans="1:72" ht="45.75" customHeight="1">
      <c r="A495" s="342"/>
      <c r="B495" s="342"/>
      <c r="C495" s="342"/>
      <c r="D495" s="343"/>
      <c r="E495" s="342"/>
      <c r="F495" s="342"/>
      <c r="G495" s="344"/>
      <c r="H495" s="344"/>
      <c r="I495" s="344"/>
      <c r="J495" s="334"/>
      <c r="K495" s="335"/>
      <c r="L495" s="336"/>
      <c r="M495" s="336"/>
      <c r="N495" s="337"/>
      <c r="O495" s="337"/>
      <c r="P495" s="315"/>
      <c r="Q495" s="314"/>
      <c r="R495" s="317"/>
      <c r="S495" s="315"/>
      <c r="T495" s="315"/>
      <c r="U495" s="315"/>
      <c r="V495" s="258"/>
      <c r="W495" s="322"/>
      <c r="X495" s="318"/>
      <c r="Y495" s="315"/>
      <c r="Z495" s="318"/>
      <c r="AA495" s="314"/>
      <c r="AB495" s="336"/>
      <c r="AC495" s="314"/>
      <c r="AD495" s="316"/>
      <c r="AE495" s="315"/>
      <c r="AF495" s="315"/>
      <c r="AG495" s="315"/>
      <c r="AH495" s="315"/>
      <c r="AI495" s="377"/>
      <c r="AJ495" s="407"/>
      <c r="AK495" s="377"/>
      <c r="AL495" s="314"/>
      <c r="AM495" s="314"/>
      <c r="AN495" s="314"/>
      <c r="AO495" s="315"/>
      <c r="AP495" s="257"/>
      <c r="AQ495" s="257"/>
      <c r="AR495" s="257"/>
      <c r="AS495" s="315"/>
      <c r="AT495" s="257"/>
      <c r="AU495" s="257"/>
      <c r="AV495" s="316"/>
      <c r="AW495" s="314"/>
      <c r="AX495" s="315"/>
      <c r="AY495" s="315"/>
      <c r="AZ495" s="315"/>
      <c r="BA495" s="315"/>
      <c r="BB495" s="315"/>
      <c r="BC495" s="315"/>
      <c r="BD495" s="319"/>
      <c r="BE495" s="319"/>
      <c r="BF495" s="319"/>
      <c r="BG495" s="319"/>
      <c r="BH495" s="319"/>
      <c r="BI495" s="319"/>
      <c r="BJ495" s="319"/>
      <c r="BK495" s="315"/>
      <c r="BL495" s="316"/>
      <c r="BM495" s="314"/>
      <c r="BN495" s="319"/>
      <c r="BO495" s="315"/>
      <c r="BP495" s="314"/>
      <c r="BQ495" s="316"/>
      <c r="BR495" s="314"/>
      <c r="BS495" s="262"/>
      <c r="BT495" s="262"/>
    </row>
    <row r="496" spans="1:72" ht="45.75" customHeight="1">
      <c r="A496" s="342"/>
      <c r="B496" s="342"/>
      <c r="C496" s="342"/>
      <c r="D496" s="343"/>
      <c r="E496" s="342"/>
      <c r="F496" s="342"/>
      <c r="G496" s="344"/>
      <c r="H496" s="344"/>
      <c r="I496" s="344"/>
      <c r="J496" s="334"/>
      <c r="K496" s="335"/>
      <c r="L496" s="336"/>
      <c r="M496" s="336"/>
      <c r="N496" s="337"/>
      <c r="O496" s="337"/>
      <c r="P496" s="315"/>
      <c r="Q496" s="314"/>
      <c r="R496" s="317"/>
      <c r="S496" s="315"/>
      <c r="T496" s="315"/>
      <c r="U496" s="315"/>
      <c r="V496" s="258"/>
      <c r="W496" s="322"/>
      <c r="X496" s="318"/>
      <c r="Y496" s="315"/>
      <c r="Z496" s="318"/>
      <c r="AA496" s="314"/>
      <c r="AB496" s="336"/>
      <c r="AC496" s="314"/>
      <c r="AD496" s="316"/>
      <c r="AE496" s="315"/>
      <c r="AF496" s="315"/>
      <c r="AG496" s="315"/>
      <c r="AH496" s="315"/>
      <c r="AI496" s="377"/>
      <c r="AJ496" s="407"/>
      <c r="AK496" s="377"/>
      <c r="AL496" s="314"/>
      <c r="AM496" s="314"/>
      <c r="AN496" s="314"/>
      <c r="AO496" s="315"/>
      <c r="AP496" s="257"/>
      <c r="AQ496" s="257"/>
      <c r="AR496" s="257"/>
      <c r="AS496" s="315"/>
      <c r="AT496" s="257"/>
      <c r="AU496" s="257"/>
      <c r="AV496" s="316"/>
      <c r="AW496" s="314"/>
      <c r="AX496" s="315"/>
      <c r="AY496" s="315"/>
      <c r="AZ496" s="315"/>
      <c r="BA496" s="315"/>
      <c r="BB496" s="315"/>
      <c r="BC496" s="315"/>
      <c r="BD496" s="319"/>
      <c r="BE496" s="319"/>
      <c r="BF496" s="319"/>
      <c r="BG496" s="319"/>
      <c r="BH496" s="319"/>
      <c r="BI496" s="319"/>
      <c r="BJ496" s="319"/>
      <c r="BK496" s="315"/>
      <c r="BL496" s="316"/>
      <c r="BM496" s="314"/>
      <c r="BN496" s="319"/>
      <c r="BO496" s="315"/>
      <c r="BP496" s="314"/>
      <c r="BQ496" s="316"/>
      <c r="BR496" s="314"/>
      <c r="BS496" s="262"/>
      <c r="BT496" s="262"/>
    </row>
    <row r="497" spans="1:72" ht="45.75" customHeight="1">
      <c r="A497" s="342"/>
      <c r="B497" s="342"/>
      <c r="C497" s="342"/>
      <c r="D497" s="343"/>
      <c r="E497" s="342"/>
      <c r="F497" s="342"/>
      <c r="G497" s="344"/>
      <c r="H497" s="344"/>
      <c r="I497" s="344"/>
      <c r="J497" s="334"/>
      <c r="K497" s="335"/>
      <c r="L497" s="336"/>
      <c r="M497" s="336"/>
      <c r="N497" s="337"/>
      <c r="O497" s="337"/>
      <c r="P497" s="315"/>
      <c r="Q497" s="314"/>
      <c r="R497" s="317"/>
      <c r="S497" s="315"/>
      <c r="T497" s="315"/>
      <c r="U497" s="315"/>
      <c r="V497" s="258"/>
      <c r="W497" s="322"/>
      <c r="X497" s="318"/>
      <c r="Y497" s="315"/>
      <c r="Z497" s="318"/>
      <c r="AA497" s="314"/>
      <c r="AB497" s="336"/>
      <c r="AC497" s="314"/>
      <c r="AD497" s="316"/>
      <c r="AE497" s="315"/>
      <c r="AF497" s="315"/>
      <c r="AG497" s="315"/>
      <c r="AH497" s="315"/>
      <c r="AI497" s="377"/>
      <c r="AJ497" s="407"/>
      <c r="AK497" s="377"/>
      <c r="AL497" s="314"/>
      <c r="AM497" s="314"/>
      <c r="AN497" s="314"/>
      <c r="AO497" s="315"/>
      <c r="AP497" s="257"/>
      <c r="AQ497" s="257"/>
      <c r="AR497" s="257"/>
      <c r="AS497" s="315"/>
      <c r="AT497" s="257"/>
      <c r="AU497" s="257"/>
      <c r="AV497" s="316"/>
      <c r="AW497" s="314"/>
      <c r="AX497" s="315"/>
      <c r="AY497" s="315"/>
      <c r="AZ497" s="315"/>
      <c r="BA497" s="315"/>
      <c r="BB497" s="315"/>
      <c r="BC497" s="315"/>
      <c r="BD497" s="319"/>
      <c r="BE497" s="319"/>
      <c r="BF497" s="319"/>
      <c r="BG497" s="319"/>
      <c r="BH497" s="319"/>
      <c r="BI497" s="319"/>
      <c r="BJ497" s="319"/>
      <c r="BK497" s="315"/>
      <c r="BL497" s="316"/>
      <c r="BM497" s="314"/>
      <c r="BN497" s="319"/>
      <c r="BO497" s="315"/>
      <c r="BP497" s="314"/>
      <c r="BQ497" s="316"/>
      <c r="BR497" s="314"/>
      <c r="BS497" s="262"/>
      <c r="BT497" s="262"/>
    </row>
    <row r="498" spans="1:72" ht="45.75" customHeight="1">
      <c r="A498" s="342"/>
      <c r="B498" s="342"/>
      <c r="C498" s="342"/>
      <c r="D498" s="343"/>
      <c r="E498" s="342"/>
      <c r="F498" s="342"/>
      <c r="G498" s="344"/>
      <c r="H498" s="344"/>
      <c r="I498" s="344"/>
      <c r="J498" s="334"/>
      <c r="K498" s="335"/>
      <c r="L498" s="336"/>
      <c r="M498" s="336"/>
      <c r="N498" s="337"/>
      <c r="O498" s="337"/>
      <c r="P498" s="315"/>
      <c r="Q498" s="314"/>
      <c r="R498" s="317"/>
      <c r="S498" s="315"/>
      <c r="T498" s="315"/>
      <c r="U498" s="315"/>
      <c r="V498" s="258"/>
      <c r="W498" s="322"/>
      <c r="X498" s="318"/>
      <c r="Y498" s="315"/>
      <c r="Z498" s="318"/>
      <c r="AA498" s="314"/>
      <c r="AB498" s="336"/>
      <c r="AC498" s="314"/>
      <c r="AD498" s="316"/>
      <c r="AE498" s="315"/>
      <c r="AF498" s="315"/>
      <c r="AG498" s="315"/>
      <c r="AH498" s="315"/>
      <c r="AI498" s="377"/>
      <c r="AJ498" s="407"/>
      <c r="AK498" s="377"/>
      <c r="AL498" s="314"/>
      <c r="AM498" s="314"/>
      <c r="AN498" s="314"/>
      <c r="AO498" s="315"/>
      <c r="AP498" s="257"/>
      <c r="AQ498" s="257"/>
      <c r="AR498" s="257"/>
      <c r="AS498" s="315"/>
      <c r="AT498" s="257"/>
      <c r="AU498" s="257"/>
      <c r="AV498" s="316"/>
      <c r="AW498" s="314"/>
      <c r="AX498" s="315"/>
      <c r="AY498" s="315"/>
      <c r="AZ498" s="315"/>
      <c r="BA498" s="315"/>
      <c r="BB498" s="315"/>
      <c r="BC498" s="315"/>
      <c r="BD498" s="319"/>
      <c r="BE498" s="319"/>
      <c r="BF498" s="319"/>
      <c r="BG498" s="319"/>
      <c r="BH498" s="319"/>
      <c r="BI498" s="319"/>
      <c r="BJ498" s="319"/>
      <c r="BK498" s="315"/>
      <c r="BL498" s="316"/>
      <c r="BM498" s="314"/>
      <c r="BN498" s="319"/>
      <c r="BO498" s="315"/>
      <c r="BP498" s="314"/>
      <c r="BQ498" s="316"/>
      <c r="BR498" s="314"/>
      <c r="BS498" s="262"/>
      <c r="BT498" s="262"/>
    </row>
    <row r="499" spans="1:72" ht="45.75" customHeight="1">
      <c r="A499" s="342"/>
      <c r="B499" s="342"/>
      <c r="C499" s="342"/>
      <c r="D499" s="343"/>
      <c r="E499" s="342"/>
      <c r="F499" s="342"/>
      <c r="G499" s="344"/>
      <c r="H499" s="344"/>
      <c r="I499" s="344"/>
      <c r="J499" s="334"/>
      <c r="K499" s="335"/>
      <c r="L499" s="336"/>
      <c r="M499" s="336"/>
      <c r="N499" s="337"/>
      <c r="O499" s="337"/>
      <c r="P499" s="315"/>
      <c r="Q499" s="314"/>
      <c r="R499" s="317"/>
      <c r="S499" s="315"/>
      <c r="T499" s="315"/>
      <c r="U499" s="315"/>
      <c r="V499" s="258"/>
      <c r="W499" s="322"/>
      <c r="X499" s="318"/>
      <c r="Y499" s="315"/>
      <c r="Z499" s="318"/>
      <c r="AA499" s="314"/>
      <c r="AB499" s="336"/>
      <c r="AC499" s="314"/>
      <c r="AD499" s="316"/>
      <c r="AE499" s="315"/>
      <c r="AF499" s="315"/>
      <c r="AG499" s="315"/>
      <c r="AH499" s="315"/>
      <c r="AI499" s="377"/>
      <c r="AJ499" s="407"/>
      <c r="AK499" s="377"/>
      <c r="AL499" s="314"/>
      <c r="AM499" s="314"/>
      <c r="AN499" s="314"/>
      <c r="AO499" s="315"/>
      <c r="AP499" s="257"/>
      <c r="AQ499" s="257"/>
      <c r="AR499" s="257"/>
      <c r="AS499" s="315"/>
      <c r="AT499" s="257"/>
      <c r="AU499" s="257"/>
      <c r="AV499" s="316"/>
      <c r="AW499" s="314"/>
      <c r="AX499" s="315"/>
      <c r="AY499" s="315"/>
      <c r="AZ499" s="315"/>
      <c r="BA499" s="315"/>
      <c r="BB499" s="315"/>
      <c r="BC499" s="315"/>
      <c r="BD499" s="319"/>
      <c r="BE499" s="319"/>
      <c r="BF499" s="319"/>
      <c r="BG499" s="319"/>
      <c r="BH499" s="319"/>
      <c r="BI499" s="319"/>
      <c r="BJ499" s="319"/>
      <c r="BK499" s="315"/>
      <c r="BL499" s="316"/>
      <c r="BM499" s="314"/>
      <c r="BN499" s="319"/>
      <c r="BO499" s="315"/>
      <c r="BP499" s="314"/>
      <c r="BQ499" s="316"/>
      <c r="BR499" s="314"/>
      <c r="BS499" s="262"/>
      <c r="BT499" s="262"/>
    </row>
    <row r="500" spans="1:72" ht="45.75" customHeight="1">
      <c r="A500" s="342"/>
      <c r="B500" s="342"/>
      <c r="C500" s="342"/>
      <c r="D500" s="343"/>
      <c r="E500" s="342"/>
      <c r="F500" s="342"/>
      <c r="G500" s="344"/>
      <c r="H500" s="344"/>
      <c r="I500" s="344"/>
      <c r="J500" s="334"/>
      <c r="K500" s="335"/>
      <c r="L500" s="336"/>
      <c r="M500" s="336"/>
      <c r="N500" s="337"/>
      <c r="O500" s="337"/>
      <c r="P500" s="315"/>
      <c r="Q500" s="314"/>
      <c r="R500" s="317"/>
      <c r="S500" s="315"/>
      <c r="T500" s="315"/>
      <c r="U500" s="315"/>
      <c r="V500" s="258"/>
      <c r="W500" s="322"/>
      <c r="X500" s="318"/>
      <c r="Y500" s="315"/>
      <c r="Z500" s="318"/>
      <c r="AA500" s="314"/>
      <c r="AB500" s="336"/>
      <c r="AC500" s="314"/>
      <c r="AD500" s="316"/>
      <c r="AE500" s="315"/>
      <c r="AF500" s="315"/>
      <c r="AG500" s="315"/>
      <c r="AH500" s="315"/>
      <c r="AI500" s="377"/>
      <c r="AJ500" s="407"/>
      <c r="AK500" s="377"/>
      <c r="AL500" s="314"/>
      <c r="AM500" s="314"/>
      <c r="AN500" s="314"/>
      <c r="AO500" s="315"/>
      <c r="AP500" s="257"/>
      <c r="AQ500" s="257"/>
      <c r="AR500" s="257"/>
      <c r="AS500" s="315"/>
      <c r="AT500" s="257"/>
      <c r="AU500" s="257"/>
      <c r="AV500" s="316"/>
      <c r="AW500" s="314"/>
      <c r="AX500" s="315"/>
      <c r="AY500" s="315"/>
      <c r="AZ500" s="315"/>
      <c r="BA500" s="315"/>
      <c r="BB500" s="315"/>
      <c r="BC500" s="315"/>
      <c r="BD500" s="319"/>
      <c r="BE500" s="319"/>
      <c r="BF500" s="319"/>
      <c r="BG500" s="319"/>
      <c r="BH500" s="319"/>
      <c r="BI500" s="319"/>
      <c r="BJ500" s="319"/>
      <c r="BK500" s="315"/>
      <c r="BL500" s="316"/>
      <c r="BM500" s="314"/>
      <c r="BN500" s="319"/>
      <c r="BO500" s="315"/>
      <c r="BP500" s="314"/>
      <c r="BQ500" s="316"/>
      <c r="BR500" s="314"/>
      <c r="BS500" s="262"/>
      <c r="BT500" s="262"/>
    </row>
    <row r="501" spans="1:72" ht="45.75" customHeight="1">
      <c r="A501" s="342"/>
      <c r="B501" s="342"/>
      <c r="C501" s="342"/>
      <c r="D501" s="343"/>
      <c r="E501" s="342"/>
      <c r="F501" s="342"/>
      <c r="G501" s="344"/>
      <c r="H501" s="344"/>
      <c r="I501" s="344"/>
      <c r="J501" s="334"/>
      <c r="K501" s="335"/>
      <c r="L501" s="336"/>
      <c r="M501" s="336"/>
      <c r="N501" s="337"/>
      <c r="O501" s="337"/>
      <c r="P501" s="315"/>
      <c r="Q501" s="314"/>
      <c r="R501" s="317"/>
      <c r="S501" s="315"/>
      <c r="T501" s="315"/>
      <c r="U501" s="315"/>
      <c r="V501" s="258"/>
      <c r="W501" s="322"/>
      <c r="X501" s="318"/>
      <c r="Y501" s="315"/>
      <c r="Z501" s="318"/>
      <c r="AA501" s="314"/>
      <c r="AB501" s="336"/>
      <c r="AC501" s="314"/>
      <c r="AD501" s="316"/>
      <c r="AE501" s="315"/>
      <c r="AF501" s="315"/>
      <c r="AG501" s="315"/>
      <c r="AH501" s="315"/>
      <c r="AI501" s="377"/>
      <c r="AJ501" s="407"/>
      <c r="AK501" s="377"/>
      <c r="AL501" s="314"/>
      <c r="AM501" s="314"/>
      <c r="AN501" s="314"/>
      <c r="AO501" s="315"/>
      <c r="AP501" s="257"/>
      <c r="AQ501" s="257"/>
      <c r="AR501" s="257"/>
      <c r="AS501" s="315"/>
      <c r="AT501" s="257"/>
      <c r="AU501" s="257"/>
      <c r="AV501" s="316"/>
      <c r="AW501" s="314"/>
      <c r="AX501" s="315"/>
      <c r="AY501" s="315"/>
      <c r="AZ501" s="315"/>
      <c r="BA501" s="315"/>
      <c r="BB501" s="315"/>
      <c r="BC501" s="315"/>
      <c r="BD501" s="319"/>
      <c r="BE501" s="319"/>
      <c r="BF501" s="319"/>
      <c r="BG501" s="319"/>
      <c r="BH501" s="319"/>
      <c r="BI501" s="319"/>
      <c r="BJ501" s="319"/>
      <c r="BK501" s="315"/>
      <c r="BL501" s="316"/>
      <c r="BM501" s="314"/>
      <c r="BN501" s="319"/>
      <c r="BO501" s="315"/>
      <c r="BP501" s="314"/>
      <c r="BQ501" s="316"/>
      <c r="BR501" s="314"/>
      <c r="BS501" s="262"/>
      <c r="BT501" s="262"/>
    </row>
    <row r="502" spans="1:72" ht="45.75" customHeight="1">
      <c r="A502" s="342"/>
      <c r="B502" s="342"/>
      <c r="C502" s="342"/>
      <c r="D502" s="343"/>
      <c r="E502" s="342"/>
      <c r="F502" s="342"/>
      <c r="G502" s="344"/>
      <c r="H502" s="344"/>
      <c r="I502" s="344"/>
      <c r="J502" s="334"/>
      <c r="K502" s="335"/>
      <c r="L502" s="336"/>
      <c r="M502" s="336"/>
      <c r="N502" s="337"/>
      <c r="O502" s="337"/>
      <c r="P502" s="315"/>
      <c r="Q502" s="314"/>
      <c r="R502" s="317"/>
      <c r="S502" s="315"/>
      <c r="T502" s="315"/>
      <c r="U502" s="315"/>
      <c r="V502" s="258"/>
      <c r="W502" s="322"/>
      <c r="X502" s="318"/>
      <c r="Y502" s="315"/>
      <c r="Z502" s="318"/>
      <c r="AA502" s="314"/>
      <c r="AB502" s="336"/>
      <c r="AC502" s="314"/>
      <c r="AD502" s="316"/>
      <c r="AE502" s="315"/>
      <c r="AF502" s="315"/>
      <c r="AG502" s="315"/>
      <c r="AH502" s="315"/>
      <c r="AI502" s="377"/>
      <c r="AJ502" s="407"/>
      <c r="AK502" s="377"/>
      <c r="AL502" s="314"/>
      <c r="AM502" s="314"/>
      <c r="AN502" s="314"/>
      <c r="AO502" s="315"/>
      <c r="AP502" s="257"/>
      <c r="AQ502" s="257"/>
      <c r="AR502" s="257"/>
      <c r="AS502" s="315"/>
      <c r="AT502" s="257"/>
      <c r="AU502" s="257"/>
      <c r="AV502" s="316"/>
      <c r="AW502" s="314"/>
      <c r="AX502" s="315"/>
      <c r="AY502" s="315"/>
      <c r="AZ502" s="315"/>
      <c r="BA502" s="315"/>
      <c r="BB502" s="315"/>
      <c r="BC502" s="315"/>
      <c r="BD502" s="319"/>
      <c r="BE502" s="319"/>
      <c r="BF502" s="319"/>
      <c r="BG502" s="319"/>
      <c r="BH502" s="319"/>
      <c r="BI502" s="319"/>
      <c r="BJ502" s="319"/>
      <c r="BK502" s="315"/>
      <c r="BL502" s="316"/>
      <c r="BM502" s="314"/>
      <c r="BN502" s="319"/>
      <c r="BO502" s="315"/>
      <c r="BP502" s="314"/>
      <c r="BQ502" s="316"/>
      <c r="BR502" s="314"/>
      <c r="BS502" s="262"/>
      <c r="BT502" s="262"/>
    </row>
    <row r="503" spans="1:72" ht="45.75" customHeight="1">
      <c r="A503" s="342"/>
      <c r="B503" s="342"/>
      <c r="C503" s="342"/>
      <c r="D503" s="343"/>
      <c r="E503" s="342"/>
      <c r="F503" s="342"/>
      <c r="G503" s="344"/>
      <c r="H503" s="344"/>
      <c r="I503" s="344"/>
      <c r="J503" s="334"/>
      <c r="K503" s="335"/>
      <c r="L503" s="336"/>
      <c r="M503" s="336"/>
      <c r="N503" s="337"/>
      <c r="O503" s="337"/>
      <c r="P503" s="315"/>
      <c r="Q503" s="314"/>
      <c r="R503" s="317"/>
      <c r="S503" s="315"/>
      <c r="T503" s="315"/>
      <c r="U503" s="315"/>
      <c r="V503" s="258"/>
      <c r="W503" s="322"/>
      <c r="X503" s="318"/>
      <c r="Y503" s="315"/>
      <c r="Z503" s="318"/>
      <c r="AA503" s="314"/>
      <c r="AB503" s="336"/>
      <c r="AC503" s="314"/>
      <c r="AD503" s="316"/>
      <c r="AE503" s="315"/>
      <c r="AF503" s="315"/>
      <c r="AG503" s="315"/>
      <c r="AH503" s="315"/>
      <c r="AI503" s="377"/>
      <c r="AJ503" s="407"/>
      <c r="AK503" s="377"/>
      <c r="AL503" s="314"/>
      <c r="AM503" s="314"/>
      <c r="AN503" s="314"/>
      <c r="AO503" s="315"/>
      <c r="AP503" s="257"/>
      <c r="AQ503" s="257"/>
      <c r="AR503" s="257"/>
      <c r="AS503" s="315"/>
      <c r="AT503" s="257"/>
      <c r="AU503" s="257"/>
      <c r="AV503" s="316"/>
      <c r="AW503" s="314"/>
      <c r="AX503" s="315"/>
      <c r="AY503" s="315"/>
      <c r="AZ503" s="315"/>
      <c r="BA503" s="315"/>
      <c r="BB503" s="315"/>
      <c r="BC503" s="315"/>
      <c r="BD503" s="319"/>
      <c r="BE503" s="319"/>
      <c r="BF503" s="319"/>
      <c r="BG503" s="319"/>
      <c r="BH503" s="319"/>
      <c r="BI503" s="319"/>
      <c r="BJ503" s="319"/>
      <c r="BK503" s="315"/>
      <c r="BL503" s="316"/>
      <c r="BM503" s="314"/>
      <c r="BN503" s="319"/>
      <c r="BO503" s="315"/>
      <c r="BP503" s="314"/>
      <c r="BQ503" s="316"/>
      <c r="BR503" s="314"/>
      <c r="BS503" s="262"/>
      <c r="BT503" s="262"/>
    </row>
    <row r="504" spans="1:72" ht="45.75" customHeight="1">
      <c r="A504" s="342"/>
      <c r="B504" s="342"/>
      <c r="C504" s="342"/>
      <c r="D504" s="343"/>
      <c r="E504" s="342"/>
      <c r="F504" s="342"/>
      <c r="G504" s="344"/>
      <c r="H504" s="344"/>
      <c r="I504" s="344"/>
      <c r="J504" s="334"/>
      <c r="K504" s="335"/>
      <c r="L504" s="336"/>
      <c r="M504" s="336"/>
      <c r="N504" s="337"/>
      <c r="O504" s="337"/>
      <c r="P504" s="315"/>
      <c r="Q504" s="314"/>
      <c r="R504" s="317"/>
      <c r="S504" s="315"/>
      <c r="T504" s="315"/>
      <c r="U504" s="315"/>
      <c r="V504" s="258"/>
      <c r="W504" s="322"/>
      <c r="X504" s="318"/>
      <c r="Y504" s="315"/>
      <c r="Z504" s="318"/>
      <c r="AA504" s="314"/>
      <c r="AB504" s="336"/>
      <c r="AC504" s="314"/>
      <c r="AD504" s="316"/>
      <c r="AE504" s="315"/>
      <c r="AF504" s="315"/>
      <c r="AG504" s="315"/>
      <c r="AH504" s="315"/>
      <c r="AI504" s="377"/>
      <c r="AJ504" s="407"/>
      <c r="AK504" s="377"/>
      <c r="AL504" s="314"/>
      <c r="AM504" s="314"/>
      <c r="AN504" s="314"/>
      <c r="AO504" s="315"/>
      <c r="AP504" s="257"/>
      <c r="AQ504" s="257"/>
      <c r="AR504" s="257"/>
      <c r="AS504" s="315"/>
      <c r="AT504" s="257"/>
      <c r="AU504" s="257"/>
      <c r="AV504" s="316"/>
      <c r="AW504" s="314"/>
      <c r="AX504" s="315"/>
      <c r="AY504" s="315"/>
      <c r="AZ504" s="315"/>
      <c r="BA504" s="315"/>
      <c r="BB504" s="315"/>
      <c r="BC504" s="315"/>
      <c r="BD504" s="319"/>
      <c r="BE504" s="319"/>
      <c r="BF504" s="319"/>
      <c r="BG504" s="319"/>
      <c r="BH504" s="319"/>
      <c r="BI504" s="319"/>
      <c r="BJ504" s="319"/>
      <c r="BK504" s="315"/>
      <c r="BL504" s="316"/>
      <c r="BM504" s="314"/>
      <c r="BN504" s="319"/>
      <c r="BO504" s="315"/>
      <c r="BP504" s="314"/>
      <c r="BQ504" s="316"/>
      <c r="BR504" s="314"/>
      <c r="BS504" s="262"/>
      <c r="BT504" s="262"/>
    </row>
    <row r="505" spans="1:72" ht="45.75" customHeight="1">
      <c r="A505" s="342"/>
      <c r="B505" s="342"/>
      <c r="C505" s="342"/>
      <c r="D505" s="343"/>
      <c r="E505" s="342"/>
      <c r="F505" s="342"/>
      <c r="G505" s="344"/>
      <c r="H505" s="344"/>
      <c r="I505" s="344"/>
      <c r="J505" s="334"/>
      <c r="K505" s="335"/>
      <c r="L505" s="336"/>
      <c r="M505" s="336"/>
      <c r="N505" s="337"/>
      <c r="O505" s="337"/>
      <c r="P505" s="315"/>
      <c r="Q505" s="314"/>
      <c r="R505" s="317"/>
      <c r="S505" s="315"/>
      <c r="T505" s="315"/>
      <c r="U505" s="315"/>
      <c r="V505" s="258"/>
      <c r="W505" s="322"/>
      <c r="X505" s="318"/>
      <c r="Y505" s="315"/>
      <c r="Z505" s="318"/>
      <c r="AA505" s="314"/>
      <c r="AB505" s="336"/>
      <c r="AC505" s="314"/>
      <c r="AD505" s="316"/>
      <c r="AE505" s="315"/>
      <c r="AF505" s="315"/>
      <c r="AG505" s="315"/>
      <c r="AH505" s="315"/>
      <c r="AI505" s="377"/>
      <c r="AJ505" s="407"/>
      <c r="AK505" s="377"/>
      <c r="AL505" s="314"/>
      <c r="AM505" s="314"/>
      <c r="AN505" s="314"/>
      <c r="AO505" s="315"/>
      <c r="AP505" s="257"/>
      <c r="AQ505" s="257"/>
      <c r="AR505" s="257"/>
      <c r="AS505" s="315"/>
      <c r="AT505" s="257"/>
      <c r="AU505" s="257"/>
      <c r="AV505" s="316"/>
      <c r="AW505" s="314"/>
      <c r="AX505" s="315"/>
      <c r="AY505" s="315"/>
      <c r="AZ505" s="315"/>
      <c r="BA505" s="315"/>
      <c r="BB505" s="315"/>
      <c r="BC505" s="315"/>
      <c r="BD505" s="319"/>
      <c r="BE505" s="319"/>
      <c r="BF505" s="319"/>
      <c r="BG505" s="319"/>
      <c r="BH505" s="319"/>
      <c r="BI505" s="319"/>
      <c r="BJ505" s="319"/>
      <c r="BK505" s="315"/>
      <c r="BL505" s="316"/>
      <c r="BM505" s="314"/>
      <c r="BN505" s="319"/>
      <c r="BO505" s="315"/>
      <c r="BP505" s="314"/>
      <c r="BQ505" s="316"/>
      <c r="BR505" s="314"/>
      <c r="BS505" s="262"/>
      <c r="BT505" s="262"/>
    </row>
    <row r="506" spans="1:72" ht="45.75" customHeight="1">
      <c r="A506" s="342"/>
      <c r="B506" s="342"/>
      <c r="C506" s="342"/>
      <c r="D506" s="343"/>
      <c r="E506" s="342"/>
      <c r="F506" s="342"/>
      <c r="G506" s="344"/>
      <c r="H506" s="344"/>
      <c r="I506" s="344"/>
      <c r="J506" s="334"/>
      <c r="K506" s="335"/>
      <c r="L506" s="336"/>
      <c r="M506" s="336"/>
      <c r="N506" s="337"/>
      <c r="O506" s="337"/>
      <c r="P506" s="315"/>
      <c r="Q506" s="314"/>
      <c r="R506" s="317"/>
      <c r="S506" s="315"/>
      <c r="T506" s="315"/>
      <c r="U506" s="315"/>
      <c r="V506" s="258"/>
      <c r="W506" s="322"/>
      <c r="X506" s="318"/>
      <c r="Y506" s="315"/>
      <c r="Z506" s="318"/>
      <c r="AA506" s="314"/>
      <c r="AB506" s="336"/>
      <c r="AC506" s="314"/>
      <c r="AD506" s="316"/>
      <c r="AE506" s="315"/>
      <c r="AF506" s="315"/>
      <c r="AG506" s="315"/>
      <c r="AH506" s="315"/>
      <c r="AI506" s="377"/>
      <c r="AJ506" s="407"/>
      <c r="AK506" s="377"/>
      <c r="AL506" s="314"/>
      <c r="AM506" s="314"/>
      <c r="AN506" s="314"/>
      <c r="AO506" s="315"/>
      <c r="AP506" s="257"/>
      <c r="AQ506" s="257"/>
      <c r="AR506" s="257"/>
      <c r="AS506" s="315"/>
      <c r="AT506" s="257"/>
      <c r="AU506" s="257"/>
      <c r="AV506" s="316"/>
      <c r="AW506" s="314"/>
      <c r="AX506" s="315"/>
      <c r="AY506" s="315"/>
      <c r="AZ506" s="315"/>
      <c r="BA506" s="315"/>
      <c r="BB506" s="315"/>
      <c r="BC506" s="315"/>
      <c r="BD506" s="319"/>
      <c r="BE506" s="319"/>
      <c r="BF506" s="319"/>
      <c r="BG506" s="319"/>
      <c r="BH506" s="319"/>
      <c r="BI506" s="319"/>
      <c r="BJ506" s="319"/>
      <c r="BK506" s="315"/>
      <c r="BL506" s="316"/>
      <c r="BM506" s="314"/>
      <c r="BN506" s="319"/>
      <c r="BO506" s="315"/>
      <c r="BP506" s="314"/>
      <c r="BQ506" s="316"/>
      <c r="BR506" s="314"/>
      <c r="BS506" s="262"/>
      <c r="BT506" s="262"/>
    </row>
    <row r="507" spans="1:72" ht="45.75" customHeight="1">
      <c r="A507" s="342"/>
      <c r="B507" s="342"/>
      <c r="C507" s="342"/>
      <c r="D507" s="343"/>
      <c r="E507" s="342"/>
      <c r="F507" s="342"/>
      <c r="G507" s="344"/>
      <c r="H507" s="344"/>
      <c r="I507" s="344"/>
      <c r="J507" s="334"/>
      <c r="K507" s="335"/>
      <c r="L507" s="336"/>
      <c r="M507" s="336"/>
      <c r="N507" s="337"/>
      <c r="O507" s="337"/>
      <c r="P507" s="315"/>
      <c r="Q507" s="314"/>
      <c r="R507" s="317"/>
      <c r="S507" s="315"/>
      <c r="T507" s="315"/>
      <c r="U507" s="315"/>
      <c r="V507" s="258"/>
      <c r="W507" s="322"/>
      <c r="X507" s="318"/>
      <c r="Y507" s="315"/>
      <c r="Z507" s="318"/>
      <c r="AA507" s="314"/>
      <c r="AB507" s="336"/>
      <c r="AC507" s="314"/>
      <c r="AD507" s="316"/>
      <c r="AE507" s="315"/>
      <c r="AF507" s="315"/>
      <c r="AG507" s="315"/>
      <c r="AH507" s="315"/>
      <c r="AI507" s="377"/>
      <c r="AJ507" s="407"/>
      <c r="AK507" s="377"/>
      <c r="AL507" s="314"/>
      <c r="AM507" s="314"/>
      <c r="AN507" s="314"/>
      <c r="AO507" s="315"/>
      <c r="AP507" s="257"/>
      <c r="AQ507" s="257"/>
      <c r="AR507" s="257"/>
      <c r="AS507" s="315"/>
      <c r="AT507" s="257"/>
      <c r="AU507" s="257"/>
      <c r="AV507" s="316"/>
      <c r="AW507" s="314"/>
      <c r="AX507" s="315"/>
      <c r="AY507" s="315"/>
      <c r="AZ507" s="315"/>
      <c r="BA507" s="315"/>
      <c r="BB507" s="315"/>
      <c r="BC507" s="315"/>
      <c r="BD507" s="319"/>
      <c r="BE507" s="319"/>
      <c r="BF507" s="319"/>
      <c r="BG507" s="319"/>
      <c r="BH507" s="319"/>
      <c r="BI507" s="319"/>
      <c r="BJ507" s="319"/>
      <c r="BK507" s="315"/>
      <c r="BL507" s="316"/>
      <c r="BM507" s="314"/>
      <c r="BN507" s="319"/>
      <c r="BO507" s="315"/>
      <c r="BP507" s="314"/>
      <c r="BQ507" s="316"/>
      <c r="BR507" s="314"/>
      <c r="BS507" s="262"/>
      <c r="BT507" s="262"/>
    </row>
    <row r="508" spans="1:72" ht="45.75" customHeight="1">
      <c r="A508" s="342"/>
      <c r="B508" s="342"/>
      <c r="C508" s="342"/>
      <c r="D508" s="343"/>
      <c r="E508" s="342"/>
      <c r="F508" s="342"/>
      <c r="G508" s="344"/>
      <c r="H508" s="344"/>
      <c r="I508" s="344"/>
      <c r="J508" s="334"/>
      <c r="K508" s="335"/>
      <c r="L508" s="336"/>
      <c r="M508" s="336"/>
      <c r="N508" s="337"/>
      <c r="O508" s="337"/>
      <c r="P508" s="315"/>
      <c r="Q508" s="314"/>
      <c r="R508" s="317"/>
      <c r="S508" s="315"/>
      <c r="T508" s="315"/>
      <c r="U508" s="315"/>
      <c r="V508" s="258"/>
      <c r="W508" s="322"/>
      <c r="X508" s="318"/>
      <c r="Y508" s="315"/>
      <c r="Z508" s="318"/>
      <c r="AA508" s="314"/>
      <c r="AB508" s="336"/>
      <c r="AC508" s="314"/>
      <c r="AD508" s="316"/>
      <c r="AE508" s="315"/>
      <c r="AF508" s="315"/>
      <c r="AG508" s="315"/>
      <c r="AH508" s="315"/>
      <c r="AI508" s="377"/>
      <c r="AJ508" s="407"/>
      <c r="AK508" s="377"/>
      <c r="AL508" s="314"/>
      <c r="AM508" s="314"/>
      <c r="AN508" s="314"/>
      <c r="AO508" s="315"/>
      <c r="AP508" s="257"/>
      <c r="AQ508" s="257"/>
      <c r="AR508" s="257"/>
      <c r="AS508" s="315"/>
      <c r="AT508" s="257"/>
      <c r="AU508" s="257"/>
      <c r="AV508" s="316"/>
      <c r="AW508" s="314"/>
      <c r="AX508" s="315"/>
      <c r="AY508" s="315"/>
      <c r="AZ508" s="315"/>
      <c r="BA508" s="315"/>
      <c r="BB508" s="315"/>
      <c r="BC508" s="315"/>
      <c r="BD508" s="319"/>
      <c r="BE508" s="319"/>
      <c r="BF508" s="319"/>
      <c r="BG508" s="319"/>
      <c r="BH508" s="319"/>
      <c r="BI508" s="319"/>
      <c r="BJ508" s="319"/>
      <c r="BK508" s="315"/>
      <c r="BL508" s="316"/>
      <c r="BM508" s="314"/>
      <c r="BN508" s="319"/>
      <c r="BO508" s="315"/>
      <c r="BP508" s="314"/>
      <c r="BQ508" s="316"/>
      <c r="BR508" s="314"/>
      <c r="BS508" s="262"/>
      <c r="BT508" s="262"/>
    </row>
    <row r="509" spans="1:72" ht="45.75" customHeight="1">
      <c r="A509" s="342"/>
      <c r="B509" s="342"/>
      <c r="C509" s="342"/>
      <c r="D509" s="343"/>
      <c r="E509" s="342"/>
      <c r="F509" s="342"/>
      <c r="G509" s="344"/>
      <c r="H509" s="344"/>
      <c r="I509" s="344"/>
      <c r="J509" s="334"/>
      <c r="K509" s="335"/>
      <c r="L509" s="336"/>
      <c r="M509" s="336"/>
      <c r="N509" s="337"/>
      <c r="O509" s="337"/>
      <c r="P509" s="315"/>
      <c r="Q509" s="314"/>
      <c r="R509" s="317"/>
      <c r="S509" s="315"/>
      <c r="T509" s="315"/>
      <c r="U509" s="315"/>
      <c r="V509" s="258"/>
      <c r="W509" s="322"/>
      <c r="X509" s="318"/>
      <c r="Y509" s="315"/>
      <c r="Z509" s="318"/>
      <c r="AA509" s="314"/>
      <c r="AB509" s="336"/>
      <c r="AC509" s="314"/>
      <c r="AD509" s="316"/>
      <c r="AE509" s="315"/>
      <c r="AF509" s="315"/>
      <c r="AG509" s="315"/>
      <c r="AH509" s="315"/>
      <c r="AI509" s="377"/>
      <c r="AJ509" s="407"/>
      <c r="AK509" s="377"/>
      <c r="AL509" s="314"/>
      <c r="AM509" s="314"/>
      <c r="AN509" s="314"/>
      <c r="AO509" s="315"/>
      <c r="AP509" s="257"/>
      <c r="AQ509" s="257"/>
      <c r="AR509" s="257"/>
      <c r="AS509" s="315"/>
      <c r="AT509" s="257"/>
      <c r="AU509" s="257"/>
      <c r="AV509" s="316"/>
      <c r="AW509" s="314"/>
      <c r="AX509" s="315"/>
      <c r="AY509" s="315"/>
      <c r="AZ509" s="315"/>
      <c r="BA509" s="315"/>
      <c r="BB509" s="315"/>
      <c r="BC509" s="315"/>
      <c r="BD509" s="319"/>
      <c r="BE509" s="319"/>
      <c r="BF509" s="319"/>
      <c r="BG509" s="319"/>
      <c r="BH509" s="319"/>
      <c r="BI509" s="319"/>
      <c r="BJ509" s="319"/>
      <c r="BK509" s="315"/>
      <c r="BL509" s="316"/>
      <c r="BM509" s="314"/>
      <c r="BN509" s="319"/>
      <c r="BO509" s="315"/>
      <c r="BP509" s="314"/>
      <c r="BQ509" s="316"/>
      <c r="BR509" s="314"/>
      <c r="BS509" s="262"/>
      <c r="BT509" s="262"/>
    </row>
    <row r="510" spans="1:72" ht="45.75" customHeight="1">
      <c r="A510" s="342"/>
      <c r="B510" s="342"/>
      <c r="C510" s="342"/>
      <c r="D510" s="343"/>
      <c r="E510" s="342"/>
      <c r="F510" s="342"/>
      <c r="G510" s="344"/>
      <c r="H510" s="344"/>
      <c r="I510" s="344"/>
      <c r="J510" s="334"/>
      <c r="K510" s="335"/>
      <c r="L510" s="336"/>
      <c r="M510" s="336"/>
      <c r="N510" s="337"/>
      <c r="O510" s="337"/>
      <c r="P510" s="315"/>
      <c r="Q510" s="314"/>
      <c r="R510" s="317"/>
      <c r="S510" s="315"/>
      <c r="T510" s="315"/>
      <c r="U510" s="315"/>
      <c r="V510" s="258"/>
      <c r="W510" s="322"/>
      <c r="X510" s="318"/>
      <c r="Y510" s="315"/>
      <c r="Z510" s="318"/>
      <c r="AA510" s="314"/>
      <c r="AB510" s="336"/>
      <c r="AC510" s="314"/>
      <c r="AD510" s="316"/>
      <c r="AE510" s="315"/>
      <c r="AF510" s="315"/>
      <c r="AG510" s="315"/>
      <c r="AH510" s="315"/>
      <c r="AI510" s="377"/>
      <c r="AJ510" s="407"/>
      <c r="AK510" s="377"/>
      <c r="AL510" s="314"/>
      <c r="AM510" s="314"/>
      <c r="AN510" s="314"/>
      <c r="AO510" s="315"/>
      <c r="AP510" s="257"/>
      <c r="AQ510" s="257"/>
      <c r="AR510" s="257"/>
      <c r="AS510" s="315"/>
      <c r="AT510" s="257"/>
      <c r="AU510" s="257"/>
      <c r="AV510" s="316"/>
      <c r="AW510" s="314"/>
      <c r="AX510" s="315"/>
      <c r="AY510" s="315"/>
      <c r="AZ510" s="315"/>
      <c r="BA510" s="315"/>
      <c r="BB510" s="315"/>
      <c r="BC510" s="315"/>
      <c r="BD510" s="319"/>
      <c r="BE510" s="319"/>
      <c r="BF510" s="319"/>
      <c r="BG510" s="319"/>
      <c r="BH510" s="319"/>
      <c r="BI510" s="319"/>
      <c r="BJ510" s="319"/>
      <c r="BK510" s="315"/>
      <c r="BL510" s="316"/>
      <c r="BM510" s="314"/>
      <c r="BN510" s="319"/>
      <c r="BO510" s="315"/>
      <c r="BP510" s="314"/>
      <c r="BQ510" s="316"/>
      <c r="BR510" s="314"/>
      <c r="BS510" s="262"/>
      <c r="BT510" s="262"/>
    </row>
    <row r="511" spans="1:72" ht="45.75" customHeight="1">
      <c r="A511" s="342"/>
      <c r="B511" s="342"/>
      <c r="C511" s="342"/>
      <c r="D511" s="343"/>
      <c r="E511" s="342"/>
      <c r="F511" s="342"/>
      <c r="G511" s="344"/>
      <c r="H511" s="344"/>
      <c r="I511" s="344"/>
      <c r="J511" s="334"/>
      <c r="K511" s="335"/>
      <c r="L511" s="336"/>
      <c r="M511" s="336"/>
      <c r="N511" s="337"/>
      <c r="O511" s="337"/>
      <c r="P511" s="315"/>
      <c r="Q511" s="314"/>
      <c r="R511" s="317"/>
      <c r="S511" s="315"/>
      <c r="T511" s="315"/>
      <c r="U511" s="315"/>
      <c r="V511" s="258"/>
      <c r="W511" s="322"/>
      <c r="X511" s="318"/>
      <c r="Y511" s="315"/>
      <c r="Z511" s="318"/>
      <c r="AA511" s="314"/>
      <c r="AB511" s="336"/>
      <c r="AC511" s="314"/>
      <c r="AD511" s="316"/>
      <c r="AE511" s="315"/>
      <c r="AF511" s="315"/>
      <c r="AG511" s="315"/>
      <c r="AH511" s="315"/>
      <c r="AI511" s="377"/>
      <c r="AJ511" s="407"/>
      <c r="AK511" s="377"/>
      <c r="AL511" s="314"/>
      <c r="AM511" s="314"/>
      <c r="AN511" s="314"/>
      <c r="AO511" s="315"/>
      <c r="AP511" s="257"/>
      <c r="AQ511" s="257"/>
      <c r="AR511" s="257"/>
      <c r="AS511" s="315"/>
      <c r="AT511" s="257"/>
      <c r="AU511" s="257"/>
      <c r="AV511" s="316"/>
      <c r="AW511" s="314"/>
      <c r="AX511" s="315"/>
      <c r="AY511" s="315"/>
      <c r="AZ511" s="315"/>
      <c r="BA511" s="315"/>
      <c r="BB511" s="315"/>
      <c r="BC511" s="315"/>
      <c r="BD511" s="319"/>
      <c r="BE511" s="319"/>
      <c r="BF511" s="319"/>
      <c r="BG511" s="319"/>
      <c r="BH511" s="319"/>
      <c r="BI511" s="319"/>
      <c r="BJ511" s="319"/>
      <c r="BK511" s="315"/>
      <c r="BL511" s="316"/>
      <c r="BM511" s="314"/>
      <c r="BN511" s="319"/>
      <c r="BO511" s="315"/>
      <c r="BP511" s="314"/>
      <c r="BQ511" s="316"/>
      <c r="BR511" s="314"/>
      <c r="BS511" s="262"/>
      <c r="BT511" s="262"/>
    </row>
    <row r="512" spans="1:72" ht="45.75" customHeight="1">
      <c r="A512" s="342"/>
      <c r="B512" s="342"/>
      <c r="C512" s="342"/>
      <c r="D512" s="343"/>
      <c r="E512" s="342"/>
      <c r="F512" s="342"/>
      <c r="G512" s="344"/>
      <c r="H512" s="344"/>
      <c r="I512" s="344"/>
      <c r="J512" s="334"/>
      <c r="K512" s="335"/>
      <c r="L512" s="336"/>
      <c r="M512" s="336"/>
      <c r="N512" s="337"/>
      <c r="O512" s="337"/>
      <c r="P512" s="315"/>
      <c r="Q512" s="314"/>
      <c r="R512" s="317"/>
      <c r="S512" s="315"/>
      <c r="T512" s="315"/>
      <c r="U512" s="315"/>
      <c r="V512" s="258"/>
      <c r="W512" s="322"/>
      <c r="X512" s="318"/>
      <c r="Y512" s="315"/>
      <c r="Z512" s="318"/>
      <c r="AA512" s="314"/>
      <c r="AB512" s="336"/>
      <c r="AC512" s="314"/>
      <c r="AD512" s="316"/>
      <c r="AE512" s="315"/>
      <c r="AF512" s="315"/>
      <c r="AG512" s="315"/>
      <c r="AH512" s="315"/>
      <c r="AI512" s="377"/>
      <c r="AJ512" s="407"/>
      <c r="AK512" s="377"/>
      <c r="AL512" s="314"/>
      <c r="AM512" s="314"/>
      <c r="AN512" s="314"/>
      <c r="AO512" s="315"/>
      <c r="AP512" s="257"/>
      <c r="AQ512" s="257"/>
      <c r="AR512" s="257"/>
      <c r="AS512" s="315"/>
      <c r="AT512" s="257"/>
      <c r="AU512" s="257"/>
      <c r="AV512" s="316"/>
      <c r="AW512" s="314"/>
      <c r="AX512" s="315"/>
      <c r="AY512" s="315"/>
      <c r="AZ512" s="315"/>
      <c r="BA512" s="315"/>
      <c r="BB512" s="315"/>
      <c r="BC512" s="315"/>
      <c r="BD512" s="319"/>
      <c r="BE512" s="319"/>
      <c r="BF512" s="319"/>
      <c r="BG512" s="319"/>
      <c r="BH512" s="319"/>
      <c r="BI512" s="319"/>
      <c r="BJ512" s="319"/>
      <c r="BK512" s="315"/>
      <c r="BL512" s="316"/>
      <c r="BM512" s="314"/>
      <c r="BN512" s="319"/>
      <c r="BO512" s="315"/>
      <c r="BP512" s="314"/>
      <c r="BQ512" s="316"/>
      <c r="BR512" s="314"/>
      <c r="BS512" s="262"/>
      <c r="BT512" s="262"/>
    </row>
    <row r="513" spans="1:72" ht="45.75" customHeight="1">
      <c r="A513" s="342"/>
      <c r="B513" s="342"/>
      <c r="C513" s="342"/>
      <c r="D513" s="343"/>
      <c r="E513" s="342"/>
      <c r="F513" s="342"/>
      <c r="G513" s="344"/>
      <c r="H513" s="344"/>
      <c r="I513" s="344"/>
      <c r="J513" s="334"/>
      <c r="K513" s="335"/>
      <c r="L513" s="336"/>
      <c r="M513" s="336"/>
      <c r="N513" s="337"/>
      <c r="O513" s="337"/>
      <c r="P513" s="315"/>
      <c r="Q513" s="314"/>
      <c r="R513" s="317"/>
      <c r="S513" s="315"/>
      <c r="T513" s="315"/>
      <c r="U513" s="315"/>
      <c r="V513" s="258"/>
      <c r="W513" s="322"/>
      <c r="X513" s="318"/>
      <c r="Y513" s="315"/>
      <c r="Z513" s="318"/>
      <c r="AA513" s="314"/>
      <c r="AB513" s="336"/>
      <c r="AC513" s="314"/>
      <c r="AD513" s="316"/>
      <c r="AE513" s="315"/>
      <c r="AF513" s="315"/>
      <c r="AG513" s="315"/>
      <c r="AH513" s="315"/>
      <c r="AI513" s="377"/>
      <c r="AJ513" s="407"/>
      <c r="AK513" s="377"/>
      <c r="AL513" s="314"/>
      <c r="AM513" s="314"/>
      <c r="AN513" s="314"/>
      <c r="AO513" s="315"/>
      <c r="AP513" s="257"/>
      <c r="AQ513" s="257"/>
      <c r="AR513" s="257"/>
      <c r="AS513" s="315"/>
      <c r="AT513" s="257"/>
      <c r="AU513" s="257"/>
      <c r="AV513" s="316"/>
      <c r="AW513" s="314"/>
      <c r="AX513" s="315"/>
      <c r="AY513" s="315"/>
      <c r="AZ513" s="315"/>
      <c r="BA513" s="315"/>
      <c r="BB513" s="315"/>
      <c r="BC513" s="315"/>
      <c r="BD513" s="319"/>
      <c r="BE513" s="319"/>
      <c r="BF513" s="319"/>
      <c r="BG513" s="319"/>
      <c r="BH513" s="319"/>
      <c r="BI513" s="319"/>
      <c r="BJ513" s="319"/>
      <c r="BK513" s="315"/>
      <c r="BL513" s="316"/>
      <c r="BM513" s="314"/>
      <c r="BN513" s="319"/>
      <c r="BO513" s="315"/>
      <c r="BP513" s="314"/>
      <c r="BQ513" s="316"/>
      <c r="BR513" s="314"/>
      <c r="BS513" s="262"/>
      <c r="BT513" s="262"/>
    </row>
    <row r="514" spans="1:72" ht="45.75" customHeight="1">
      <c r="A514" s="342"/>
      <c r="B514" s="342"/>
      <c r="C514" s="342"/>
      <c r="D514" s="343"/>
      <c r="E514" s="342"/>
      <c r="F514" s="342"/>
      <c r="G514" s="344"/>
      <c r="H514" s="344"/>
      <c r="I514" s="344"/>
      <c r="J514" s="334"/>
      <c r="K514" s="335"/>
      <c r="L514" s="336"/>
      <c r="M514" s="336"/>
      <c r="N514" s="337"/>
      <c r="O514" s="337"/>
      <c r="P514" s="315"/>
      <c r="Q514" s="314"/>
      <c r="R514" s="317"/>
      <c r="S514" s="315"/>
      <c r="T514" s="315"/>
      <c r="U514" s="315"/>
      <c r="V514" s="258"/>
      <c r="W514" s="322"/>
      <c r="X514" s="318"/>
      <c r="Y514" s="315"/>
      <c r="Z514" s="318"/>
      <c r="AA514" s="314"/>
      <c r="AB514" s="336"/>
      <c r="AC514" s="314"/>
      <c r="AD514" s="316"/>
      <c r="AE514" s="315"/>
      <c r="AF514" s="315"/>
      <c r="AG514" s="315"/>
      <c r="AH514" s="315"/>
      <c r="AI514" s="377"/>
      <c r="AJ514" s="407"/>
      <c r="AK514" s="377"/>
      <c r="AL514" s="314"/>
      <c r="AM514" s="314"/>
      <c r="AN514" s="314"/>
      <c r="AO514" s="315"/>
      <c r="AP514" s="257"/>
      <c r="AQ514" s="257"/>
      <c r="AR514" s="257"/>
      <c r="AS514" s="315"/>
      <c r="AT514" s="257"/>
      <c r="AU514" s="257"/>
      <c r="AV514" s="316"/>
      <c r="AW514" s="314"/>
      <c r="AX514" s="315"/>
      <c r="AY514" s="315"/>
      <c r="AZ514" s="315"/>
      <c r="BA514" s="315"/>
      <c r="BB514" s="315"/>
      <c r="BC514" s="315"/>
      <c r="BD514" s="319"/>
      <c r="BE514" s="319"/>
      <c r="BF514" s="319"/>
      <c r="BG514" s="319"/>
      <c r="BH514" s="319"/>
      <c r="BI514" s="319"/>
      <c r="BJ514" s="319"/>
      <c r="BK514" s="315"/>
      <c r="BL514" s="316"/>
      <c r="BM514" s="314"/>
      <c r="BN514" s="319"/>
      <c r="BO514" s="315"/>
      <c r="BP514" s="314"/>
      <c r="BQ514" s="316"/>
      <c r="BR514" s="314"/>
      <c r="BS514" s="262"/>
      <c r="BT514" s="262"/>
    </row>
    <row r="515" spans="1:72" ht="45.75" customHeight="1">
      <c r="A515" s="342"/>
      <c r="B515" s="342"/>
      <c r="C515" s="342"/>
      <c r="D515" s="343"/>
      <c r="E515" s="342"/>
      <c r="F515" s="342"/>
      <c r="G515" s="344"/>
      <c r="H515" s="344"/>
      <c r="I515" s="344"/>
      <c r="J515" s="334"/>
      <c r="K515" s="335"/>
      <c r="L515" s="336"/>
      <c r="M515" s="336"/>
      <c r="N515" s="337"/>
      <c r="O515" s="337"/>
      <c r="P515" s="315"/>
      <c r="Q515" s="314"/>
      <c r="R515" s="317"/>
      <c r="S515" s="315"/>
      <c r="T515" s="315"/>
      <c r="U515" s="315"/>
      <c r="V515" s="258"/>
      <c r="W515" s="322"/>
      <c r="X515" s="318"/>
      <c r="Y515" s="315"/>
      <c r="Z515" s="318"/>
      <c r="AA515" s="314"/>
      <c r="AB515" s="336"/>
      <c r="AC515" s="314"/>
      <c r="AD515" s="316"/>
      <c r="AE515" s="315"/>
      <c r="AF515" s="315"/>
      <c r="AG515" s="315"/>
      <c r="AH515" s="315"/>
      <c r="AI515" s="377"/>
      <c r="AJ515" s="407"/>
      <c r="AK515" s="377"/>
      <c r="AL515" s="314"/>
      <c r="AM515" s="314"/>
      <c r="AN515" s="314"/>
      <c r="AO515" s="315"/>
      <c r="AP515" s="257"/>
      <c r="AQ515" s="257"/>
      <c r="AR515" s="257"/>
      <c r="AS515" s="315"/>
      <c r="AT515" s="257"/>
      <c r="AU515" s="257"/>
      <c r="AV515" s="316"/>
      <c r="AW515" s="314"/>
      <c r="AX515" s="315"/>
      <c r="AY515" s="315"/>
      <c r="AZ515" s="315"/>
      <c r="BA515" s="315"/>
      <c r="BB515" s="315"/>
      <c r="BC515" s="315"/>
      <c r="BD515" s="319"/>
      <c r="BE515" s="319"/>
      <c r="BF515" s="319"/>
      <c r="BG515" s="319"/>
      <c r="BH515" s="319"/>
      <c r="BI515" s="319"/>
      <c r="BJ515" s="319"/>
      <c r="BK515" s="315"/>
      <c r="BL515" s="316"/>
      <c r="BM515" s="314"/>
      <c r="BN515" s="319"/>
      <c r="BO515" s="315"/>
      <c r="BP515" s="314"/>
      <c r="BQ515" s="316"/>
      <c r="BR515" s="314"/>
      <c r="BS515" s="262"/>
      <c r="BT515" s="262"/>
    </row>
    <row r="516" spans="1:72" ht="45.75" customHeight="1">
      <c r="A516" s="342"/>
      <c r="B516" s="342"/>
      <c r="C516" s="342"/>
      <c r="D516" s="343"/>
      <c r="E516" s="342"/>
      <c r="F516" s="342"/>
      <c r="G516" s="344"/>
      <c r="H516" s="344"/>
      <c r="I516" s="344"/>
      <c r="J516" s="334"/>
      <c r="K516" s="335"/>
      <c r="L516" s="336"/>
      <c r="M516" s="336"/>
      <c r="N516" s="337"/>
      <c r="O516" s="337"/>
      <c r="P516" s="315"/>
      <c r="Q516" s="314"/>
      <c r="R516" s="317"/>
      <c r="S516" s="315"/>
      <c r="T516" s="315"/>
      <c r="U516" s="315"/>
      <c r="V516" s="258"/>
      <c r="W516" s="322"/>
      <c r="X516" s="318"/>
      <c r="Y516" s="315"/>
      <c r="Z516" s="318"/>
      <c r="AA516" s="314"/>
      <c r="AB516" s="336"/>
      <c r="AC516" s="314"/>
      <c r="AD516" s="316"/>
      <c r="AE516" s="315"/>
      <c r="AF516" s="315"/>
      <c r="AG516" s="315"/>
      <c r="AH516" s="315"/>
      <c r="AI516" s="377"/>
      <c r="AJ516" s="407"/>
      <c r="AK516" s="377"/>
      <c r="AL516" s="314"/>
      <c r="AM516" s="314"/>
      <c r="AN516" s="314"/>
      <c r="AO516" s="315"/>
      <c r="AP516" s="257"/>
      <c r="AQ516" s="257"/>
      <c r="AR516" s="257"/>
      <c r="AS516" s="315"/>
      <c r="AT516" s="257"/>
      <c r="AU516" s="257"/>
      <c r="AV516" s="316"/>
      <c r="AW516" s="314"/>
      <c r="AX516" s="315"/>
      <c r="AY516" s="315"/>
      <c r="AZ516" s="315"/>
      <c r="BA516" s="315"/>
      <c r="BB516" s="315"/>
      <c r="BC516" s="315"/>
      <c r="BD516" s="319"/>
      <c r="BE516" s="319"/>
      <c r="BF516" s="319"/>
      <c r="BG516" s="319"/>
      <c r="BH516" s="319"/>
      <c r="BI516" s="319"/>
      <c r="BJ516" s="319"/>
      <c r="BK516" s="315"/>
      <c r="BL516" s="316"/>
      <c r="BM516" s="314"/>
      <c r="BN516" s="319"/>
      <c r="BO516" s="315"/>
      <c r="BP516" s="314"/>
      <c r="BQ516" s="316"/>
      <c r="BR516" s="314"/>
      <c r="BS516" s="262"/>
      <c r="BT516" s="262"/>
    </row>
    <row r="517" spans="1:72" ht="45.75" customHeight="1">
      <c r="A517" s="342"/>
      <c r="B517" s="342"/>
      <c r="C517" s="342"/>
      <c r="D517" s="343"/>
      <c r="E517" s="342"/>
      <c r="F517" s="342"/>
      <c r="G517" s="344"/>
      <c r="H517" s="344"/>
      <c r="I517" s="344"/>
      <c r="J517" s="334"/>
      <c r="K517" s="335"/>
      <c r="L517" s="336"/>
      <c r="M517" s="336"/>
      <c r="N517" s="337"/>
      <c r="O517" s="337"/>
      <c r="P517" s="315"/>
      <c r="Q517" s="314"/>
      <c r="R517" s="317"/>
      <c r="S517" s="315"/>
      <c r="T517" s="315"/>
      <c r="U517" s="315"/>
      <c r="V517" s="258"/>
      <c r="W517" s="322"/>
      <c r="X517" s="318"/>
      <c r="Y517" s="315"/>
      <c r="Z517" s="318"/>
      <c r="AA517" s="314"/>
      <c r="AB517" s="336"/>
      <c r="AC517" s="314"/>
      <c r="AD517" s="316"/>
      <c r="AE517" s="315"/>
      <c r="AF517" s="315"/>
      <c r="AG517" s="315"/>
      <c r="AH517" s="315"/>
      <c r="AI517" s="377"/>
      <c r="AJ517" s="407"/>
      <c r="AK517" s="377"/>
      <c r="AL517" s="314"/>
      <c r="AM517" s="314"/>
      <c r="AN517" s="314"/>
      <c r="AO517" s="315"/>
      <c r="AP517" s="257"/>
      <c r="AQ517" s="257"/>
      <c r="AR517" s="257"/>
      <c r="AS517" s="315"/>
      <c r="AT517" s="257"/>
      <c r="AU517" s="257"/>
      <c r="AV517" s="316"/>
      <c r="AW517" s="314"/>
      <c r="AX517" s="315"/>
      <c r="AY517" s="315"/>
      <c r="AZ517" s="315"/>
      <c r="BA517" s="315"/>
      <c r="BB517" s="315"/>
      <c r="BC517" s="315"/>
      <c r="BD517" s="319"/>
      <c r="BE517" s="319"/>
      <c r="BF517" s="319"/>
      <c r="BG517" s="319"/>
      <c r="BH517" s="319"/>
      <c r="BI517" s="319"/>
      <c r="BJ517" s="319"/>
      <c r="BK517" s="315"/>
      <c r="BL517" s="316"/>
      <c r="BM517" s="314"/>
      <c r="BN517" s="319"/>
      <c r="BO517" s="315"/>
      <c r="BP517" s="314"/>
      <c r="BQ517" s="316"/>
      <c r="BR517" s="314"/>
      <c r="BS517" s="262"/>
      <c r="BT517" s="262"/>
    </row>
    <row r="518" spans="1:72" ht="45.75" customHeight="1">
      <c r="A518" s="342"/>
      <c r="B518" s="342"/>
      <c r="C518" s="342"/>
      <c r="D518" s="343"/>
      <c r="E518" s="342"/>
      <c r="F518" s="342"/>
      <c r="G518" s="344"/>
      <c r="H518" s="344"/>
      <c r="I518" s="344"/>
      <c r="J518" s="334"/>
      <c r="K518" s="335"/>
      <c r="L518" s="336"/>
      <c r="M518" s="336"/>
      <c r="N518" s="337"/>
      <c r="O518" s="337"/>
      <c r="P518" s="315"/>
      <c r="Q518" s="314"/>
      <c r="R518" s="317"/>
      <c r="S518" s="315"/>
      <c r="T518" s="315"/>
      <c r="U518" s="315"/>
      <c r="V518" s="258"/>
      <c r="W518" s="322"/>
      <c r="X518" s="318"/>
      <c r="Y518" s="315"/>
      <c r="Z518" s="318"/>
      <c r="AA518" s="314"/>
      <c r="AB518" s="336"/>
      <c r="AC518" s="314"/>
      <c r="AD518" s="316"/>
      <c r="AE518" s="315"/>
      <c r="AF518" s="315"/>
      <c r="AG518" s="315"/>
      <c r="AH518" s="315"/>
      <c r="AI518" s="377"/>
      <c r="AJ518" s="407"/>
      <c r="AK518" s="377"/>
      <c r="AL518" s="314"/>
      <c r="AM518" s="314"/>
      <c r="AN518" s="314"/>
      <c r="AO518" s="315"/>
      <c r="AP518" s="257"/>
      <c r="AQ518" s="257"/>
      <c r="AR518" s="257"/>
      <c r="AS518" s="315"/>
      <c r="AT518" s="257"/>
      <c r="AU518" s="257"/>
      <c r="AV518" s="316"/>
      <c r="AW518" s="314"/>
      <c r="AX518" s="315"/>
      <c r="AY518" s="315"/>
      <c r="AZ518" s="315"/>
      <c r="BA518" s="315"/>
      <c r="BB518" s="315"/>
      <c r="BC518" s="315"/>
      <c r="BD518" s="319"/>
      <c r="BE518" s="319"/>
      <c r="BF518" s="319"/>
      <c r="BG518" s="319"/>
      <c r="BH518" s="319"/>
      <c r="BI518" s="319"/>
      <c r="BJ518" s="319"/>
      <c r="BK518" s="315"/>
      <c r="BL518" s="316"/>
      <c r="BM518" s="314"/>
      <c r="BN518" s="319"/>
      <c r="BO518" s="315"/>
      <c r="BP518" s="314"/>
      <c r="BQ518" s="316"/>
      <c r="BR518" s="314"/>
      <c r="BS518" s="262"/>
      <c r="BT518" s="262"/>
    </row>
    <row r="519" spans="1:72" ht="45.75" customHeight="1">
      <c r="A519" s="342"/>
      <c r="B519" s="342"/>
      <c r="C519" s="342"/>
      <c r="D519" s="343"/>
      <c r="E519" s="342"/>
      <c r="F519" s="342"/>
      <c r="G519" s="344"/>
      <c r="H519" s="344"/>
      <c r="I519" s="344"/>
      <c r="J519" s="334"/>
      <c r="K519" s="335"/>
      <c r="L519" s="336"/>
      <c r="M519" s="336"/>
      <c r="N519" s="337"/>
      <c r="O519" s="337"/>
      <c r="P519" s="315"/>
      <c r="Q519" s="314"/>
      <c r="R519" s="317"/>
      <c r="S519" s="315"/>
      <c r="T519" s="315"/>
      <c r="U519" s="315"/>
      <c r="V519" s="258"/>
      <c r="W519" s="322"/>
      <c r="X519" s="318"/>
      <c r="Y519" s="315"/>
      <c r="Z519" s="318"/>
      <c r="AA519" s="314"/>
      <c r="AB519" s="336"/>
      <c r="AC519" s="314"/>
      <c r="AD519" s="316"/>
      <c r="AE519" s="315"/>
      <c r="AF519" s="315"/>
      <c r="AG519" s="315"/>
      <c r="AH519" s="315"/>
      <c r="AI519" s="377"/>
      <c r="AJ519" s="407"/>
      <c r="AK519" s="377"/>
      <c r="AL519" s="314"/>
      <c r="AM519" s="314"/>
      <c r="AN519" s="314"/>
      <c r="AO519" s="315"/>
      <c r="AP519" s="257"/>
      <c r="AQ519" s="257"/>
      <c r="AR519" s="257"/>
      <c r="AS519" s="315"/>
      <c r="AT519" s="257"/>
      <c r="AU519" s="257"/>
      <c r="AV519" s="316"/>
      <c r="AW519" s="314"/>
      <c r="AX519" s="315"/>
      <c r="AY519" s="315"/>
      <c r="AZ519" s="315"/>
      <c r="BA519" s="315"/>
      <c r="BB519" s="315"/>
      <c r="BC519" s="315"/>
      <c r="BD519" s="319"/>
      <c r="BE519" s="319"/>
      <c r="BF519" s="319"/>
      <c r="BG519" s="319"/>
      <c r="BH519" s="319"/>
      <c r="BI519" s="319"/>
      <c r="BJ519" s="319"/>
      <c r="BK519" s="315"/>
      <c r="BL519" s="316"/>
      <c r="BM519" s="314"/>
      <c r="BN519" s="319"/>
      <c r="BO519" s="315"/>
      <c r="BP519" s="314"/>
      <c r="BQ519" s="316"/>
      <c r="BR519" s="314"/>
      <c r="BS519" s="262"/>
      <c r="BT519" s="262"/>
    </row>
    <row r="520" spans="1:72" ht="45.75" customHeight="1">
      <c r="A520" s="342"/>
      <c r="B520" s="342"/>
      <c r="C520" s="342"/>
      <c r="D520" s="343"/>
      <c r="E520" s="342"/>
      <c r="F520" s="342"/>
      <c r="G520" s="344"/>
      <c r="H520" s="344"/>
      <c r="I520" s="344"/>
      <c r="J520" s="334"/>
      <c r="K520" s="335"/>
      <c r="L520" s="336"/>
      <c r="M520" s="336"/>
      <c r="N520" s="337"/>
      <c r="O520" s="337"/>
      <c r="P520" s="315"/>
      <c r="Q520" s="314"/>
      <c r="R520" s="317"/>
      <c r="S520" s="315"/>
      <c r="T520" s="315"/>
      <c r="U520" s="315"/>
      <c r="V520" s="258"/>
      <c r="W520" s="322"/>
      <c r="X520" s="318"/>
      <c r="Y520" s="315"/>
      <c r="Z520" s="318"/>
      <c r="AA520" s="314"/>
      <c r="AB520" s="336"/>
      <c r="AC520" s="314"/>
      <c r="AD520" s="316"/>
      <c r="AE520" s="315"/>
      <c r="AF520" s="315"/>
      <c r="AG520" s="315"/>
      <c r="AH520" s="315"/>
      <c r="AI520" s="377"/>
      <c r="AJ520" s="407"/>
      <c r="AK520" s="377"/>
      <c r="AL520" s="314"/>
      <c r="AM520" s="314"/>
      <c r="AN520" s="314"/>
      <c r="AO520" s="315"/>
      <c r="AP520" s="257"/>
      <c r="AQ520" s="257"/>
      <c r="AR520" s="257"/>
      <c r="AS520" s="315"/>
      <c r="AT520" s="257"/>
      <c r="AU520" s="257"/>
      <c r="AV520" s="316"/>
      <c r="AW520" s="314"/>
      <c r="AX520" s="315"/>
      <c r="AY520" s="315"/>
      <c r="AZ520" s="315"/>
      <c r="BA520" s="315"/>
      <c r="BB520" s="315"/>
      <c r="BC520" s="315"/>
      <c r="BD520" s="319"/>
      <c r="BE520" s="319"/>
      <c r="BF520" s="319"/>
      <c r="BG520" s="319"/>
      <c r="BH520" s="319"/>
      <c r="BI520" s="319"/>
      <c r="BJ520" s="319"/>
      <c r="BK520" s="315"/>
      <c r="BL520" s="316"/>
      <c r="BM520" s="314"/>
      <c r="BN520" s="319"/>
      <c r="BO520" s="315"/>
      <c r="BP520" s="314"/>
      <c r="BQ520" s="316"/>
      <c r="BR520" s="314"/>
      <c r="BS520" s="262"/>
      <c r="BT520" s="262"/>
    </row>
    <row r="521" spans="1:72" ht="45.75" customHeight="1">
      <c r="A521" s="342"/>
      <c r="B521" s="342"/>
      <c r="C521" s="342"/>
      <c r="D521" s="343"/>
      <c r="E521" s="342"/>
      <c r="F521" s="342"/>
      <c r="G521" s="344"/>
      <c r="H521" s="344"/>
      <c r="I521" s="344"/>
      <c r="J521" s="334"/>
      <c r="K521" s="335"/>
      <c r="L521" s="336"/>
      <c r="M521" s="336"/>
      <c r="N521" s="337"/>
      <c r="O521" s="337"/>
      <c r="P521" s="315"/>
      <c r="Q521" s="314"/>
      <c r="R521" s="317"/>
      <c r="S521" s="315"/>
      <c r="T521" s="315"/>
      <c r="U521" s="315"/>
      <c r="V521" s="258"/>
      <c r="W521" s="322"/>
      <c r="X521" s="318"/>
      <c r="Y521" s="315"/>
      <c r="Z521" s="318"/>
      <c r="AA521" s="314"/>
      <c r="AB521" s="336"/>
      <c r="AC521" s="314"/>
      <c r="AD521" s="316"/>
      <c r="AE521" s="315"/>
      <c r="AF521" s="315"/>
      <c r="AG521" s="315"/>
      <c r="AH521" s="315"/>
      <c r="AI521" s="377"/>
      <c r="AJ521" s="407"/>
      <c r="AK521" s="377"/>
      <c r="AL521" s="314"/>
      <c r="AM521" s="314"/>
      <c r="AN521" s="314"/>
      <c r="AO521" s="315"/>
      <c r="AP521" s="257"/>
      <c r="AQ521" s="257"/>
      <c r="AR521" s="257"/>
      <c r="AS521" s="315"/>
      <c r="AT521" s="257"/>
      <c r="AU521" s="257"/>
      <c r="AV521" s="316"/>
      <c r="AW521" s="314"/>
      <c r="AX521" s="315"/>
      <c r="AY521" s="315"/>
      <c r="AZ521" s="315"/>
      <c r="BA521" s="315"/>
      <c r="BB521" s="315"/>
      <c r="BC521" s="315"/>
      <c r="BD521" s="319"/>
      <c r="BE521" s="319"/>
      <c r="BF521" s="319"/>
      <c r="BG521" s="319"/>
      <c r="BH521" s="319"/>
      <c r="BI521" s="319"/>
      <c r="BJ521" s="319"/>
      <c r="BK521" s="315"/>
      <c r="BL521" s="316"/>
      <c r="BM521" s="314"/>
      <c r="BN521" s="319"/>
      <c r="BO521" s="315"/>
      <c r="BP521" s="314"/>
      <c r="BQ521" s="316"/>
      <c r="BR521" s="314"/>
      <c r="BS521" s="262"/>
      <c r="BT521" s="262"/>
    </row>
    <row r="522" spans="1:72" ht="45.75" customHeight="1">
      <c r="A522" s="342"/>
      <c r="B522" s="342"/>
      <c r="C522" s="342"/>
      <c r="D522" s="343"/>
      <c r="E522" s="342"/>
      <c r="F522" s="342"/>
      <c r="G522" s="344"/>
      <c r="H522" s="344"/>
      <c r="I522" s="344"/>
      <c r="J522" s="334"/>
      <c r="K522" s="335"/>
      <c r="L522" s="336"/>
      <c r="M522" s="336"/>
      <c r="N522" s="337"/>
      <c r="O522" s="337"/>
      <c r="P522" s="315"/>
      <c r="Q522" s="314"/>
      <c r="R522" s="317"/>
      <c r="S522" s="315"/>
      <c r="T522" s="315"/>
      <c r="U522" s="315"/>
      <c r="V522" s="258"/>
      <c r="W522" s="322"/>
      <c r="X522" s="318"/>
      <c r="Y522" s="315"/>
      <c r="Z522" s="318"/>
      <c r="AA522" s="314"/>
      <c r="AB522" s="336"/>
      <c r="AC522" s="314"/>
      <c r="AD522" s="316"/>
      <c r="AE522" s="315"/>
      <c r="AF522" s="315"/>
      <c r="AG522" s="315"/>
      <c r="AH522" s="315"/>
      <c r="AI522" s="377"/>
      <c r="AJ522" s="407"/>
      <c r="AK522" s="377"/>
      <c r="AL522" s="314"/>
      <c r="AM522" s="314"/>
      <c r="AN522" s="314"/>
      <c r="AO522" s="315"/>
      <c r="AP522" s="257"/>
      <c r="AQ522" s="257"/>
      <c r="AR522" s="257"/>
      <c r="AS522" s="315"/>
      <c r="AT522" s="257"/>
      <c r="AU522" s="257"/>
      <c r="AV522" s="316"/>
      <c r="AW522" s="314"/>
      <c r="AX522" s="315"/>
      <c r="AY522" s="315"/>
      <c r="AZ522" s="315"/>
      <c r="BA522" s="315"/>
      <c r="BB522" s="315"/>
      <c r="BC522" s="315"/>
      <c r="BD522" s="319"/>
      <c r="BE522" s="319"/>
      <c r="BF522" s="319"/>
      <c r="BG522" s="319"/>
      <c r="BH522" s="319"/>
      <c r="BI522" s="319"/>
      <c r="BJ522" s="319"/>
      <c r="BK522" s="315"/>
      <c r="BL522" s="316"/>
      <c r="BM522" s="314"/>
      <c r="BN522" s="319"/>
      <c r="BO522" s="315"/>
      <c r="BP522" s="314"/>
      <c r="BQ522" s="316"/>
      <c r="BR522" s="314"/>
      <c r="BS522" s="262"/>
      <c r="BT522" s="262"/>
    </row>
    <row r="523" spans="1:72" ht="45.75" customHeight="1">
      <c r="A523" s="342"/>
      <c r="B523" s="342"/>
      <c r="C523" s="342"/>
      <c r="D523" s="343"/>
      <c r="E523" s="342"/>
      <c r="F523" s="342"/>
      <c r="G523" s="344"/>
      <c r="H523" s="344"/>
      <c r="I523" s="344"/>
      <c r="J523" s="334"/>
      <c r="K523" s="335"/>
      <c r="L523" s="336"/>
      <c r="M523" s="336"/>
      <c r="N523" s="337"/>
      <c r="O523" s="337"/>
      <c r="P523" s="315"/>
      <c r="Q523" s="314"/>
      <c r="R523" s="317"/>
      <c r="S523" s="315"/>
      <c r="T523" s="315"/>
      <c r="U523" s="315"/>
      <c r="V523" s="258"/>
      <c r="W523" s="322"/>
      <c r="X523" s="318"/>
      <c r="Y523" s="315"/>
      <c r="Z523" s="318"/>
      <c r="AA523" s="314"/>
      <c r="AB523" s="336"/>
      <c r="AC523" s="314"/>
      <c r="AD523" s="316"/>
      <c r="AE523" s="315"/>
      <c r="AF523" s="315"/>
      <c r="AG523" s="315"/>
      <c r="AH523" s="315"/>
      <c r="AI523" s="377"/>
      <c r="AJ523" s="407"/>
      <c r="AK523" s="377"/>
      <c r="AL523" s="314"/>
      <c r="AM523" s="314"/>
      <c r="AN523" s="314"/>
      <c r="AO523" s="315"/>
      <c r="AP523" s="257"/>
      <c r="AQ523" s="257"/>
      <c r="AR523" s="257"/>
      <c r="AS523" s="315"/>
      <c r="AT523" s="257"/>
      <c r="AU523" s="257"/>
      <c r="AV523" s="316"/>
      <c r="AW523" s="314"/>
      <c r="AX523" s="315"/>
      <c r="AY523" s="315"/>
      <c r="AZ523" s="315"/>
      <c r="BA523" s="315"/>
      <c r="BB523" s="315"/>
      <c r="BC523" s="315"/>
      <c r="BD523" s="319"/>
      <c r="BE523" s="319"/>
      <c r="BF523" s="319"/>
      <c r="BG523" s="319"/>
      <c r="BH523" s="319"/>
      <c r="BI523" s="319"/>
      <c r="BJ523" s="319"/>
      <c r="BK523" s="315"/>
      <c r="BL523" s="316"/>
      <c r="BM523" s="314"/>
      <c r="BN523" s="319"/>
      <c r="BO523" s="315"/>
      <c r="BP523" s="314"/>
      <c r="BQ523" s="316"/>
      <c r="BR523" s="314"/>
      <c r="BS523" s="262"/>
      <c r="BT523" s="262"/>
    </row>
    <row r="524" spans="1:72" ht="45.75" customHeight="1">
      <c r="A524" s="342"/>
      <c r="B524" s="342"/>
      <c r="C524" s="342"/>
      <c r="D524" s="343"/>
      <c r="E524" s="342"/>
      <c r="F524" s="342"/>
      <c r="G524" s="344"/>
      <c r="H524" s="344"/>
      <c r="I524" s="344"/>
      <c r="J524" s="334"/>
      <c r="K524" s="335"/>
      <c r="L524" s="336"/>
      <c r="M524" s="336"/>
      <c r="N524" s="337"/>
      <c r="O524" s="337"/>
      <c r="P524" s="315"/>
      <c r="Q524" s="314"/>
      <c r="R524" s="317"/>
      <c r="S524" s="315"/>
      <c r="T524" s="315"/>
      <c r="U524" s="315"/>
      <c r="V524" s="258"/>
      <c r="W524" s="322"/>
      <c r="X524" s="318"/>
      <c r="Y524" s="315"/>
      <c r="Z524" s="318"/>
      <c r="AA524" s="314"/>
      <c r="AB524" s="336"/>
      <c r="AC524" s="314"/>
      <c r="AD524" s="316"/>
      <c r="AE524" s="315"/>
      <c r="AF524" s="315"/>
      <c r="AG524" s="315"/>
      <c r="AH524" s="315"/>
      <c r="AI524" s="377"/>
      <c r="AJ524" s="407"/>
      <c r="AK524" s="377"/>
      <c r="AL524" s="314"/>
      <c r="AM524" s="314"/>
      <c r="AN524" s="314"/>
      <c r="AO524" s="315"/>
      <c r="AP524" s="257"/>
      <c r="AQ524" s="257"/>
      <c r="AR524" s="257"/>
      <c r="AS524" s="315"/>
      <c r="AT524" s="257"/>
      <c r="AU524" s="257"/>
      <c r="AV524" s="316"/>
      <c r="AW524" s="314"/>
      <c r="AX524" s="315"/>
      <c r="AY524" s="315"/>
      <c r="AZ524" s="315"/>
      <c r="BA524" s="315"/>
      <c r="BB524" s="315"/>
      <c r="BC524" s="315"/>
      <c r="BD524" s="319"/>
      <c r="BE524" s="319"/>
      <c r="BF524" s="319"/>
      <c r="BG524" s="319"/>
      <c r="BH524" s="319"/>
      <c r="BI524" s="319"/>
      <c r="BJ524" s="319"/>
      <c r="BK524" s="315"/>
      <c r="BL524" s="316"/>
      <c r="BM524" s="314"/>
      <c r="BN524" s="319"/>
      <c r="BO524" s="315"/>
      <c r="BP524" s="314"/>
      <c r="BQ524" s="316"/>
      <c r="BR524" s="314"/>
      <c r="BS524" s="262"/>
      <c r="BT524" s="262"/>
    </row>
    <row r="525" spans="1:72" ht="45.75" customHeight="1">
      <c r="A525" s="342"/>
      <c r="B525" s="342"/>
      <c r="C525" s="342"/>
      <c r="D525" s="343"/>
      <c r="E525" s="342"/>
      <c r="F525" s="342"/>
      <c r="G525" s="344"/>
      <c r="H525" s="344"/>
      <c r="I525" s="344"/>
      <c r="J525" s="334"/>
      <c r="K525" s="335"/>
      <c r="L525" s="336"/>
      <c r="M525" s="336"/>
      <c r="N525" s="337"/>
      <c r="O525" s="337"/>
      <c r="P525" s="315"/>
      <c r="Q525" s="314"/>
      <c r="R525" s="317"/>
      <c r="S525" s="315"/>
      <c r="T525" s="315"/>
      <c r="U525" s="315"/>
      <c r="V525" s="258"/>
      <c r="W525" s="322"/>
      <c r="X525" s="318"/>
      <c r="Y525" s="315"/>
      <c r="Z525" s="318"/>
      <c r="AA525" s="314"/>
      <c r="AB525" s="336"/>
      <c r="AC525" s="314"/>
      <c r="AD525" s="316"/>
      <c r="AE525" s="315"/>
      <c r="AF525" s="315"/>
      <c r="AG525" s="315"/>
      <c r="AH525" s="315"/>
      <c r="AI525" s="377"/>
      <c r="AJ525" s="407"/>
      <c r="AK525" s="377"/>
      <c r="AL525" s="314"/>
      <c r="AM525" s="314"/>
      <c r="AN525" s="314"/>
      <c r="AO525" s="315"/>
      <c r="AP525" s="257"/>
      <c r="AQ525" s="257"/>
      <c r="AR525" s="257"/>
      <c r="AS525" s="315"/>
      <c r="AT525" s="257"/>
      <c r="AU525" s="257"/>
      <c r="AV525" s="316"/>
      <c r="AW525" s="314"/>
      <c r="AX525" s="315"/>
      <c r="AY525" s="315"/>
      <c r="AZ525" s="315"/>
      <c r="BA525" s="315"/>
      <c r="BB525" s="315"/>
      <c r="BC525" s="315"/>
      <c r="BD525" s="319"/>
      <c r="BE525" s="319"/>
      <c r="BF525" s="319"/>
      <c r="BG525" s="319"/>
      <c r="BH525" s="319"/>
      <c r="BI525" s="319"/>
      <c r="BJ525" s="319"/>
      <c r="BK525" s="315"/>
      <c r="BL525" s="316"/>
      <c r="BM525" s="314"/>
      <c r="BN525" s="319"/>
      <c r="BO525" s="315"/>
      <c r="BP525" s="314"/>
      <c r="BQ525" s="316"/>
      <c r="BR525" s="314"/>
      <c r="BS525" s="262"/>
      <c r="BT525" s="262"/>
    </row>
    <row r="526" spans="1:72" ht="45.75" customHeight="1">
      <c r="A526" s="342"/>
      <c r="B526" s="342"/>
      <c r="C526" s="342"/>
      <c r="D526" s="343"/>
      <c r="E526" s="342"/>
      <c r="F526" s="342"/>
      <c r="G526" s="344"/>
      <c r="H526" s="344"/>
      <c r="I526" s="344"/>
      <c r="J526" s="334"/>
      <c r="K526" s="335"/>
      <c r="L526" s="336"/>
      <c r="M526" s="336"/>
      <c r="N526" s="337"/>
      <c r="O526" s="337"/>
      <c r="P526" s="315"/>
      <c r="Q526" s="314"/>
      <c r="R526" s="317"/>
      <c r="S526" s="315"/>
      <c r="T526" s="315"/>
      <c r="U526" s="315"/>
      <c r="V526" s="258"/>
      <c r="W526" s="322"/>
      <c r="X526" s="318"/>
      <c r="Y526" s="315"/>
      <c r="Z526" s="318"/>
      <c r="AA526" s="314"/>
      <c r="AB526" s="336"/>
      <c r="AC526" s="314"/>
      <c r="AD526" s="316"/>
      <c r="AE526" s="315"/>
      <c r="AF526" s="315"/>
      <c r="AG526" s="315"/>
      <c r="AH526" s="315"/>
      <c r="AI526" s="377"/>
      <c r="AJ526" s="407"/>
      <c r="AK526" s="377"/>
      <c r="AL526" s="314"/>
      <c r="AM526" s="314"/>
      <c r="AN526" s="314"/>
      <c r="AO526" s="315"/>
      <c r="AP526" s="257"/>
      <c r="AQ526" s="257"/>
      <c r="AR526" s="257"/>
      <c r="AS526" s="315"/>
      <c r="AT526" s="257"/>
      <c r="AU526" s="257"/>
      <c r="AV526" s="316"/>
      <c r="AW526" s="314"/>
      <c r="AX526" s="315"/>
      <c r="AY526" s="315"/>
      <c r="AZ526" s="315"/>
      <c r="BA526" s="315"/>
      <c r="BB526" s="315"/>
      <c r="BC526" s="315"/>
      <c r="BD526" s="319"/>
      <c r="BE526" s="319"/>
      <c r="BF526" s="319"/>
      <c r="BG526" s="319"/>
      <c r="BH526" s="319"/>
      <c r="BI526" s="319"/>
      <c r="BJ526" s="319"/>
      <c r="BK526" s="315"/>
      <c r="BL526" s="316"/>
      <c r="BM526" s="314"/>
      <c r="BN526" s="319"/>
      <c r="BO526" s="315"/>
      <c r="BP526" s="314"/>
      <c r="BQ526" s="316"/>
      <c r="BR526" s="314"/>
      <c r="BS526" s="262"/>
      <c r="BT526" s="262"/>
    </row>
    <row r="527" spans="1:72" ht="45.75" customHeight="1">
      <c r="A527" s="342"/>
      <c r="B527" s="342"/>
      <c r="C527" s="342"/>
      <c r="D527" s="343"/>
      <c r="E527" s="342"/>
      <c r="F527" s="342"/>
      <c r="G527" s="344"/>
      <c r="H527" s="344"/>
      <c r="I527" s="344"/>
      <c r="J527" s="334"/>
      <c r="K527" s="335"/>
      <c r="L527" s="336"/>
      <c r="M527" s="336"/>
      <c r="N527" s="337"/>
      <c r="O527" s="337"/>
      <c r="P527" s="315"/>
      <c r="Q527" s="314"/>
      <c r="R527" s="317"/>
      <c r="S527" s="315"/>
      <c r="T527" s="315"/>
      <c r="U527" s="315"/>
      <c r="V527" s="258"/>
      <c r="W527" s="322"/>
      <c r="X527" s="318"/>
      <c r="Y527" s="315"/>
      <c r="Z527" s="318"/>
      <c r="AA527" s="314"/>
      <c r="AB527" s="336"/>
      <c r="AC527" s="314"/>
      <c r="AD527" s="316"/>
      <c r="AE527" s="315"/>
      <c r="AF527" s="315"/>
      <c r="AG527" s="315"/>
      <c r="AH527" s="315"/>
      <c r="AI527" s="377"/>
      <c r="AJ527" s="407"/>
      <c r="AK527" s="377"/>
      <c r="AL527" s="314"/>
      <c r="AM527" s="314"/>
      <c r="AN527" s="314"/>
      <c r="AO527" s="315"/>
      <c r="AP527" s="257"/>
      <c r="AQ527" s="257"/>
      <c r="AR527" s="257"/>
      <c r="AS527" s="315"/>
      <c r="AT527" s="257"/>
      <c r="AU527" s="257"/>
      <c r="AV527" s="316"/>
      <c r="AW527" s="314"/>
      <c r="AX527" s="315"/>
      <c r="AY527" s="315"/>
      <c r="AZ527" s="315"/>
      <c r="BA527" s="315"/>
      <c r="BB527" s="315"/>
      <c r="BC527" s="315"/>
      <c r="BD527" s="319"/>
      <c r="BE527" s="319"/>
      <c r="BF527" s="319"/>
      <c r="BG527" s="319"/>
      <c r="BH527" s="319"/>
      <c r="BI527" s="319"/>
      <c r="BJ527" s="319"/>
      <c r="BK527" s="315"/>
      <c r="BL527" s="316"/>
      <c r="BM527" s="314"/>
      <c r="BN527" s="319"/>
      <c r="BO527" s="315"/>
      <c r="BP527" s="314"/>
      <c r="BQ527" s="316"/>
      <c r="BR527" s="314"/>
      <c r="BS527" s="262"/>
      <c r="BT527" s="262"/>
    </row>
    <row r="528" spans="1:72" ht="45.75" customHeight="1">
      <c r="A528" s="342"/>
      <c r="B528" s="342"/>
      <c r="C528" s="342"/>
      <c r="D528" s="343"/>
      <c r="E528" s="342"/>
      <c r="F528" s="342"/>
      <c r="G528" s="344"/>
      <c r="H528" s="344"/>
      <c r="I528" s="344"/>
      <c r="J528" s="334"/>
      <c r="K528" s="335"/>
      <c r="L528" s="336"/>
      <c r="M528" s="336"/>
      <c r="N528" s="337"/>
      <c r="O528" s="337"/>
      <c r="P528" s="315"/>
      <c r="Q528" s="314"/>
      <c r="R528" s="317"/>
      <c r="S528" s="315"/>
      <c r="T528" s="315"/>
      <c r="U528" s="315"/>
      <c r="V528" s="258"/>
      <c r="W528" s="322"/>
      <c r="X528" s="318"/>
      <c r="Y528" s="315"/>
      <c r="Z528" s="318"/>
      <c r="AA528" s="314"/>
      <c r="AB528" s="336"/>
      <c r="AC528" s="314"/>
      <c r="AD528" s="316"/>
      <c r="AE528" s="315"/>
      <c r="AF528" s="315"/>
      <c r="AG528" s="315"/>
      <c r="AH528" s="315"/>
      <c r="AI528" s="377"/>
      <c r="AJ528" s="407"/>
      <c r="AK528" s="377"/>
      <c r="AL528" s="314"/>
      <c r="AM528" s="314"/>
      <c r="AN528" s="314"/>
      <c r="AO528" s="315"/>
      <c r="AP528" s="257"/>
      <c r="AQ528" s="257"/>
      <c r="AR528" s="257"/>
      <c r="AS528" s="315"/>
      <c r="AT528" s="257"/>
      <c r="AU528" s="257"/>
      <c r="AV528" s="316"/>
      <c r="AW528" s="314"/>
      <c r="AX528" s="315"/>
      <c r="AY528" s="315"/>
      <c r="AZ528" s="315"/>
      <c r="BA528" s="315"/>
      <c r="BB528" s="315"/>
      <c r="BC528" s="315"/>
      <c r="BD528" s="319"/>
      <c r="BE528" s="319"/>
      <c r="BF528" s="319"/>
      <c r="BG528" s="319"/>
      <c r="BH528" s="319"/>
      <c r="BI528" s="319"/>
      <c r="BJ528" s="319"/>
      <c r="BK528" s="315"/>
      <c r="BL528" s="316"/>
      <c r="BM528" s="314"/>
      <c r="BN528" s="319"/>
      <c r="BO528" s="315"/>
      <c r="BP528" s="314"/>
      <c r="BQ528" s="316"/>
      <c r="BR528" s="314"/>
      <c r="BS528" s="262"/>
      <c r="BT528" s="262"/>
    </row>
    <row r="529" spans="1:72" ht="45.75" customHeight="1">
      <c r="A529" s="342"/>
      <c r="B529" s="342"/>
      <c r="C529" s="342"/>
      <c r="D529" s="343"/>
      <c r="E529" s="342"/>
      <c r="F529" s="342"/>
      <c r="G529" s="344"/>
      <c r="H529" s="344"/>
      <c r="I529" s="344"/>
      <c r="J529" s="334"/>
      <c r="K529" s="335"/>
      <c r="L529" s="336"/>
      <c r="M529" s="336"/>
      <c r="N529" s="337"/>
      <c r="O529" s="337"/>
      <c r="P529" s="315"/>
      <c r="Q529" s="314"/>
      <c r="R529" s="317"/>
      <c r="S529" s="315"/>
      <c r="T529" s="315"/>
      <c r="U529" s="315"/>
      <c r="V529" s="258"/>
      <c r="W529" s="322"/>
      <c r="X529" s="318"/>
      <c r="Y529" s="315"/>
      <c r="Z529" s="318"/>
      <c r="AA529" s="314"/>
      <c r="AB529" s="336"/>
      <c r="AC529" s="314"/>
      <c r="AD529" s="316"/>
      <c r="AE529" s="315"/>
      <c r="AF529" s="315"/>
      <c r="AG529" s="315"/>
      <c r="AH529" s="315"/>
      <c r="AI529" s="377"/>
      <c r="AJ529" s="407"/>
      <c r="AK529" s="377"/>
      <c r="AL529" s="314"/>
      <c r="AM529" s="314"/>
      <c r="AN529" s="314"/>
      <c r="AO529" s="315"/>
      <c r="AP529" s="257"/>
      <c r="AQ529" s="257"/>
      <c r="AR529" s="257"/>
      <c r="AS529" s="315"/>
      <c r="AT529" s="257"/>
      <c r="AU529" s="257"/>
      <c r="AV529" s="316"/>
      <c r="AW529" s="314"/>
      <c r="AX529" s="315"/>
      <c r="AY529" s="315"/>
      <c r="AZ529" s="315"/>
      <c r="BA529" s="315"/>
      <c r="BB529" s="315"/>
      <c r="BC529" s="315"/>
      <c r="BD529" s="319"/>
      <c r="BE529" s="319"/>
      <c r="BF529" s="319"/>
      <c r="BG529" s="319"/>
      <c r="BH529" s="319"/>
      <c r="BI529" s="319"/>
      <c r="BJ529" s="319"/>
      <c r="BK529" s="315"/>
      <c r="BL529" s="316"/>
      <c r="BM529" s="314"/>
      <c r="BN529" s="319"/>
      <c r="BO529" s="315"/>
      <c r="BP529" s="314"/>
      <c r="BQ529" s="316"/>
      <c r="BR529" s="314"/>
      <c r="BS529" s="262"/>
      <c r="BT529" s="262"/>
    </row>
    <row r="530" spans="1:72" ht="45.75" customHeight="1">
      <c r="A530" s="342"/>
      <c r="B530" s="342"/>
      <c r="C530" s="342"/>
      <c r="D530" s="343"/>
      <c r="E530" s="342"/>
      <c r="F530" s="342"/>
      <c r="G530" s="344"/>
      <c r="H530" s="344"/>
      <c r="I530" s="344"/>
      <c r="J530" s="334"/>
      <c r="K530" s="335"/>
      <c r="L530" s="336"/>
      <c r="M530" s="336"/>
      <c r="N530" s="337"/>
      <c r="O530" s="337"/>
      <c r="P530" s="315"/>
      <c r="Q530" s="314"/>
      <c r="R530" s="317"/>
      <c r="S530" s="315"/>
      <c r="T530" s="315"/>
      <c r="U530" s="315"/>
      <c r="V530" s="258"/>
      <c r="W530" s="322"/>
      <c r="X530" s="318"/>
      <c r="Y530" s="315"/>
      <c r="Z530" s="318"/>
      <c r="AA530" s="314"/>
      <c r="AB530" s="336"/>
      <c r="AC530" s="314"/>
      <c r="AD530" s="316"/>
      <c r="AE530" s="315"/>
      <c r="AF530" s="315"/>
      <c r="AG530" s="315"/>
      <c r="AH530" s="315"/>
      <c r="AI530" s="377"/>
      <c r="AJ530" s="407"/>
      <c r="AK530" s="377"/>
      <c r="AL530" s="314"/>
      <c r="AM530" s="314"/>
      <c r="AN530" s="314"/>
      <c r="AO530" s="315"/>
      <c r="AP530" s="257"/>
      <c r="AQ530" s="257"/>
      <c r="AR530" s="257"/>
      <c r="AS530" s="315"/>
      <c r="AT530" s="257"/>
      <c r="AU530" s="257"/>
      <c r="AV530" s="316"/>
      <c r="AW530" s="314"/>
      <c r="AX530" s="315"/>
      <c r="AY530" s="315"/>
      <c r="AZ530" s="315"/>
      <c r="BA530" s="315"/>
      <c r="BB530" s="315"/>
      <c r="BC530" s="315"/>
      <c r="BD530" s="319"/>
      <c r="BE530" s="319"/>
      <c r="BF530" s="319"/>
      <c r="BG530" s="319"/>
      <c r="BH530" s="319"/>
      <c r="BI530" s="319"/>
      <c r="BJ530" s="319"/>
      <c r="BK530" s="315"/>
      <c r="BL530" s="316"/>
      <c r="BM530" s="314"/>
      <c r="BN530" s="319"/>
      <c r="BO530" s="315"/>
      <c r="BP530" s="314"/>
      <c r="BQ530" s="316"/>
      <c r="BR530" s="314"/>
      <c r="BS530" s="262"/>
      <c r="BT530" s="262"/>
    </row>
    <row r="531" spans="1:72" ht="45.75" customHeight="1">
      <c r="A531" s="342"/>
      <c r="B531" s="342"/>
      <c r="C531" s="342"/>
      <c r="D531" s="343"/>
      <c r="E531" s="342"/>
      <c r="F531" s="342"/>
      <c r="G531" s="344"/>
      <c r="H531" s="344"/>
      <c r="I531" s="344"/>
      <c r="J531" s="334"/>
      <c r="K531" s="335"/>
      <c r="L531" s="336"/>
      <c r="M531" s="336"/>
      <c r="N531" s="337"/>
      <c r="O531" s="337"/>
      <c r="P531" s="315"/>
      <c r="Q531" s="314"/>
      <c r="R531" s="317"/>
      <c r="S531" s="315"/>
      <c r="T531" s="315"/>
      <c r="U531" s="315"/>
      <c r="V531" s="258"/>
      <c r="W531" s="322"/>
      <c r="X531" s="318"/>
      <c r="Y531" s="315"/>
      <c r="Z531" s="318"/>
      <c r="AA531" s="314"/>
      <c r="AB531" s="336"/>
      <c r="AC531" s="314"/>
      <c r="AD531" s="316"/>
      <c r="AE531" s="315"/>
      <c r="AF531" s="315"/>
      <c r="AG531" s="315"/>
      <c r="AH531" s="315"/>
      <c r="AI531" s="377"/>
      <c r="AJ531" s="407"/>
      <c r="AK531" s="377"/>
      <c r="AL531" s="314"/>
      <c r="AM531" s="314"/>
      <c r="AN531" s="314"/>
      <c r="AO531" s="315"/>
      <c r="AP531" s="257"/>
      <c r="AQ531" s="257"/>
      <c r="AR531" s="257"/>
      <c r="AS531" s="315"/>
      <c r="AT531" s="257"/>
      <c r="AU531" s="257"/>
      <c r="AV531" s="316"/>
      <c r="AW531" s="314"/>
      <c r="AX531" s="315"/>
      <c r="AY531" s="315"/>
      <c r="AZ531" s="315"/>
      <c r="BA531" s="315"/>
      <c r="BB531" s="315"/>
      <c r="BC531" s="315"/>
      <c r="BD531" s="319"/>
      <c r="BE531" s="319"/>
      <c r="BF531" s="319"/>
      <c r="BG531" s="319"/>
      <c r="BH531" s="319"/>
      <c r="BI531" s="319"/>
      <c r="BJ531" s="319"/>
      <c r="BK531" s="315"/>
      <c r="BL531" s="316"/>
      <c r="BM531" s="314"/>
      <c r="BN531" s="319"/>
      <c r="BO531" s="315"/>
      <c r="BP531" s="314"/>
      <c r="BQ531" s="316"/>
      <c r="BR531" s="314"/>
      <c r="BS531" s="262"/>
      <c r="BT531" s="262"/>
    </row>
    <row r="532" spans="1:72" ht="45.75" customHeight="1">
      <c r="A532" s="342"/>
      <c r="B532" s="342"/>
      <c r="C532" s="342"/>
      <c r="D532" s="343"/>
      <c r="E532" s="342"/>
      <c r="F532" s="342"/>
      <c r="G532" s="344"/>
      <c r="H532" s="344"/>
      <c r="I532" s="344"/>
      <c r="J532" s="334"/>
      <c r="K532" s="335"/>
      <c r="L532" s="336"/>
      <c r="M532" s="336"/>
      <c r="N532" s="337"/>
      <c r="O532" s="337"/>
      <c r="P532" s="315"/>
      <c r="Q532" s="314"/>
      <c r="R532" s="317"/>
      <c r="S532" s="315"/>
      <c r="T532" s="315"/>
      <c r="U532" s="315"/>
      <c r="V532" s="258"/>
      <c r="W532" s="322"/>
      <c r="X532" s="318"/>
      <c r="Y532" s="315"/>
      <c r="Z532" s="318"/>
      <c r="AA532" s="314"/>
      <c r="AB532" s="336"/>
      <c r="AC532" s="314"/>
      <c r="AD532" s="316"/>
      <c r="AE532" s="315"/>
      <c r="AF532" s="315"/>
      <c r="AG532" s="315"/>
      <c r="AH532" s="315"/>
      <c r="AI532" s="377"/>
      <c r="AJ532" s="407"/>
      <c r="AK532" s="377"/>
      <c r="AL532" s="314"/>
      <c r="AM532" s="314"/>
      <c r="AN532" s="314"/>
      <c r="AO532" s="315"/>
      <c r="AP532" s="257"/>
      <c r="AQ532" s="257"/>
      <c r="AR532" s="257"/>
      <c r="AS532" s="315"/>
      <c r="AT532" s="257"/>
      <c r="AU532" s="257"/>
      <c r="AV532" s="316"/>
      <c r="AW532" s="314"/>
      <c r="AX532" s="315"/>
      <c r="AY532" s="315"/>
      <c r="AZ532" s="315"/>
      <c r="BA532" s="315"/>
      <c r="BB532" s="315"/>
      <c r="BC532" s="315"/>
      <c r="BD532" s="319"/>
      <c r="BE532" s="319"/>
      <c r="BF532" s="319"/>
      <c r="BG532" s="319"/>
      <c r="BH532" s="319"/>
      <c r="BI532" s="319"/>
      <c r="BJ532" s="319"/>
      <c r="BK532" s="315"/>
      <c r="BL532" s="316"/>
      <c r="BM532" s="314"/>
      <c r="BN532" s="319"/>
      <c r="BO532" s="315"/>
      <c r="BP532" s="314"/>
      <c r="BQ532" s="316"/>
      <c r="BR532" s="314"/>
      <c r="BS532" s="262"/>
      <c r="BT532" s="262"/>
    </row>
    <row r="533" spans="1:72" ht="45.75" customHeight="1">
      <c r="A533" s="342"/>
      <c r="B533" s="342"/>
      <c r="C533" s="342"/>
      <c r="D533" s="343"/>
      <c r="E533" s="342"/>
      <c r="F533" s="342"/>
      <c r="G533" s="344"/>
      <c r="H533" s="344"/>
      <c r="I533" s="344"/>
      <c r="J533" s="334"/>
      <c r="K533" s="335"/>
      <c r="L533" s="336"/>
      <c r="M533" s="336"/>
      <c r="N533" s="337"/>
      <c r="O533" s="337"/>
      <c r="P533" s="315"/>
      <c r="Q533" s="314"/>
      <c r="R533" s="317"/>
      <c r="S533" s="315"/>
      <c r="T533" s="315"/>
      <c r="U533" s="315"/>
      <c r="V533" s="258"/>
      <c r="W533" s="322"/>
      <c r="X533" s="318"/>
      <c r="Y533" s="315"/>
      <c r="Z533" s="318"/>
      <c r="AA533" s="314"/>
      <c r="AB533" s="336"/>
      <c r="AC533" s="314"/>
      <c r="AD533" s="316"/>
      <c r="AE533" s="315"/>
      <c r="AF533" s="315"/>
      <c r="AG533" s="315"/>
      <c r="AH533" s="315"/>
      <c r="AI533" s="377"/>
      <c r="AJ533" s="407"/>
      <c r="AK533" s="377"/>
      <c r="AL533" s="314"/>
      <c r="AM533" s="314"/>
      <c r="AN533" s="314"/>
      <c r="AO533" s="315"/>
      <c r="AP533" s="257"/>
      <c r="AQ533" s="257"/>
      <c r="AR533" s="257"/>
      <c r="AS533" s="315"/>
      <c r="AT533" s="257"/>
      <c r="AU533" s="257"/>
      <c r="AV533" s="316"/>
      <c r="AW533" s="314"/>
      <c r="AX533" s="315"/>
      <c r="AY533" s="315"/>
      <c r="AZ533" s="315"/>
      <c r="BA533" s="315"/>
      <c r="BB533" s="315"/>
      <c r="BC533" s="315"/>
      <c r="BD533" s="319"/>
      <c r="BE533" s="319"/>
      <c r="BF533" s="319"/>
      <c r="BG533" s="319"/>
      <c r="BH533" s="319"/>
      <c r="BI533" s="319"/>
      <c r="BJ533" s="319"/>
      <c r="BK533" s="315"/>
      <c r="BL533" s="316"/>
      <c r="BM533" s="314"/>
      <c r="BN533" s="319"/>
      <c r="BO533" s="315"/>
      <c r="BP533" s="314"/>
      <c r="BQ533" s="316"/>
      <c r="BR533" s="314"/>
      <c r="BS533" s="262"/>
      <c r="BT533" s="262"/>
    </row>
    <row r="534" spans="1:72" ht="45.75" customHeight="1">
      <c r="A534" s="342"/>
      <c r="B534" s="342"/>
      <c r="C534" s="342"/>
      <c r="D534" s="343"/>
      <c r="E534" s="342"/>
      <c r="F534" s="342"/>
      <c r="G534" s="344"/>
      <c r="H534" s="344"/>
      <c r="I534" s="344"/>
      <c r="J534" s="334"/>
      <c r="K534" s="335"/>
      <c r="L534" s="336"/>
      <c r="M534" s="336"/>
      <c r="N534" s="337"/>
      <c r="O534" s="337"/>
      <c r="P534" s="315"/>
      <c r="Q534" s="314"/>
      <c r="R534" s="317"/>
      <c r="S534" s="315"/>
      <c r="T534" s="315"/>
      <c r="U534" s="315"/>
      <c r="V534" s="258"/>
      <c r="W534" s="322"/>
      <c r="X534" s="318"/>
      <c r="Y534" s="315"/>
      <c r="Z534" s="318"/>
      <c r="AA534" s="314"/>
      <c r="AB534" s="336"/>
      <c r="AC534" s="314"/>
      <c r="AD534" s="316"/>
      <c r="AE534" s="315"/>
      <c r="AF534" s="315"/>
      <c r="AG534" s="315"/>
      <c r="AH534" s="315"/>
      <c r="AI534" s="377"/>
      <c r="AJ534" s="407"/>
      <c r="AK534" s="377"/>
      <c r="AL534" s="314"/>
      <c r="AM534" s="314"/>
      <c r="AN534" s="314"/>
      <c r="AO534" s="315"/>
      <c r="AP534" s="257"/>
      <c r="AQ534" s="257"/>
      <c r="AR534" s="257"/>
      <c r="AS534" s="315"/>
      <c r="AT534" s="257"/>
      <c r="AU534" s="257"/>
      <c r="AV534" s="316"/>
      <c r="AW534" s="314"/>
      <c r="AX534" s="315"/>
      <c r="AY534" s="315"/>
      <c r="AZ534" s="315"/>
      <c r="BA534" s="315"/>
      <c r="BB534" s="315"/>
      <c r="BC534" s="315"/>
      <c r="BD534" s="319"/>
      <c r="BE534" s="319"/>
      <c r="BF534" s="319"/>
      <c r="BG534" s="319"/>
      <c r="BH534" s="319"/>
      <c r="BI534" s="319"/>
      <c r="BJ534" s="319"/>
      <c r="BK534" s="315"/>
      <c r="BL534" s="316"/>
      <c r="BM534" s="314"/>
      <c r="BN534" s="319"/>
      <c r="BO534" s="315"/>
      <c r="BP534" s="314"/>
      <c r="BQ534" s="316"/>
      <c r="BR534" s="314"/>
      <c r="BS534" s="262"/>
      <c r="BT534" s="262"/>
    </row>
    <row r="535" spans="1:72" ht="45.75" customHeight="1">
      <c r="A535" s="342"/>
      <c r="B535" s="342"/>
      <c r="C535" s="342"/>
      <c r="D535" s="343"/>
      <c r="E535" s="342"/>
      <c r="F535" s="342"/>
      <c r="G535" s="344"/>
      <c r="H535" s="344"/>
      <c r="I535" s="344"/>
      <c r="J535" s="334"/>
      <c r="K535" s="335"/>
      <c r="L535" s="336"/>
      <c r="M535" s="336"/>
      <c r="N535" s="337"/>
      <c r="O535" s="337"/>
      <c r="P535" s="315"/>
      <c r="Q535" s="314"/>
      <c r="R535" s="317"/>
      <c r="S535" s="315"/>
      <c r="T535" s="315"/>
      <c r="U535" s="315"/>
      <c r="V535" s="258"/>
      <c r="W535" s="322"/>
      <c r="X535" s="318"/>
      <c r="Y535" s="315"/>
      <c r="Z535" s="318"/>
      <c r="AA535" s="314"/>
      <c r="AB535" s="336"/>
      <c r="AC535" s="314"/>
      <c r="AD535" s="316"/>
      <c r="AE535" s="315"/>
      <c r="AF535" s="315"/>
      <c r="AG535" s="315"/>
      <c r="AH535" s="315"/>
      <c r="AI535" s="377"/>
      <c r="AJ535" s="407"/>
      <c r="AK535" s="377"/>
      <c r="AL535" s="314"/>
      <c r="AM535" s="314"/>
      <c r="AN535" s="314"/>
      <c r="AO535" s="315"/>
      <c r="AP535" s="257"/>
      <c r="AQ535" s="257"/>
      <c r="AR535" s="257"/>
      <c r="AS535" s="315"/>
      <c r="AT535" s="257"/>
      <c r="AU535" s="257"/>
      <c r="AV535" s="316"/>
      <c r="AW535" s="314"/>
      <c r="AX535" s="315"/>
      <c r="AY535" s="315"/>
      <c r="AZ535" s="315"/>
      <c r="BA535" s="315"/>
      <c r="BB535" s="315"/>
      <c r="BC535" s="315"/>
      <c r="BD535" s="319"/>
      <c r="BE535" s="319"/>
      <c r="BF535" s="319"/>
      <c r="BG535" s="319"/>
      <c r="BH535" s="319"/>
      <c r="BI535" s="319"/>
      <c r="BJ535" s="319"/>
      <c r="BK535" s="315"/>
      <c r="BL535" s="316"/>
      <c r="BM535" s="314"/>
      <c r="BN535" s="319"/>
      <c r="BO535" s="315"/>
      <c r="BP535" s="314"/>
      <c r="BQ535" s="316"/>
      <c r="BR535" s="314"/>
      <c r="BS535" s="262"/>
      <c r="BT535" s="262"/>
    </row>
    <row r="536" spans="1:72" ht="45.75" customHeight="1">
      <c r="A536" s="342"/>
      <c r="B536" s="342"/>
      <c r="C536" s="342"/>
      <c r="D536" s="343"/>
      <c r="E536" s="342"/>
      <c r="F536" s="342"/>
      <c r="G536" s="344"/>
      <c r="H536" s="344"/>
      <c r="I536" s="344"/>
      <c r="J536" s="334"/>
      <c r="K536" s="335"/>
      <c r="L536" s="336"/>
      <c r="M536" s="336"/>
      <c r="N536" s="337"/>
      <c r="O536" s="337"/>
      <c r="P536" s="315"/>
      <c r="Q536" s="314"/>
      <c r="R536" s="317"/>
      <c r="S536" s="315"/>
      <c r="T536" s="315"/>
      <c r="U536" s="315"/>
      <c r="V536" s="258"/>
      <c r="W536" s="322"/>
      <c r="X536" s="318"/>
      <c r="Y536" s="315"/>
      <c r="Z536" s="318"/>
      <c r="AA536" s="314"/>
      <c r="AB536" s="336"/>
      <c r="AC536" s="314"/>
      <c r="AD536" s="316"/>
      <c r="AE536" s="315"/>
      <c r="AF536" s="315"/>
      <c r="AG536" s="315"/>
      <c r="AH536" s="315"/>
      <c r="AI536" s="377"/>
      <c r="AJ536" s="407"/>
      <c r="AK536" s="377"/>
      <c r="AL536" s="314"/>
      <c r="AM536" s="314"/>
      <c r="AN536" s="314"/>
      <c r="AO536" s="315"/>
      <c r="AP536" s="257"/>
      <c r="AQ536" s="257"/>
      <c r="AR536" s="257"/>
      <c r="AS536" s="315"/>
      <c r="AT536" s="257"/>
      <c r="AU536" s="257"/>
      <c r="AV536" s="316"/>
      <c r="AW536" s="314"/>
      <c r="AX536" s="315"/>
      <c r="AY536" s="315"/>
      <c r="AZ536" s="315"/>
      <c r="BA536" s="315"/>
      <c r="BB536" s="315"/>
      <c r="BC536" s="315"/>
      <c r="BD536" s="319"/>
      <c r="BE536" s="319"/>
      <c r="BF536" s="319"/>
      <c r="BG536" s="319"/>
      <c r="BH536" s="319"/>
      <c r="BI536" s="319"/>
      <c r="BJ536" s="319"/>
      <c r="BK536" s="315"/>
      <c r="BL536" s="316"/>
      <c r="BM536" s="314"/>
      <c r="BN536" s="319"/>
      <c r="BO536" s="315"/>
      <c r="BP536" s="314"/>
      <c r="BQ536" s="316"/>
      <c r="BR536" s="314"/>
      <c r="BS536" s="262"/>
      <c r="BT536" s="262"/>
    </row>
    <row r="537" spans="1:72" ht="45.75" customHeight="1">
      <c r="A537" s="342"/>
      <c r="B537" s="342"/>
      <c r="C537" s="342"/>
      <c r="D537" s="343"/>
      <c r="E537" s="342"/>
      <c r="F537" s="342"/>
      <c r="G537" s="344"/>
      <c r="H537" s="344"/>
      <c r="I537" s="344"/>
      <c r="J537" s="334"/>
      <c r="K537" s="335"/>
      <c r="L537" s="336"/>
      <c r="M537" s="336"/>
      <c r="N537" s="337"/>
      <c r="O537" s="337"/>
      <c r="P537" s="315"/>
      <c r="Q537" s="314"/>
      <c r="R537" s="317"/>
      <c r="S537" s="315"/>
      <c r="T537" s="315"/>
      <c r="U537" s="315"/>
      <c r="V537" s="258"/>
      <c r="W537" s="322"/>
      <c r="X537" s="318"/>
      <c r="Y537" s="315"/>
      <c r="Z537" s="318"/>
      <c r="AA537" s="314"/>
      <c r="AB537" s="336"/>
      <c r="AC537" s="314"/>
      <c r="AD537" s="316"/>
      <c r="AE537" s="315"/>
      <c r="AF537" s="315"/>
      <c r="AG537" s="315"/>
      <c r="AH537" s="315"/>
      <c r="AI537" s="377"/>
      <c r="AJ537" s="407"/>
      <c r="AK537" s="377"/>
      <c r="AL537" s="314"/>
      <c r="AM537" s="314"/>
      <c r="AN537" s="314"/>
      <c r="AO537" s="315"/>
      <c r="AP537" s="257"/>
      <c r="AQ537" s="257"/>
      <c r="AR537" s="257"/>
      <c r="AS537" s="315"/>
      <c r="AT537" s="257"/>
      <c r="AU537" s="257"/>
      <c r="AV537" s="316"/>
      <c r="AW537" s="314"/>
      <c r="AX537" s="315"/>
      <c r="AY537" s="315"/>
      <c r="AZ537" s="315"/>
      <c r="BA537" s="315"/>
      <c r="BB537" s="315"/>
      <c r="BC537" s="315"/>
      <c r="BD537" s="319"/>
      <c r="BE537" s="319"/>
      <c r="BF537" s="319"/>
      <c r="BG537" s="319"/>
      <c r="BH537" s="319"/>
      <c r="BI537" s="319"/>
      <c r="BJ537" s="319"/>
      <c r="BK537" s="315"/>
      <c r="BL537" s="316"/>
      <c r="BM537" s="314"/>
      <c r="BN537" s="319"/>
      <c r="BO537" s="315"/>
      <c r="BP537" s="314"/>
      <c r="BQ537" s="316"/>
      <c r="BR537" s="314"/>
      <c r="BS537" s="262"/>
      <c r="BT537" s="262"/>
    </row>
    <row r="538" spans="1:72" ht="45.75" customHeight="1">
      <c r="A538" s="342"/>
      <c r="B538" s="342"/>
      <c r="C538" s="342"/>
      <c r="D538" s="343"/>
      <c r="E538" s="342"/>
      <c r="F538" s="342"/>
      <c r="G538" s="344"/>
      <c r="H538" s="344"/>
      <c r="I538" s="344"/>
      <c r="J538" s="334"/>
      <c r="K538" s="335"/>
      <c r="L538" s="336"/>
      <c r="M538" s="336"/>
      <c r="N538" s="337"/>
      <c r="O538" s="337"/>
      <c r="P538" s="315"/>
      <c r="Q538" s="314"/>
      <c r="R538" s="317"/>
      <c r="S538" s="315"/>
      <c r="T538" s="315"/>
      <c r="U538" s="315"/>
      <c r="V538" s="258"/>
      <c r="W538" s="322"/>
      <c r="X538" s="318"/>
      <c r="Y538" s="315"/>
      <c r="Z538" s="318"/>
      <c r="AA538" s="314"/>
      <c r="AB538" s="336"/>
      <c r="AC538" s="314"/>
      <c r="AD538" s="316"/>
      <c r="AE538" s="315"/>
      <c r="AF538" s="315"/>
      <c r="AG538" s="315"/>
      <c r="AH538" s="315"/>
      <c r="AI538" s="377"/>
      <c r="AJ538" s="407"/>
      <c r="AK538" s="377"/>
      <c r="AL538" s="314"/>
      <c r="AM538" s="314"/>
      <c r="AN538" s="314"/>
      <c r="AO538" s="315"/>
      <c r="AP538" s="257"/>
      <c r="AQ538" s="257"/>
      <c r="AR538" s="257"/>
      <c r="AS538" s="315"/>
      <c r="AT538" s="257"/>
      <c r="AU538" s="257"/>
      <c r="AV538" s="316"/>
      <c r="AW538" s="314"/>
      <c r="AX538" s="315"/>
      <c r="AY538" s="315"/>
      <c r="AZ538" s="315"/>
      <c r="BA538" s="315"/>
      <c r="BB538" s="315"/>
      <c r="BC538" s="315"/>
      <c r="BD538" s="319"/>
      <c r="BE538" s="319"/>
      <c r="BF538" s="319"/>
      <c r="BG538" s="319"/>
      <c r="BH538" s="319"/>
      <c r="BI538" s="319"/>
      <c r="BJ538" s="319"/>
      <c r="BK538" s="315"/>
      <c r="BL538" s="316"/>
      <c r="BM538" s="314"/>
      <c r="BN538" s="319"/>
      <c r="BO538" s="315"/>
      <c r="BP538" s="314"/>
      <c r="BQ538" s="316"/>
      <c r="BR538" s="314"/>
      <c r="BS538" s="262"/>
      <c r="BT538" s="262"/>
    </row>
    <row r="539" spans="1:72" ht="45.75" customHeight="1">
      <c r="A539" s="342"/>
      <c r="B539" s="342"/>
      <c r="C539" s="342"/>
      <c r="D539" s="343"/>
      <c r="E539" s="342"/>
      <c r="F539" s="342"/>
      <c r="G539" s="344"/>
      <c r="H539" s="344"/>
      <c r="I539" s="344"/>
      <c r="J539" s="334"/>
      <c r="K539" s="335"/>
      <c r="L539" s="336"/>
      <c r="M539" s="336"/>
      <c r="N539" s="337"/>
      <c r="O539" s="337"/>
      <c r="P539" s="315"/>
      <c r="Q539" s="314"/>
      <c r="R539" s="317"/>
      <c r="S539" s="315"/>
      <c r="T539" s="315"/>
      <c r="U539" s="315"/>
      <c r="V539" s="258"/>
      <c r="W539" s="322"/>
      <c r="X539" s="318"/>
      <c r="Y539" s="315"/>
      <c r="Z539" s="318"/>
      <c r="AA539" s="314"/>
      <c r="AB539" s="336"/>
      <c r="AC539" s="314"/>
      <c r="AD539" s="316"/>
      <c r="AE539" s="315"/>
      <c r="AF539" s="315"/>
      <c r="AG539" s="315"/>
      <c r="AH539" s="315"/>
      <c r="AI539" s="377"/>
      <c r="AJ539" s="407"/>
      <c r="AK539" s="377"/>
      <c r="AL539" s="314"/>
      <c r="AM539" s="314"/>
      <c r="AN539" s="314"/>
      <c r="AO539" s="315"/>
      <c r="AP539" s="257"/>
      <c r="AQ539" s="257"/>
      <c r="AR539" s="257"/>
      <c r="AS539" s="315"/>
      <c r="AT539" s="257"/>
      <c r="AU539" s="257"/>
      <c r="AV539" s="316"/>
      <c r="AW539" s="314"/>
      <c r="AX539" s="315"/>
      <c r="AY539" s="315"/>
      <c r="AZ539" s="315"/>
      <c r="BA539" s="315"/>
      <c r="BB539" s="315"/>
      <c r="BC539" s="315"/>
      <c r="BD539" s="319"/>
      <c r="BE539" s="319"/>
      <c r="BF539" s="319"/>
      <c r="BG539" s="319"/>
      <c r="BH539" s="319"/>
      <c r="BI539" s="319"/>
      <c r="BJ539" s="319"/>
      <c r="BK539" s="315"/>
      <c r="BL539" s="316"/>
      <c r="BM539" s="314"/>
      <c r="BN539" s="319"/>
      <c r="BO539" s="315"/>
      <c r="BP539" s="314"/>
      <c r="BQ539" s="316"/>
      <c r="BR539" s="314"/>
      <c r="BS539" s="262"/>
      <c r="BT539" s="262"/>
    </row>
    <row r="540" spans="1:72" ht="45.75" customHeight="1">
      <c r="A540" s="342"/>
      <c r="B540" s="342"/>
      <c r="C540" s="342"/>
      <c r="D540" s="343"/>
      <c r="E540" s="342"/>
      <c r="F540" s="342"/>
      <c r="G540" s="344"/>
      <c r="H540" s="344"/>
      <c r="I540" s="344"/>
      <c r="J540" s="334"/>
      <c r="K540" s="335"/>
      <c r="L540" s="336"/>
      <c r="M540" s="336"/>
      <c r="N540" s="337"/>
      <c r="O540" s="337"/>
      <c r="P540" s="315"/>
      <c r="Q540" s="314"/>
      <c r="R540" s="317"/>
      <c r="S540" s="315"/>
      <c r="T540" s="315"/>
      <c r="U540" s="315"/>
      <c r="V540" s="258"/>
      <c r="W540" s="322"/>
      <c r="X540" s="318"/>
      <c r="Y540" s="315"/>
      <c r="Z540" s="318"/>
      <c r="AA540" s="314"/>
      <c r="AB540" s="336"/>
      <c r="AC540" s="314"/>
      <c r="AD540" s="316"/>
      <c r="AE540" s="315"/>
      <c r="AF540" s="315"/>
      <c r="AG540" s="315"/>
      <c r="AH540" s="315"/>
      <c r="AI540" s="377"/>
      <c r="AJ540" s="407"/>
      <c r="AK540" s="377"/>
      <c r="AL540" s="314"/>
      <c r="AM540" s="314"/>
      <c r="AN540" s="314"/>
      <c r="AO540" s="315"/>
      <c r="AP540" s="257"/>
      <c r="AQ540" s="257"/>
      <c r="AR540" s="257"/>
      <c r="AS540" s="315"/>
      <c r="AT540" s="257"/>
      <c r="AU540" s="257"/>
      <c r="AV540" s="316"/>
      <c r="AW540" s="314"/>
      <c r="AX540" s="315"/>
      <c r="AY540" s="315"/>
      <c r="AZ540" s="315"/>
      <c r="BA540" s="315"/>
      <c r="BB540" s="315"/>
      <c r="BC540" s="315"/>
      <c r="BD540" s="319"/>
      <c r="BE540" s="319"/>
      <c r="BF540" s="319"/>
      <c r="BG540" s="319"/>
      <c r="BH540" s="319"/>
      <c r="BI540" s="319"/>
      <c r="BJ540" s="319"/>
      <c r="BK540" s="315"/>
      <c r="BL540" s="316"/>
      <c r="BM540" s="314"/>
      <c r="BN540" s="319"/>
      <c r="BO540" s="315"/>
      <c r="BP540" s="314"/>
      <c r="BQ540" s="316"/>
      <c r="BR540" s="314"/>
      <c r="BS540" s="262"/>
      <c r="BT540" s="262"/>
    </row>
    <row r="541" spans="1:72" ht="45.75" customHeight="1">
      <c r="A541" s="342"/>
      <c r="B541" s="342"/>
      <c r="C541" s="342"/>
      <c r="D541" s="343"/>
      <c r="E541" s="342"/>
      <c r="F541" s="342"/>
      <c r="G541" s="344"/>
      <c r="H541" s="344"/>
      <c r="I541" s="344"/>
      <c r="J541" s="334"/>
      <c r="K541" s="335"/>
      <c r="L541" s="336"/>
      <c r="M541" s="336"/>
      <c r="N541" s="337"/>
      <c r="O541" s="337"/>
      <c r="P541" s="315"/>
      <c r="Q541" s="314"/>
      <c r="R541" s="317"/>
      <c r="S541" s="315"/>
      <c r="T541" s="315"/>
      <c r="U541" s="315"/>
      <c r="V541" s="258"/>
      <c r="W541" s="322"/>
      <c r="X541" s="318"/>
      <c r="Y541" s="315"/>
      <c r="Z541" s="318"/>
      <c r="AA541" s="314"/>
      <c r="AB541" s="336"/>
      <c r="AC541" s="314"/>
      <c r="AD541" s="316"/>
      <c r="AE541" s="315"/>
      <c r="AF541" s="315"/>
      <c r="AG541" s="315"/>
      <c r="AH541" s="315"/>
      <c r="AI541" s="377"/>
      <c r="AJ541" s="407"/>
      <c r="AK541" s="377"/>
      <c r="AL541" s="314"/>
      <c r="AM541" s="314"/>
      <c r="AN541" s="314"/>
      <c r="AO541" s="315"/>
      <c r="AP541" s="257"/>
      <c r="AQ541" s="257"/>
      <c r="AR541" s="257"/>
      <c r="AS541" s="315"/>
      <c r="AT541" s="257"/>
      <c r="AU541" s="257"/>
      <c r="AV541" s="316"/>
      <c r="AW541" s="314"/>
      <c r="AX541" s="315"/>
      <c r="AY541" s="315"/>
      <c r="AZ541" s="315"/>
      <c r="BA541" s="315"/>
      <c r="BB541" s="315"/>
      <c r="BC541" s="315"/>
      <c r="BD541" s="319"/>
      <c r="BE541" s="319"/>
      <c r="BF541" s="319"/>
      <c r="BG541" s="319"/>
      <c r="BH541" s="319"/>
      <c r="BI541" s="319"/>
      <c r="BJ541" s="319"/>
      <c r="BK541" s="315"/>
      <c r="BL541" s="316"/>
      <c r="BM541" s="314"/>
      <c r="BN541" s="319"/>
      <c r="BO541" s="315"/>
      <c r="BP541" s="314"/>
      <c r="BQ541" s="316"/>
      <c r="BR541" s="314"/>
      <c r="BS541" s="262"/>
      <c r="BT541" s="262"/>
    </row>
    <row r="542" spans="1:72" ht="45.75" customHeight="1">
      <c r="A542" s="342"/>
      <c r="B542" s="342"/>
      <c r="C542" s="342"/>
      <c r="D542" s="343"/>
      <c r="E542" s="342"/>
      <c r="F542" s="342"/>
      <c r="G542" s="344"/>
      <c r="H542" s="344"/>
      <c r="I542" s="344"/>
      <c r="J542" s="334"/>
      <c r="K542" s="335"/>
      <c r="L542" s="336"/>
      <c r="M542" s="336"/>
      <c r="N542" s="337"/>
      <c r="O542" s="337"/>
      <c r="P542" s="315"/>
      <c r="Q542" s="314"/>
      <c r="R542" s="317"/>
      <c r="S542" s="315"/>
      <c r="T542" s="315"/>
      <c r="U542" s="315"/>
      <c r="V542" s="258"/>
      <c r="W542" s="322"/>
      <c r="X542" s="318"/>
      <c r="Y542" s="315"/>
      <c r="Z542" s="318"/>
      <c r="AA542" s="314"/>
      <c r="AB542" s="336"/>
      <c r="AC542" s="314"/>
      <c r="AD542" s="316"/>
      <c r="AE542" s="315"/>
      <c r="AF542" s="315"/>
      <c r="AG542" s="315"/>
      <c r="AH542" s="315"/>
      <c r="AI542" s="377"/>
      <c r="AJ542" s="407"/>
      <c r="AK542" s="377"/>
      <c r="AL542" s="314"/>
      <c r="AM542" s="314"/>
      <c r="AN542" s="314"/>
      <c r="AO542" s="315"/>
      <c r="AP542" s="257"/>
      <c r="AQ542" s="257"/>
      <c r="AR542" s="257"/>
      <c r="AS542" s="315"/>
      <c r="AT542" s="257"/>
      <c r="AU542" s="257"/>
      <c r="AV542" s="316"/>
      <c r="AW542" s="314"/>
      <c r="AX542" s="315"/>
      <c r="AY542" s="315"/>
      <c r="AZ542" s="315"/>
      <c r="BA542" s="315"/>
      <c r="BB542" s="315"/>
      <c r="BC542" s="315"/>
      <c r="BD542" s="319"/>
      <c r="BE542" s="319"/>
      <c r="BF542" s="319"/>
      <c r="BG542" s="319"/>
      <c r="BH542" s="319"/>
      <c r="BI542" s="319"/>
      <c r="BJ542" s="319"/>
      <c r="BK542" s="315"/>
      <c r="BL542" s="316"/>
      <c r="BM542" s="314"/>
      <c r="BN542" s="319"/>
      <c r="BO542" s="315"/>
      <c r="BP542" s="314"/>
      <c r="BQ542" s="316"/>
      <c r="BR542" s="314"/>
      <c r="BS542" s="262"/>
      <c r="BT542" s="262"/>
    </row>
    <row r="543" spans="1:72" ht="45.75" customHeight="1">
      <c r="A543" s="342"/>
      <c r="B543" s="342"/>
      <c r="C543" s="342"/>
      <c r="D543" s="343"/>
      <c r="E543" s="342"/>
      <c r="F543" s="342"/>
      <c r="G543" s="344"/>
      <c r="H543" s="344"/>
      <c r="I543" s="344"/>
      <c r="J543" s="334"/>
      <c r="K543" s="335"/>
      <c r="L543" s="336"/>
      <c r="M543" s="336"/>
      <c r="N543" s="337"/>
      <c r="O543" s="337"/>
      <c r="P543" s="315"/>
      <c r="Q543" s="314"/>
      <c r="R543" s="317"/>
      <c r="S543" s="315"/>
      <c r="T543" s="315"/>
      <c r="U543" s="315"/>
      <c r="V543" s="258"/>
      <c r="W543" s="322"/>
      <c r="X543" s="318"/>
      <c r="Y543" s="315"/>
      <c r="Z543" s="318"/>
      <c r="AA543" s="314"/>
      <c r="AB543" s="336"/>
      <c r="AC543" s="314"/>
      <c r="AD543" s="316"/>
      <c r="AE543" s="315"/>
      <c r="AF543" s="315"/>
      <c r="AG543" s="315"/>
      <c r="AH543" s="315"/>
      <c r="AI543" s="377"/>
      <c r="AJ543" s="407"/>
      <c r="AK543" s="377"/>
      <c r="AL543" s="314"/>
      <c r="AM543" s="314"/>
      <c r="AN543" s="314"/>
      <c r="AO543" s="315"/>
      <c r="AP543" s="257"/>
      <c r="AQ543" s="257"/>
      <c r="AR543" s="257"/>
      <c r="AS543" s="315"/>
      <c r="AT543" s="257"/>
      <c r="AU543" s="257"/>
      <c r="AV543" s="316"/>
      <c r="AW543" s="314"/>
      <c r="AX543" s="315"/>
      <c r="AY543" s="315"/>
      <c r="AZ543" s="315"/>
      <c r="BA543" s="315"/>
      <c r="BB543" s="315"/>
      <c r="BC543" s="315"/>
      <c r="BD543" s="319"/>
      <c r="BE543" s="319"/>
      <c r="BF543" s="319"/>
      <c r="BG543" s="319"/>
      <c r="BH543" s="319"/>
      <c r="BI543" s="319"/>
      <c r="BJ543" s="319"/>
      <c r="BK543" s="315"/>
      <c r="BL543" s="316"/>
      <c r="BM543" s="314"/>
      <c r="BN543" s="319"/>
      <c r="BO543" s="315"/>
      <c r="BP543" s="314"/>
      <c r="BQ543" s="316"/>
      <c r="BR543" s="314"/>
      <c r="BS543" s="262"/>
      <c r="BT543" s="262"/>
    </row>
    <row r="544" spans="1:72" ht="45.75" customHeight="1">
      <c r="A544" s="342"/>
      <c r="B544" s="342"/>
      <c r="C544" s="342"/>
      <c r="D544" s="343"/>
      <c r="E544" s="342"/>
      <c r="F544" s="342"/>
      <c r="G544" s="344"/>
      <c r="H544" s="344"/>
      <c r="I544" s="344"/>
      <c r="J544" s="334"/>
      <c r="K544" s="335"/>
      <c r="L544" s="336"/>
      <c r="M544" s="336"/>
      <c r="N544" s="337"/>
      <c r="O544" s="337"/>
      <c r="P544" s="315"/>
      <c r="Q544" s="314"/>
      <c r="R544" s="317"/>
      <c r="S544" s="315"/>
      <c r="T544" s="315"/>
      <c r="U544" s="315"/>
      <c r="V544" s="258"/>
      <c r="W544" s="322"/>
      <c r="X544" s="318"/>
      <c r="Y544" s="315"/>
      <c r="Z544" s="318"/>
      <c r="AA544" s="314"/>
      <c r="AB544" s="336"/>
      <c r="AC544" s="314"/>
      <c r="AD544" s="316"/>
      <c r="AE544" s="315"/>
      <c r="AF544" s="315"/>
      <c r="AG544" s="315"/>
      <c r="AH544" s="315"/>
      <c r="AI544" s="377"/>
      <c r="AJ544" s="407"/>
      <c r="AK544" s="377"/>
      <c r="AL544" s="314"/>
      <c r="AM544" s="314"/>
      <c r="AN544" s="314"/>
      <c r="AO544" s="315"/>
      <c r="AP544" s="257"/>
      <c r="AQ544" s="257"/>
      <c r="AR544" s="257"/>
      <c r="AS544" s="315"/>
      <c r="AT544" s="257"/>
      <c r="AU544" s="257"/>
      <c r="AV544" s="316"/>
      <c r="AW544" s="314"/>
      <c r="AX544" s="315"/>
      <c r="AY544" s="315"/>
      <c r="AZ544" s="315"/>
      <c r="BA544" s="315"/>
      <c r="BB544" s="315"/>
      <c r="BC544" s="315"/>
      <c r="BD544" s="319"/>
      <c r="BE544" s="319"/>
      <c r="BF544" s="319"/>
      <c r="BG544" s="319"/>
      <c r="BH544" s="319"/>
      <c r="BI544" s="319"/>
      <c r="BJ544" s="319"/>
      <c r="BK544" s="315"/>
      <c r="BL544" s="316"/>
      <c r="BM544" s="314"/>
      <c r="BN544" s="319"/>
      <c r="BO544" s="315"/>
      <c r="BP544" s="314"/>
      <c r="BQ544" s="316"/>
      <c r="BR544" s="314"/>
      <c r="BS544" s="262"/>
      <c r="BT544" s="262"/>
    </row>
    <row r="545" spans="1:72" ht="45.75" customHeight="1">
      <c r="A545" s="342"/>
      <c r="B545" s="342"/>
      <c r="C545" s="342"/>
      <c r="D545" s="343"/>
      <c r="E545" s="342"/>
      <c r="F545" s="342"/>
      <c r="G545" s="344"/>
      <c r="H545" s="344"/>
      <c r="I545" s="344"/>
      <c r="J545" s="334"/>
      <c r="K545" s="335"/>
      <c r="L545" s="336"/>
      <c r="M545" s="336"/>
      <c r="N545" s="337"/>
      <c r="O545" s="337"/>
      <c r="P545" s="315"/>
      <c r="Q545" s="314"/>
      <c r="R545" s="317"/>
      <c r="S545" s="315"/>
      <c r="T545" s="315"/>
      <c r="U545" s="315"/>
      <c r="V545" s="258"/>
      <c r="W545" s="322"/>
      <c r="X545" s="318"/>
      <c r="Y545" s="315"/>
      <c r="Z545" s="318"/>
      <c r="AA545" s="314"/>
      <c r="AB545" s="336"/>
      <c r="AC545" s="314"/>
      <c r="AD545" s="316"/>
      <c r="AE545" s="315"/>
      <c r="AF545" s="315"/>
      <c r="AG545" s="315"/>
      <c r="AH545" s="315"/>
      <c r="AI545" s="377"/>
      <c r="AJ545" s="407"/>
      <c r="AK545" s="377"/>
      <c r="AL545" s="314"/>
      <c r="AM545" s="314"/>
      <c r="AN545" s="314"/>
      <c r="AO545" s="315"/>
      <c r="AP545" s="257"/>
      <c r="AQ545" s="257"/>
      <c r="AR545" s="257"/>
      <c r="AS545" s="315"/>
      <c r="AT545" s="257"/>
      <c r="AU545" s="257"/>
      <c r="AV545" s="316"/>
      <c r="AW545" s="314"/>
      <c r="AX545" s="315"/>
      <c r="AY545" s="315"/>
      <c r="AZ545" s="315"/>
      <c r="BA545" s="315"/>
      <c r="BB545" s="315"/>
      <c r="BC545" s="315"/>
      <c r="BD545" s="319"/>
      <c r="BE545" s="319"/>
      <c r="BF545" s="319"/>
      <c r="BG545" s="319"/>
      <c r="BH545" s="319"/>
      <c r="BI545" s="319"/>
      <c r="BJ545" s="319"/>
      <c r="BK545" s="315"/>
      <c r="BL545" s="316"/>
      <c r="BM545" s="314"/>
      <c r="BN545" s="319"/>
      <c r="BO545" s="315"/>
      <c r="BP545" s="314"/>
      <c r="BQ545" s="316"/>
      <c r="BR545" s="314"/>
      <c r="BS545" s="262"/>
      <c r="BT545" s="262"/>
    </row>
    <row r="546" spans="1:72" ht="45.75" customHeight="1">
      <c r="A546" s="342"/>
      <c r="B546" s="342"/>
      <c r="C546" s="342"/>
      <c r="D546" s="343"/>
      <c r="E546" s="342"/>
      <c r="F546" s="342"/>
      <c r="G546" s="344"/>
      <c r="H546" s="344"/>
      <c r="I546" s="344"/>
      <c r="J546" s="334"/>
      <c r="K546" s="335"/>
      <c r="L546" s="336"/>
      <c r="M546" s="336"/>
      <c r="N546" s="337"/>
      <c r="O546" s="337"/>
      <c r="P546" s="315"/>
      <c r="Q546" s="314"/>
      <c r="R546" s="317"/>
      <c r="S546" s="315"/>
      <c r="T546" s="315"/>
      <c r="U546" s="315"/>
      <c r="V546" s="258"/>
      <c r="W546" s="322"/>
      <c r="X546" s="318"/>
      <c r="Y546" s="315"/>
      <c r="Z546" s="318"/>
      <c r="AA546" s="314"/>
      <c r="AB546" s="336"/>
      <c r="AC546" s="314"/>
      <c r="AD546" s="316"/>
      <c r="AE546" s="315"/>
      <c r="AF546" s="315"/>
      <c r="AG546" s="315"/>
      <c r="AH546" s="315"/>
      <c r="AI546" s="377"/>
      <c r="AJ546" s="407"/>
      <c r="AK546" s="377"/>
      <c r="AL546" s="314"/>
      <c r="AM546" s="314"/>
      <c r="AN546" s="314"/>
      <c r="AO546" s="315"/>
      <c r="AP546" s="257"/>
      <c r="AQ546" s="257"/>
      <c r="AR546" s="257"/>
      <c r="AS546" s="315"/>
      <c r="AT546" s="257"/>
      <c r="AU546" s="257"/>
      <c r="AV546" s="316"/>
      <c r="AW546" s="314"/>
      <c r="AX546" s="315"/>
      <c r="AY546" s="315"/>
      <c r="AZ546" s="315"/>
      <c r="BA546" s="315"/>
      <c r="BB546" s="315"/>
      <c r="BC546" s="315"/>
      <c r="BD546" s="319"/>
      <c r="BE546" s="319"/>
      <c r="BF546" s="319"/>
      <c r="BG546" s="319"/>
      <c r="BH546" s="319"/>
      <c r="BI546" s="319"/>
      <c r="BJ546" s="319"/>
      <c r="BK546" s="315"/>
      <c r="BL546" s="316"/>
      <c r="BM546" s="314"/>
      <c r="BN546" s="319"/>
      <c r="BO546" s="315"/>
      <c r="BP546" s="314"/>
      <c r="BQ546" s="316"/>
      <c r="BR546" s="314"/>
      <c r="BS546" s="262"/>
      <c r="BT546" s="262"/>
    </row>
    <row r="547" spans="1:72" ht="45.75" customHeight="1">
      <c r="A547" s="342"/>
      <c r="B547" s="342"/>
      <c r="C547" s="342"/>
      <c r="D547" s="343"/>
      <c r="E547" s="342"/>
      <c r="F547" s="342"/>
      <c r="G547" s="344"/>
      <c r="H547" s="344"/>
      <c r="I547" s="344"/>
      <c r="J547" s="334"/>
      <c r="K547" s="335"/>
      <c r="L547" s="336"/>
      <c r="M547" s="336"/>
      <c r="N547" s="337"/>
      <c r="O547" s="337"/>
      <c r="P547" s="315"/>
      <c r="Q547" s="314"/>
      <c r="R547" s="317"/>
      <c r="S547" s="315"/>
      <c r="T547" s="315"/>
      <c r="U547" s="315"/>
      <c r="V547" s="258"/>
      <c r="W547" s="322"/>
      <c r="X547" s="318"/>
      <c r="Y547" s="315"/>
      <c r="Z547" s="318"/>
      <c r="AA547" s="314"/>
      <c r="AB547" s="336"/>
      <c r="AC547" s="314"/>
      <c r="AD547" s="316"/>
      <c r="AE547" s="315"/>
      <c r="AF547" s="315"/>
      <c r="AG547" s="315"/>
      <c r="AH547" s="315"/>
      <c r="AI547" s="377"/>
      <c r="AJ547" s="407"/>
      <c r="AK547" s="377"/>
      <c r="AL547" s="314"/>
      <c r="AM547" s="314"/>
      <c r="AN547" s="314"/>
      <c r="AO547" s="315"/>
      <c r="AP547" s="257"/>
      <c r="AQ547" s="257"/>
      <c r="AR547" s="257"/>
      <c r="AS547" s="315"/>
      <c r="AT547" s="257"/>
      <c r="AU547" s="257"/>
      <c r="AV547" s="316"/>
      <c r="AW547" s="314"/>
      <c r="AX547" s="315"/>
      <c r="AY547" s="315"/>
      <c r="AZ547" s="315"/>
      <c r="BA547" s="315"/>
      <c r="BB547" s="315"/>
      <c r="BC547" s="315"/>
      <c r="BD547" s="319"/>
      <c r="BE547" s="319"/>
      <c r="BF547" s="319"/>
      <c r="BG547" s="319"/>
      <c r="BH547" s="319"/>
      <c r="BI547" s="319"/>
      <c r="BJ547" s="319"/>
      <c r="BK547" s="315"/>
      <c r="BL547" s="316"/>
      <c r="BM547" s="314"/>
      <c r="BN547" s="319"/>
      <c r="BO547" s="315"/>
      <c r="BP547" s="314"/>
      <c r="BQ547" s="316"/>
      <c r="BR547" s="314"/>
      <c r="BS547" s="262"/>
      <c r="BT547" s="262"/>
    </row>
    <row r="548" spans="1:72" ht="45.75" customHeight="1">
      <c r="A548" s="342"/>
      <c r="B548" s="342"/>
      <c r="C548" s="342"/>
      <c r="D548" s="343"/>
      <c r="E548" s="342"/>
      <c r="F548" s="342"/>
      <c r="G548" s="344"/>
      <c r="H548" s="344"/>
      <c r="I548" s="344"/>
      <c r="J548" s="334"/>
      <c r="K548" s="335"/>
      <c r="L548" s="336"/>
      <c r="M548" s="336"/>
      <c r="N548" s="337"/>
      <c r="O548" s="337"/>
      <c r="P548" s="315"/>
      <c r="Q548" s="314"/>
      <c r="R548" s="317"/>
      <c r="S548" s="315"/>
      <c r="T548" s="315"/>
      <c r="U548" s="315"/>
      <c r="V548" s="258"/>
      <c r="W548" s="322"/>
      <c r="X548" s="318"/>
      <c r="Y548" s="315"/>
      <c r="Z548" s="318"/>
      <c r="AA548" s="314"/>
      <c r="AB548" s="336"/>
      <c r="AC548" s="314"/>
      <c r="AD548" s="316"/>
      <c r="AE548" s="315"/>
      <c r="AF548" s="315"/>
      <c r="AG548" s="315"/>
      <c r="AH548" s="315"/>
      <c r="AI548" s="377"/>
      <c r="AJ548" s="407"/>
      <c r="AK548" s="377"/>
      <c r="AL548" s="314"/>
      <c r="AM548" s="314"/>
      <c r="AN548" s="314"/>
      <c r="AO548" s="315"/>
      <c r="AP548" s="257"/>
      <c r="AQ548" s="257"/>
      <c r="AR548" s="257"/>
      <c r="AS548" s="315"/>
      <c r="AT548" s="257"/>
      <c r="AU548" s="257"/>
      <c r="AV548" s="316"/>
      <c r="AW548" s="314"/>
      <c r="AX548" s="315"/>
      <c r="AY548" s="315"/>
      <c r="AZ548" s="315"/>
      <c r="BA548" s="315"/>
      <c r="BB548" s="315"/>
      <c r="BC548" s="315"/>
      <c r="BD548" s="319"/>
      <c r="BE548" s="319"/>
      <c r="BF548" s="319"/>
      <c r="BG548" s="319"/>
      <c r="BH548" s="319"/>
      <c r="BI548" s="319"/>
      <c r="BJ548" s="319"/>
      <c r="BK548" s="315"/>
      <c r="BL548" s="316"/>
      <c r="BM548" s="314"/>
      <c r="BN548" s="319"/>
      <c r="BO548" s="315"/>
      <c r="BP548" s="314"/>
      <c r="BQ548" s="316"/>
      <c r="BR548" s="314"/>
      <c r="BS548" s="262"/>
      <c r="BT548" s="262"/>
    </row>
    <row r="549" spans="1:72" ht="45.75" customHeight="1">
      <c r="A549" s="342"/>
      <c r="B549" s="342"/>
      <c r="C549" s="342"/>
      <c r="D549" s="343"/>
      <c r="E549" s="342"/>
      <c r="F549" s="342"/>
      <c r="G549" s="344"/>
      <c r="H549" s="344"/>
      <c r="I549" s="344"/>
      <c r="J549" s="334"/>
      <c r="K549" s="335"/>
      <c r="L549" s="336"/>
      <c r="M549" s="336"/>
      <c r="N549" s="337"/>
      <c r="O549" s="337"/>
      <c r="P549" s="315"/>
      <c r="Q549" s="314"/>
      <c r="R549" s="317"/>
      <c r="S549" s="315"/>
      <c r="T549" s="315"/>
      <c r="U549" s="315"/>
      <c r="V549" s="258"/>
      <c r="W549" s="322"/>
      <c r="X549" s="318"/>
      <c r="Y549" s="315"/>
      <c r="Z549" s="318"/>
      <c r="AA549" s="314"/>
      <c r="AB549" s="336"/>
      <c r="AC549" s="314"/>
      <c r="AD549" s="316"/>
      <c r="AE549" s="315"/>
      <c r="AF549" s="315"/>
      <c r="AG549" s="315"/>
      <c r="AH549" s="315"/>
      <c r="AI549" s="377"/>
      <c r="AJ549" s="407"/>
      <c r="AK549" s="377"/>
      <c r="AL549" s="314"/>
      <c r="AM549" s="314"/>
      <c r="AN549" s="314"/>
      <c r="AO549" s="315"/>
      <c r="AP549" s="257"/>
      <c r="AQ549" s="257"/>
      <c r="AR549" s="257"/>
      <c r="AS549" s="315"/>
      <c r="AT549" s="257"/>
      <c r="AU549" s="257"/>
      <c r="AV549" s="316"/>
      <c r="AW549" s="314"/>
      <c r="AX549" s="315"/>
      <c r="AY549" s="315"/>
      <c r="AZ549" s="315"/>
      <c r="BA549" s="315"/>
      <c r="BB549" s="315"/>
      <c r="BC549" s="315"/>
      <c r="BD549" s="319"/>
      <c r="BE549" s="319"/>
      <c r="BF549" s="319"/>
      <c r="BG549" s="319"/>
      <c r="BH549" s="319"/>
      <c r="BI549" s="319"/>
      <c r="BJ549" s="319"/>
      <c r="BK549" s="315"/>
      <c r="BL549" s="316"/>
      <c r="BM549" s="314"/>
      <c r="BN549" s="319"/>
      <c r="BO549" s="315"/>
      <c r="BP549" s="314"/>
      <c r="BQ549" s="316"/>
      <c r="BR549" s="314"/>
      <c r="BS549" s="262"/>
      <c r="BT549" s="262"/>
    </row>
    <row r="550" spans="1:72" ht="45.75" customHeight="1">
      <c r="A550" s="342"/>
      <c r="B550" s="342"/>
      <c r="C550" s="342"/>
      <c r="D550" s="343"/>
      <c r="E550" s="342"/>
      <c r="F550" s="342"/>
      <c r="G550" s="344"/>
      <c r="H550" s="344"/>
      <c r="I550" s="344"/>
      <c r="J550" s="334"/>
      <c r="K550" s="335"/>
      <c r="L550" s="336"/>
      <c r="M550" s="336"/>
      <c r="N550" s="337"/>
      <c r="O550" s="337"/>
      <c r="P550" s="315"/>
      <c r="Q550" s="314"/>
      <c r="R550" s="317"/>
      <c r="S550" s="315"/>
      <c r="T550" s="315"/>
      <c r="U550" s="315"/>
      <c r="V550" s="258"/>
      <c r="W550" s="322"/>
      <c r="X550" s="318"/>
      <c r="Y550" s="315"/>
      <c r="Z550" s="318"/>
      <c r="AA550" s="314"/>
      <c r="AB550" s="336"/>
      <c r="AC550" s="314"/>
      <c r="AD550" s="316"/>
      <c r="AE550" s="315"/>
      <c r="AF550" s="315"/>
      <c r="AG550" s="315"/>
      <c r="AH550" s="315"/>
      <c r="AI550" s="377"/>
      <c r="AJ550" s="407"/>
      <c r="AK550" s="377"/>
      <c r="AL550" s="314"/>
      <c r="AM550" s="314"/>
      <c r="AN550" s="314"/>
      <c r="AO550" s="315"/>
      <c r="AP550" s="257"/>
      <c r="AQ550" s="257"/>
      <c r="AR550" s="257"/>
      <c r="AS550" s="315"/>
      <c r="AT550" s="257"/>
      <c r="AU550" s="257"/>
      <c r="AV550" s="316"/>
      <c r="AW550" s="314"/>
      <c r="AX550" s="315"/>
      <c r="AY550" s="315"/>
      <c r="AZ550" s="315"/>
      <c r="BA550" s="315"/>
      <c r="BB550" s="315"/>
      <c r="BC550" s="315"/>
      <c r="BD550" s="319"/>
      <c r="BE550" s="319"/>
      <c r="BF550" s="319"/>
      <c r="BG550" s="319"/>
      <c r="BH550" s="319"/>
      <c r="BI550" s="319"/>
      <c r="BJ550" s="319"/>
      <c r="BK550" s="315"/>
      <c r="BL550" s="316"/>
      <c r="BM550" s="314"/>
      <c r="BN550" s="319"/>
      <c r="BO550" s="315"/>
      <c r="BP550" s="314"/>
      <c r="BQ550" s="316"/>
      <c r="BR550" s="314"/>
      <c r="BS550" s="262"/>
      <c r="BT550" s="262"/>
    </row>
    <row r="551" spans="1:72" ht="45.75" customHeight="1">
      <c r="A551" s="342"/>
      <c r="B551" s="342"/>
      <c r="C551" s="342"/>
      <c r="D551" s="343"/>
      <c r="E551" s="342"/>
      <c r="F551" s="342"/>
      <c r="G551" s="344"/>
      <c r="H551" s="344"/>
      <c r="I551" s="344"/>
      <c r="J551" s="334"/>
      <c r="K551" s="335"/>
      <c r="L551" s="336"/>
      <c r="M551" s="336"/>
      <c r="N551" s="337"/>
      <c r="O551" s="337"/>
      <c r="P551" s="315"/>
      <c r="Q551" s="314"/>
      <c r="R551" s="317"/>
      <c r="S551" s="315"/>
      <c r="T551" s="315"/>
      <c r="U551" s="315"/>
      <c r="V551" s="258"/>
      <c r="W551" s="322"/>
      <c r="X551" s="318"/>
      <c r="Y551" s="315"/>
      <c r="Z551" s="318"/>
      <c r="AA551" s="314"/>
      <c r="AB551" s="336"/>
      <c r="AC551" s="314"/>
      <c r="AD551" s="316"/>
      <c r="AE551" s="315"/>
      <c r="AF551" s="315"/>
      <c r="AG551" s="315"/>
      <c r="AH551" s="315"/>
      <c r="AI551" s="377"/>
      <c r="AJ551" s="407"/>
      <c r="AK551" s="377"/>
      <c r="AL551" s="314"/>
      <c r="AM551" s="314"/>
      <c r="AN551" s="314"/>
      <c r="AO551" s="315"/>
      <c r="AP551" s="257"/>
      <c r="AQ551" s="257"/>
      <c r="AR551" s="257"/>
      <c r="AS551" s="315"/>
      <c r="AT551" s="257"/>
      <c r="AU551" s="257"/>
      <c r="AV551" s="316"/>
      <c r="AW551" s="314"/>
      <c r="AX551" s="315"/>
      <c r="AY551" s="315"/>
      <c r="AZ551" s="315"/>
      <c r="BA551" s="315"/>
      <c r="BB551" s="315"/>
      <c r="BC551" s="315"/>
      <c r="BD551" s="319"/>
      <c r="BE551" s="319"/>
      <c r="BF551" s="319"/>
      <c r="BG551" s="319"/>
      <c r="BH551" s="319"/>
      <c r="BI551" s="319"/>
      <c r="BJ551" s="319"/>
      <c r="BK551" s="315"/>
      <c r="BL551" s="316"/>
      <c r="BM551" s="314"/>
      <c r="BN551" s="319"/>
      <c r="BO551" s="315"/>
      <c r="BP551" s="314"/>
      <c r="BQ551" s="316"/>
      <c r="BR551" s="314"/>
      <c r="BS551" s="262"/>
      <c r="BT551" s="262"/>
    </row>
    <row r="552" spans="1:72" ht="45.75" customHeight="1">
      <c r="A552" s="342"/>
      <c r="B552" s="342"/>
      <c r="C552" s="342"/>
      <c r="D552" s="343"/>
      <c r="E552" s="342"/>
      <c r="F552" s="342"/>
      <c r="G552" s="344"/>
      <c r="H552" s="344"/>
      <c r="I552" s="344"/>
      <c r="J552" s="334"/>
      <c r="K552" s="335"/>
      <c r="L552" s="336"/>
      <c r="M552" s="336"/>
      <c r="N552" s="337"/>
      <c r="O552" s="337"/>
      <c r="P552" s="315"/>
      <c r="Q552" s="314"/>
      <c r="R552" s="317"/>
      <c r="S552" s="315"/>
      <c r="T552" s="315"/>
      <c r="U552" s="315"/>
      <c r="V552" s="258"/>
      <c r="W552" s="322"/>
      <c r="X552" s="318"/>
      <c r="Y552" s="315"/>
      <c r="Z552" s="318"/>
      <c r="AA552" s="314"/>
      <c r="AB552" s="336"/>
      <c r="AC552" s="314"/>
      <c r="AD552" s="316"/>
      <c r="AE552" s="315"/>
      <c r="AF552" s="315"/>
      <c r="AG552" s="315"/>
      <c r="AH552" s="315"/>
      <c r="AI552" s="377"/>
      <c r="AJ552" s="407"/>
      <c r="AK552" s="377"/>
      <c r="AL552" s="314"/>
      <c r="AM552" s="314"/>
      <c r="AN552" s="314"/>
      <c r="AO552" s="315"/>
      <c r="AP552" s="257"/>
      <c r="AQ552" s="257"/>
      <c r="AR552" s="257"/>
      <c r="AS552" s="315"/>
      <c r="AT552" s="257"/>
      <c r="AU552" s="257"/>
      <c r="AV552" s="316"/>
      <c r="AW552" s="314"/>
      <c r="AX552" s="315"/>
      <c r="AY552" s="315"/>
      <c r="AZ552" s="315"/>
      <c r="BA552" s="315"/>
      <c r="BB552" s="315"/>
      <c r="BC552" s="315"/>
      <c r="BD552" s="319"/>
      <c r="BE552" s="319"/>
      <c r="BF552" s="319"/>
      <c r="BG552" s="319"/>
      <c r="BH552" s="319"/>
      <c r="BI552" s="319"/>
      <c r="BJ552" s="319"/>
      <c r="BK552" s="315"/>
      <c r="BL552" s="316"/>
      <c r="BM552" s="314"/>
      <c r="BN552" s="319"/>
      <c r="BO552" s="315"/>
      <c r="BP552" s="314"/>
      <c r="BQ552" s="316"/>
      <c r="BR552" s="314"/>
      <c r="BS552" s="262"/>
      <c r="BT552" s="262"/>
    </row>
    <row r="553" spans="1:72" ht="45.75" customHeight="1">
      <c r="A553" s="342"/>
      <c r="B553" s="342"/>
      <c r="C553" s="342"/>
      <c r="D553" s="343"/>
      <c r="E553" s="342"/>
      <c r="F553" s="342"/>
      <c r="G553" s="344"/>
      <c r="H553" s="344"/>
      <c r="I553" s="344"/>
      <c r="J553" s="334"/>
      <c r="K553" s="335"/>
      <c r="L553" s="336"/>
      <c r="M553" s="336"/>
      <c r="N553" s="337"/>
      <c r="O553" s="337"/>
      <c r="P553" s="315"/>
      <c r="Q553" s="314"/>
      <c r="R553" s="317"/>
      <c r="S553" s="315"/>
      <c r="T553" s="315"/>
      <c r="U553" s="315"/>
      <c r="V553" s="258"/>
      <c r="W553" s="322"/>
      <c r="X553" s="318"/>
      <c r="Y553" s="315"/>
      <c r="Z553" s="318"/>
      <c r="AA553" s="314"/>
      <c r="AB553" s="336"/>
      <c r="AC553" s="314"/>
      <c r="AD553" s="316"/>
      <c r="AE553" s="315"/>
      <c r="AF553" s="315"/>
      <c r="AG553" s="315"/>
      <c r="AH553" s="315"/>
      <c r="AI553" s="377"/>
      <c r="AJ553" s="407"/>
      <c r="AK553" s="377"/>
      <c r="AL553" s="314"/>
      <c r="AM553" s="314"/>
      <c r="AN553" s="314"/>
      <c r="AO553" s="315"/>
      <c r="AP553" s="257"/>
      <c r="AQ553" s="257"/>
      <c r="AR553" s="257"/>
      <c r="AS553" s="315"/>
      <c r="AT553" s="257"/>
      <c r="AU553" s="257"/>
      <c r="AV553" s="316"/>
      <c r="AW553" s="314"/>
      <c r="AX553" s="315"/>
      <c r="AY553" s="315"/>
      <c r="AZ553" s="315"/>
      <c r="BA553" s="315"/>
      <c r="BB553" s="315"/>
      <c r="BC553" s="315"/>
      <c r="BD553" s="319"/>
      <c r="BE553" s="319"/>
      <c r="BF553" s="319"/>
      <c r="BG553" s="319"/>
      <c r="BH553" s="319"/>
      <c r="BI553" s="319"/>
      <c r="BJ553" s="319"/>
      <c r="BK553" s="315"/>
      <c r="BL553" s="316"/>
      <c r="BM553" s="314"/>
      <c r="BN553" s="319"/>
      <c r="BO553" s="315"/>
      <c r="BP553" s="314"/>
      <c r="BQ553" s="316"/>
      <c r="BR553" s="314"/>
      <c r="BS553" s="262"/>
      <c r="BT553" s="262"/>
    </row>
    <row r="554" spans="1:72" ht="45.75" customHeight="1">
      <c r="A554" s="342"/>
      <c r="B554" s="342"/>
      <c r="C554" s="342"/>
      <c r="D554" s="343"/>
      <c r="E554" s="342"/>
      <c r="F554" s="342"/>
      <c r="G554" s="344"/>
      <c r="H554" s="344"/>
      <c r="I554" s="344"/>
      <c r="J554" s="334"/>
      <c r="K554" s="335"/>
      <c r="L554" s="336"/>
      <c r="M554" s="336"/>
      <c r="N554" s="337"/>
      <c r="O554" s="337"/>
      <c r="P554" s="315"/>
      <c r="Q554" s="314"/>
      <c r="R554" s="317"/>
      <c r="S554" s="315"/>
      <c r="T554" s="315"/>
      <c r="U554" s="315"/>
      <c r="V554" s="258"/>
      <c r="W554" s="322"/>
      <c r="X554" s="318"/>
      <c r="Y554" s="315"/>
      <c r="Z554" s="318"/>
      <c r="AA554" s="314"/>
      <c r="AB554" s="336"/>
      <c r="AC554" s="314"/>
      <c r="AD554" s="316"/>
      <c r="AE554" s="315"/>
      <c r="AF554" s="315"/>
      <c r="AG554" s="315"/>
      <c r="AH554" s="315"/>
      <c r="AI554" s="377"/>
      <c r="AJ554" s="407"/>
      <c r="AK554" s="377"/>
      <c r="AL554" s="314"/>
      <c r="AM554" s="314"/>
      <c r="AN554" s="314"/>
      <c r="AO554" s="315"/>
      <c r="AP554" s="257"/>
      <c r="AQ554" s="257"/>
      <c r="AR554" s="257"/>
      <c r="AS554" s="315"/>
      <c r="AT554" s="257"/>
      <c r="AU554" s="257"/>
      <c r="AV554" s="316"/>
      <c r="AW554" s="314"/>
      <c r="AX554" s="315"/>
      <c r="AY554" s="315"/>
      <c r="AZ554" s="315"/>
      <c r="BA554" s="315"/>
      <c r="BB554" s="315"/>
      <c r="BC554" s="315"/>
      <c r="BD554" s="319"/>
      <c r="BE554" s="319"/>
      <c r="BF554" s="319"/>
      <c r="BG554" s="319"/>
      <c r="BH554" s="319"/>
      <c r="BI554" s="319"/>
      <c r="BJ554" s="319"/>
      <c r="BK554" s="315"/>
      <c r="BL554" s="316"/>
      <c r="BM554" s="314"/>
      <c r="BN554" s="319"/>
      <c r="BO554" s="315"/>
      <c r="BP554" s="314"/>
      <c r="BQ554" s="316"/>
      <c r="BR554" s="314"/>
      <c r="BS554" s="262"/>
      <c r="BT554" s="262"/>
    </row>
    <row r="555" spans="1:72" ht="45.75" customHeight="1">
      <c r="A555" s="342"/>
      <c r="B555" s="342"/>
      <c r="C555" s="342"/>
      <c r="D555" s="343"/>
      <c r="E555" s="342"/>
      <c r="F555" s="342"/>
      <c r="G555" s="344"/>
      <c r="H555" s="344"/>
      <c r="I555" s="344"/>
      <c r="J555" s="334"/>
      <c r="K555" s="335"/>
      <c r="L555" s="336"/>
      <c r="M555" s="336"/>
      <c r="N555" s="337"/>
      <c r="O555" s="337"/>
      <c r="P555" s="315"/>
      <c r="Q555" s="314"/>
      <c r="R555" s="317"/>
      <c r="S555" s="315"/>
      <c r="T555" s="315"/>
      <c r="U555" s="315"/>
      <c r="V555" s="258"/>
      <c r="W555" s="322"/>
      <c r="X555" s="318"/>
      <c r="Y555" s="315"/>
      <c r="Z555" s="318"/>
      <c r="AA555" s="314"/>
      <c r="AB555" s="336"/>
      <c r="AC555" s="314"/>
      <c r="AD555" s="316"/>
      <c r="AE555" s="315"/>
      <c r="AF555" s="315"/>
      <c r="AG555" s="315"/>
      <c r="AH555" s="315"/>
      <c r="AI555" s="377"/>
      <c r="AJ555" s="407"/>
      <c r="AK555" s="377"/>
      <c r="AL555" s="314"/>
      <c r="AM555" s="314"/>
      <c r="AN555" s="314"/>
      <c r="AO555" s="315"/>
      <c r="AP555" s="257"/>
      <c r="AQ555" s="257"/>
      <c r="AR555" s="257"/>
      <c r="AS555" s="315"/>
      <c r="AT555" s="257"/>
      <c r="AU555" s="257"/>
      <c r="AV555" s="316"/>
      <c r="AW555" s="314"/>
      <c r="AX555" s="315"/>
      <c r="AY555" s="315"/>
      <c r="AZ555" s="315"/>
      <c r="BA555" s="315"/>
      <c r="BB555" s="315"/>
      <c r="BC555" s="315"/>
      <c r="BD555" s="319"/>
      <c r="BE555" s="319"/>
      <c r="BF555" s="319"/>
      <c r="BG555" s="319"/>
      <c r="BH555" s="319"/>
      <c r="BI555" s="319"/>
      <c r="BJ555" s="319"/>
      <c r="BK555" s="315"/>
      <c r="BL555" s="316"/>
      <c r="BM555" s="314"/>
      <c r="BN555" s="319"/>
      <c r="BO555" s="315"/>
      <c r="BP555" s="314"/>
      <c r="BQ555" s="316"/>
      <c r="BR555" s="314"/>
      <c r="BS555" s="262"/>
      <c r="BT555" s="262"/>
    </row>
    <row r="556" spans="1:72" ht="45.75" customHeight="1">
      <c r="A556" s="342"/>
      <c r="B556" s="342"/>
      <c r="C556" s="342"/>
      <c r="D556" s="343"/>
      <c r="E556" s="342"/>
      <c r="F556" s="342"/>
      <c r="G556" s="344"/>
      <c r="H556" s="344"/>
      <c r="I556" s="344"/>
      <c r="J556" s="334"/>
      <c r="K556" s="335"/>
      <c r="L556" s="336"/>
      <c r="M556" s="336"/>
      <c r="N556" s="337"/>
      <c r="O556" s="337"/>
      <c r="P556" s="315"/>
      <c r="Q556" s="314"/>
      <c r="R556" s="317"/>
      <c r="S556" s="315"/>
      <c r="T556" s="315"/>
      <c r="U556" s="315"/>
      <c r="V556" s="258"/>
      <c r="W556" s="322"/>
      <c r="X556" s="318"/>
      <c r="Y556" s="315"/>
      <c r="Z556" s="318"/>
      <c r="AA556" s="314"/>
      <c r="AB556" s="336"/>
      <c r="AC556" s="314"/>
      <c r="AD556" s="316"/>
      <c r="AE556" s="315"/>
      <c r="AF556" s="315"/>
      <c r="AG556" s="315"/>
      <c r="AH556" s="315"/>
      <c r="AI556" s="377"/>
      <c r="AJ556" s="407"/>
      <c r="AK556" s="377"/>
      <c r="AL556" s="314"/>
      <c r="AM556" s="314"/>
      <c r="AN556" s="314"/>
      <c r="AO556" s="315"/>
      <c r="AP556" s="257"/>
      <c r="AQ556" s="257"/>
      <c r="AR556" s="257"/>
      <c r="AS556" s="315"/>
      <c r="AT556" s="257"/>
      <c r="AU556" s="257"/>
      <c r="AV556" s="316"/>
      <c r="AW556" s="314"/>
      <c r="AX556" s="315"/>
      <c r="AY556" s="315"/>
      <c r="AZ556" s="315"/>
      <c r="BA556" s="315"/>
      <c r="BB556" s="315"/>
      <c r="BC556" s="315"/>
      <c r="BD556" s="319"/>
      <c r="BE556" s="319"/>
      <c r="BF556" s="319"/>
      <c r="BG556" s="319"/>
      <c r="BH556" s="319"/>
      <c r="BI556" s="319"/>
      <c r="BJ556" s="319"/>
      <c r="BK556" s="315"/>
      <c r="BL556" s="316"/>
      <c r="BM556" s="314"/>
      <c r="BN556" s="319"/>
      <c r="BO556" s="315"/>
      <c r="BP556" s="314"/>
      <c r="BQ556" s="316"/>
      <c r="BR556" s="314"/>
      <c r="BS556" s="262"/>
      <c r="BT556" s="262"/>
    </row>
    <row r="557" spans="1:72" ht="45.75" customHeight="1">
      <c r="A557" s="342"/>
      <c r="B557" s="342"/>
      <c r="C557" s="342"/>
      <c r="D557" s="343"/>
      <c r="E557" s="342"/>
      <c r="F557" s="342"/>
      <c r="G557" s="344"/>
      <c r="H557" s="344"/>
      <c r="I557" s="344"/>
      <c r="J557" s="334"/>
      <c r="K557" s="335"/>
      <c r="L557" s="336"/>
      <c r="M557" s="336"/>
      <c r="N557" s="337"/>
      <c r="O557" s="337"/>
      <c r="P557" s="315"/>
      <c r="Q557" s="314"/>
      <c r="R557" s="317"/>
      <c r="S557" s="315"/>
      <c r="T557" s="315"/>
      <c r="U557" s="315"/>
      <c r="V557" s="258"/>
      <c r="W557" s="322"/>
      <c r="X557" s="318"/>
      <c r="Y557" s="315"/>
      <c r="Z557" s="318"/>
      <c r="AA557" s="314"/>
      <c r="AB557" s="336"/>
      <c r="AC557" s="314"/>
      <c r="AD557" s="316"/>
      <c r="AE557" s="315"/>
      <c r="AF557" s="315"/>
      <c r="AG557" s="315"/>
      <c r="AH557" s="315"/>
      <c r="AI557" s="377"/>
      <c r="AJ557" s="407"/>
      <c r="AK557" s="377"/>
      <c r="AL557" s="314"/>
      <c r="AM557" s="314"/>
      <c r="AN557" s="314"/>
      <c r="AO557" s="315"/>
      <c r="AP557" s="257"/>
      <c r="AQ557" s="257"/>
      <c r="AR557" s="257"/>
      <c r="AS557" s="315"/>
      <c r="AT557" s="257"/>
      <c r="AU557" s="257"/>
      <c r="AV557" s="316"/>
      <c r="AW557" s="314"/>
      <c r="AX557" s="315"/>
      <c r="AY557" s="315"/>
      <c r="AZ557" s="315"/>
      <c r="BA557" s="315"/>
      <c r="BB557" s="315"/>
      <c r="BC557" s="315"/>
      <c r="BD557" s="319"/>
      <c r="BE557" s="319"/>
      <c r="BF557" s="319"/>
      <c r="BG557" s="319"/>
      <c r="BH557" s="319"/>
      <c r="BI557" s="319"/>
      <c r="BJ557" s="319"/>
      <c r="BK557" s="315"/>
      <c r="BL557" s="316"/>
      <c r="BM557" s="314"/>
      <c r="BN557" s="319"/>
      <c r="BO557" s="315"/>
      <c r="BP557" s="314"/>
      <c r="BQ557" s="316"/>
      <c r="BR557" s="314"/>
      <c r="BS557" s="262"/>
      <c r="BT557" s="262"/>
    </row>
    <row r="558" spans="1:72" ht="45.75" customHeight="1">
      <c r="A558" s="342"/>
      <c r="B558" s="342"/>
      <c r="C558" s="342"/>
      <c r="D558" s="343"/>
      <c r="E558" s="342"/>
      <c r="F558" s="342"/>
      <c r="G558" s="344"/>
      <c r="H558" s="344"/>
      <c r="I558" s="344"/>
      <c r="J558" s="334"/>
      <c r="K558" s="335"/>
      <c r="L558" s="336"/>
      <c r="M558" s="336"/>
      <c r="N558" s="337"/>
      <c r="O558" s="337"/>
      <c r="P558" s="315"/>
      <c r="Q558" s="314"/>
      <c r="R558" s="317"/>
      <c r="S558" s="315"/>
      <c r="T558" s="315"/>
      <c r="U558" s="315"/>
      <c r="V558" s="258"/>
      <c r="W558" s="322"/>
      <c r="X558" s="318"/>
      <c r="Y558" s="315"/>
      <c r="Z558" s="318"/>
      <c r="AA558" s="314"/>
      <c r="AB558" s="336"/>
      <c r="AC558" s="314"/>
      <c r="AD558" s="316"/>
      <c r="AE558" s="315"/>
      <c r="AF558" s="315"/>
      <c r="AG558" s="315"/>
      <c r="AH558" s="315"/>
      <c r="AI558" s="377"/>
      <c r="AJ558" s="407"/>
      <c r="AK558" s="377"/>
      <c r="AL558" s="314"/>
      <c r="AM558" s="314"/>
      <c r="AN558" s="314"/>
      <c r="AO558" s="315"/>
      <c r="AP558" s="257"/>
      <c r="AQ558" s="257"/>
      <c r="AR558" s="257"/>
      <c r="AS558" s="315"/>
      <c r="AT558" s="257"/>
      <c r="AU558" s="257"/>
      <c r="AV558" s="316"/>
      <c r="AW558" s="314"/>
      <c r="AX558" s="315"/>
      <c r="AY558" s="315"/>
      <c r="AZ558" s="315"/>
      <c r="BA558" s="315"/>
      <c r="BB558" s="315"/>
      <c r="BC558" s="315"/>
      <c r="BD558" s="319"/>
      <c r="BE558" s="319"/>
      <c r="BF558" s="319"/>
      <c r="BG558" s="319"/>
      <c r="BH558" s="319"/>
      <c r="BI558" s="319"/>
      <c r="BJ558" s="319"/>
      <c r="BK558" s="315"/>
      <c r="BL558" s="316"/>
      <c r="BM558" s="314"/>
      <c r="BN558" s="319"/>
      <c r="BO558" s="315"/>
      <c r="BP558" s="314"/>
      <c r="BQ558" s="316"/>
      <c r="BR558" s="314"/>
      <c r="BS558" s="262"/>
      <c r="BT558" s="262"/>
    </row>
    <row r="559" spans="1:72" ht="45.75" customHeight="1">
      <c r="A559" s="342"/>
      <c r="B559" s="342"/>
      <c r="C559" s="342"/>
      <c r="D559" s="343"/>
      <c r="E559" s="342"/>
      <c r="F559" s="342"/>
      <c r="G559" s="344"/>
      <c r="H559" s="344"/>
      <c r="I559" s="344"/>
      <c r="J559" s="334"/>
      <c r="K559" s="335"/>
      <c r="L559" s="336"/>
      <c r="M559" s="336"/>
      <c r="N559" s="337"/>
      <c r="O559" s="337"/>
      <c r="P559" s="315"/>
      <c r="Q559" s="314"/>
      <c r="R559" s="317"/>
      <c r="S559" s="315"/>
      <c r="T559" s="315"/>
      <c r="U559" s="315"/>
      <c r="V559" s="258"/>
      <c r="W559" s="322"/>
      <c r="X559" s="318"/>
      <c r="Y559" s="315"/>
      <c r="Z559" s="318"/>
      <c r="AA559" s="314"/>
      <c r="AB559" s="336"/>
      <c r="AC559" s="314"/>
      <c r="AD559" s="316"/>
      <c r="AE559" s="315"/>
      <c r="AF559" s="315"/>
      <c r="AG559" s="315"/>
      <c r="AH559" s="315"/>
      <c r="AI559" s="377"/>
      <c r="AJ559" s="407"/>
      <c r="AK559" s="377"/>
      <c r="AL559" s="314"/>
      <c r="AM559" s="314"/>
      <c r="AN559" s="314"/>
      <c r="AO559" s="315"/>
      <c r="AP559" s="257"/>
      <c r="AQ559" s="257"/>
      <c r="AR559" s="257"/>
      <c r="AS559" s="315"/>
      <c r="AT559" s="257"/>
      <c r="AU559" s="257"/>
      <c r="AV559" s="316"/>
      <c r="AW559" s="314"/>
      <c r="AX559" s="315"/>
      <c r="AY559" s="315"/>
      <c r="AZ559" s="315"/>
      <c r="BA559" s="315"/>
      <c r="BB559" s="315"/>
      <c r="BC559" s="315"/>
      <c r="BD559" s="319"/>
      <c r="BE559" s="319"/>
      <c r="BF559" s="319"/>
      <c r="BG559" s="319"/>
      <c r="BH559" s="319"/>
      <c r="BI559" s="319"/>
      <c r="BJ559" s="319"/>
      <c r="BK559" s="315"/>
      <c r="BL559" s="316"/>
      <c r="BM559" s="314"/>
      <c r="BN559" s="319"/>
      <c r="BO559" s="315"/>
      <c r="BP559" s="314"/>
      <c r="BQ559" s="316"/>
      <c r="BR559" s="314"/>
      <c r="BS559" s="262"/>
      <c r="BT559" s="262"/>
    </row>
    <row r="560" spans="1:72" ht="45.75" customHeight="1">
      <c r="A560" s="342"/>
      <c r="B560" s="342"/>
      <c r="C560" s="342"/>
      <c r="D560" s="343"/>
      <c r="E560" s="342"/>
      <c r="F560" s="342"/>
      <c r="G560" s="344"/>
      <c r="H560" s="344"/>
      <c r="I560" s="344"/>
      <c r="J560" s="334"/>
      <c r="K560" s="335"/>
      <c r="L560" s="336"/>
      <c r="M560" s="336"/>
      <c r="N560" s="337"/>
      <c r="O560" s="337"/>
      <c r="P560" s="315"/>
      <c r="Q560" s="314"/>
      <c r="R560" s="317"/>
      <c r="S560" s="315"/>
      <c r="T560" s="315"/>
      <c r="U560" s="315"/>
      <c r="V560" s="258"/>
      <c r="W560" s="322"/>
      <c r="X560" s="318"/>
      <c r="Y560" s="315"/>
      <c r="Z560" s="318"/>
      <c r="AA560" s="314"/>
      <c r="AB560" s="336"/>
      <c r="AC560" s="314"/>
      <c r="AD560" s="316"/>
      <c r="AE560" s="315"/>
      <c r="AF560" s="315"/>
      <c r="AG560" s="315"/>
      <c r="AH560" s="315"/>
      <c r="AI560" s="377"/>
      <c r="AJ560" s="407"/>
      <c r="AK560" s="377"/>
      <c r="AL560" s="314"/>
      <c r="AM560" s="314"/>
      <c r="AN560" s="314"/>
      <c r="AO560" s="315"/>
      <c r="AP560" s="257"/>
      <c r="AQ560" s="257"/>
      <c r="AR560" s="257"/>
      <c r="AS560" s="315"/>
      <c r="AT560" s="257"/>
      <c r="AU560" s="257"/>
      <c r="AV560" s="316"/>
      <c r="AW560" s="314"/>
      <c r="AX560" s="315"/>
      <c r="AY560" s="315"/>
      <c r="AZ560" s="315"/>
      <c r="BA560" s="315"/>
      <c r="BB560" s="315"/>
      <c r="BC560" s="315"/>
      <c r="BD560" s="319"/>
      <c r="BE560" s="319"/>
      <c r="BF560" s="319"/>
      <c r="BG560" s="319"/>
      <c r="BH560" s="319"/>
      <c r="BI560" s="319"/>
      <c r="BJ560" s="319"/>
      <c r="BK560" s="315"/>
      <c r="BL560" s="316"/>
      <c r="BM560" s="314"/>
      <c r="BN560" s="319"/>
      <c r="BO560" s="315"/>
      <c r="BP560" s="314"/>
      <c r="BQ560" s="316"/>
      <c r="BR560" s="314"/>
      <c r="BS560" s="262"/>
      <c r="BT560" s="262"/>
    </row>
    <row r="561" spans="1:72" ht="45.75" customHeight="1">
      <c r="A561" s="342"/>
      <c r="B561" s="342"/>
      <c r="C561" s="342"/>
      <c r="D561" s="343"/>
      <c r="E561" s="342"/>
      <c r="F561" s="342"/>
      <c r="G561" s="344"/>
      <c r="H561" s="344"/>
      <c r="I561" s="344"/>
      <c r="J561" s="334"/>
      <c r="K561" s="335"/>
      <c r="L561" s="336"/>
      <c r="M561" s="336"/>
      <c r="N561" s="337"/>
      <c r="O561" s="337"/>
      <c r="P561" s="315"/>
      <c r="Q561" s="314"/>
      <c r="R561" s="317"/>
      <c r="S561" s="315"/>
      <c r="T561" s="315"/>
      <c r="U561" s="315"/>
      <c r="V561" s="258"/>
      <c r="W561" s="322"/>
      <c r="X561" s="318"/>
      <c r="Y561" s="315"/>
      <c r="Z561" s="318"/>
      <c r="AA561" s="314"/>
      <c r="AB561" s="336"/>
      <c r="AC561" s="314"/>
      <c r="AD561" s="316"/>
      <c r="AE561" s="315"/>
      <c r="AF561" s="315"/>
      <c r="AG561" s="315"/>
      <c r="AH561" s="315"/>
      <c r="AI561" s="377"/>
      <c r="AJ561" s="407"/>
      <c r="AK561" s="377"/>
      <c r="AL561" s="314"/>
      <c r="AM561" s="314"/>
      <c r="AN561" s="314"/>
      <c r="AO561" s="315"/>
      <c r="AP561" s="257"/>
      <c r="AQ561" s="257"/>
      <c r="AR561" s="257"/>
      <c r="AS561" s="315"/>
      <c r="AT561" s="257"/>
      <c r="AU561" s="257"/>
      <c r="AV561" s="316"/>
      <c r="AW561" s="314"/>
      <c r="AX561" s="315"/>
      <c r="AY561" s="315"/>
      <c r="AZ561" s="315"/>
      <c r="BA561" s="315"/>
      <c r="BB561" s="315"/>
      <c r="BC561" s="315"/>
      <c r="BD561" s="319"/>
      <c r="BE561" s="319"/>
      <c r="BF561" s="319"/>
      <c r="BG561" s="319"/>
      <c r="BH561" s="319"/>
      <c r="BI561" s="319"/>
      <c r="BJ561" s="319"/>
      <c r="BK561" s="315"/>
      <c r="BL561" s="316"/>
      <c r="BM561" s="314"/>
      <c r="BN561" s="319"/>
      <c r="BO561" s="315"/>
      <c r="BP561" s="314"/>
      <c r="BQ561" s="316"/>
      <c r="BR561" s="314"/>
      <c r="BS561" s="262"/>
      <c r="BT561" s="262"/>
    </row>
    <row r="562" spans="1:72" ht="45.75" customHeight="1">
      <c r="A562" s="342"/>
      <c r="B562" s="342"/>
      <c r="C562" s="342"/>
      <c r="D562" s="343"/>
      <c r="E562" s="342"/>
      <c r="F562" s="342"/>
      <c r="G562" s="344"/>
      <c r="H562" s="344"/>
      <c r="I562" s="344"/>
      <c r="J562" s="334"/>
      <c r="K562" s="335"/>
      <c r="L562" s="336"/>
      <c r="M562" s="336"/>
      <c r="N562" s="337"/>
      <c r="O562" s="337"/>
      <c r="P562" s="315"/>
      <c r="Q562" s="314"/>
      <c r="R562" s="317"/>
      <c r="S562" s="315"/>
      <c r="T562" s="315"/>
      <c r="U562" s="315"/>
      <c r="V562" s="258"/>
      <c r="W562" s="322"/>
      <c r="X562" s="318"/>
      <c r="Y562" s="315"/>
      <c r="Z562" s="318"/>
      <c r="AA562" s="314"/>
      <c r="AB562" s="336"/>
      <c r="AC562" s="314"/>
      <c r="AD562" s="316"/>
      <c r="AE562" s="315"/>
      <c r="AF562" s="315"/>
      <c r="AG562" s="315"/>
      <c r="AH562" s="315"/>
      <c r="AI562" s="377"/>
      <c r="AJ562" s="407"/>
      <c r="AK562" s="377"/>
      <c r="AL562" s="314"/>
      <c r="AM562" s="314"/>
      <c r="AN562" s="314"/>
      <c r="AO562" s="315"/>
      <c r="AP562" s="257"/>
      <c r="AQ562" s="257"/>
      <c r="AR562" s="257"/>
      <c r="AS562" s="315"/>
      <c r="AT562" s="257"/>
      <c r="AU562" s="257"/>
      <c r="AV562" s="316"/>
      <c r="AW562" s="314"/>
      <c r="AX562" s="315"/>
      <c r="AY562" s="315"/>
      <c r="AZ562" s="315"/>
      <c r="BA562" s="315"/>
      <c r="BB562" s="315"/>
      <c r="BC562" s="315"/>
      <c r="BD562" s="319"/>
      <c r="BE562" s="319"/>
      <c r="BF562" s="319"/>
      <c r="BG562" s="319"/>
      <c r="BH562" s="319"/>
      <c r="BI562" s="319"/>
      <c r="BJ562" s="319"/>
      <c r="BK562" s="315"/>
      <c r="BL562" s="316"/>
      <c r="BM562" s="314"/>
      <c r="BN562" s="319"/>
      <c r="BO562" s="315"/>
      <c r="BP562" s="314"/>
      <c r="BQ562" s="316"/>
      <c r="BR562" s="314"/>
      <c r="BS562" s="262"/>
      <c r="BT562" s="262"/>
    </row>
    <row r="563" spans="1:72" ht="45.75" customHeight="1">
      <c r="A563" s="342"/>
      <c r="B563" s="342"/>
      <c r="C563" s="342"/>
      <c r="D563" s="343"/>
      <c r="E563" s="342"/>
      <c r="F563" s="342"/>
      <c r="G563" s="344"/>
      <c r="H563" s="344"/>
      <c r="I563" s="344"/>
      <c r="J563" s="334"/>
      <c r="K563" s="335"/>
      <c r="L563" s="336"/>
      <c r="M563" s="336"/>
      <c r="N563" s="337"/>
      <c r="O563" s="337"/>
      <c r="P563" s="315"/>
      <c r="Q563" s="314"/>
      <c r="R563" s="317"/>
      <c r="S563" s="315"/>
      <c r="T563" s="315"/>
      <c r="U563" s="315"/>
      <c r="V563" s="258"/>
      <c r="W563" s="322"/>
      <c r="X563" s="318"/>
      <c r="Y563" s="315"/>
      <c r="Z563" s="318"/>
      <c r="AA563" s="314"/>
      <c r="AB563" s="336"/>
      <c r="AC563" s="314"/>
      <c r="AD563" s="316"/>
      <c r="AE563" s="315"/>
      <c r="AF563" s="315"/>
      <c r="AG563" s="315"/>
      <c r="AH563" s="315"/>
      <c r="AI563" s="377"/>
      <c r="AJ563" s="407"/>
      <c r="AK563" s="377"/>
      <c r="AL563" s="314"/>
      <c r="AM563" s="314"/>
      <c r="AN563" s="314"/>
      <c r="AO563" s="315"/>
      <c r="AP563" s="257"/>
      <c r="AQ563" s="257"/>
      <c r="AR563" s="257"/>
      <c r="AS563" s="315"/>
      <c r="AT563" s="257"/>
      <c r="AU563" s="257"/>
      <c r="AV563" s="316"/>
      <c r="AW563" s="314"/>
      <c r="AX563" s="315"/>
      <c r="AY563" s="315"/>
      <c r="AZ563" s="315"/>
      <c r="BA563" s="315"/>
      <c r="BB563" s="315"/>
      <c r="BC563" s="315"/>
      <c r="BD563" s="319"/>
      <c r="BE563" s="319"/>
      <c r="BF563" s="319"/>
      <c r="BG563" s="319"/>
      <c r="BH563" s="319"/>
      <c r="BI563" s="319"/>
      <c r="BJ563" s="319"/>
      <c r="BK563" s="315"/>
      <c r="BL563" s="316"/>
      <c r="BM563" s="314"/>
      <c r="BN563" s="319"/>
      <c r="BO563" s="315"/>
      <c r="BP563" s="314"/>
      <c r="BQ563" s="316"/>
      <c r="BR563" s="314"/>
      <c r="BS563" s="262"/>
      <c r="BT563" s="262"/>
    </row>
    <row r="564" spans="1:72" ht="45.75" customHeight="1">
      <c r="A564" s="342"/>
      <c r="B564" s="342"/>
      <c r="C564" s="342"/>
      <c r="D564" s="343"/>
      <c r="E564" s="342"/>
      <c r="F564" s="342"/>
      <c r="G564" s="344"/>
      <c r="H564" s="344"/>
      <c r="I564" s="344"/>
      <c r="J564" s="334"/>
      <c r="K564" s="335"/>
      <c r="L564" s="336"/>
      <c r="M564" s="336"/>
      <c r="N564" s="337"/>
      <c r="O564" s="337"/>
      <c r="P564" s="315"/>
      <c r="Q564" s="314"/>
      <c r="R564" s="317"/>
      <c r="S564" s="315"/>
      <c r="T564" s="315"/>
      <c r="U564" s="315"/>
      <c r="V564" s="258"/>
      <c r="W564" s="322"/>
      <c r="X564" s="318"/>
      <c r="Y564" s="315"/>
      <c r="Z564" s="318"/>
      <c r="AA564" s="314"/>
      <c r="AB564" s="336"/>
      <c r="AC564" s="314"/>
      <c r="AD564" s="316"/>
      <c r="AE564" s="315"/>
      <c r="AF564" s="315"/>
      <c r="AG564" s="315"/>
      <c r="AH564" s="315"/>
      <c r="AI564" s="377"/>
      <c r="AJ564" s="407"/>
      <c r="AK564" s="377"/>
      <c r="AL564" s="314"/>
      <c r="AM564" s="314"/>
      <c r="AN564" s="314"/>
      <c r="AO564" s="315"/>
      <c r="AP564" s="257"/>
      <c r="AQ564" s="257"/>
      <c r="AR564" s="257"/>
      <c r="AS564" s="315"/>
      <c r="AT564" s="257"/>
      <c r="AU564" s="257"/>
      <c r="AV564" s="316"/>
      <c r="AW564" s="314"/>
      <c r="AX564" s="315"/>
      <c r="AY564" s="315"/>
      <c r="AZ564" s="315"/>
      <c r="BA564" s="315"/>
      <c r="BB564" s="315"/>
      <c r="BC564" s="315"/>
      <c r="BD564" s="319"/>
      <c r="BE564" s="319"/>
      <c r="BF564" s="319"/>
      <c r="BG564" s="319"/>
      <c r="BH564" s="319"/>
      <c r="BI564" s="319"/>
      <c r="BJ564" s="319"/>
      <c r="BK564" s="315"/>
      <c r="BL564" s="316"/>
      <c r="BM564" s="314"/>
      <c r="BN564" s="319"/>
      <c r="BO564" s="315"/>
      <c r="BP564" s="314"/>
      <c r="BQ564" s="316"/>
      <c r="BR564" s="314"/>
      <c r="BS564" s="262"/>
      <c r="BT564" s="262"/>
    </row>
    <row r="565" spans="1:72" ht="45.75" customHeight="1">
      <c r="A565" s="342"/>
      <c r="B565" s="342"/>
      <c r="C565" s="342"/>
      <c r="D565" s="343"/>
      <c r="E565" s="342"/>
      <c r="F565" s="342"/>
      <c r="G565" s="344"/>
      <c r="H565" s="344"/>
      <c r="I565" s="344"/>
      <c r="J565" s="334"/>
      <c r="K565" s="335"/>
      <c r="L565" s="336"/>
      <c r="M565" s="336"/>
      <c r="N565" s="337"/>
      <c r="O565" s="337"/>
      <c r="P565" s="315"/>
      <c r="Q565" s="314"/>
      <c r="R565" s="317"/>
      <c r="S565" s="315"/>
      <c r="T565" s="315"/>
      <c r="U565" s="315"/>
      <c r="V565" s="258"/>
      <c r="W565" s="322"/>
      <c r="X565" s="318"/>
      <c r="Y565" s="315"/>
      <c r="Z565" s="318"/>
      <c r="AA565" s="314"/>
      <c r="AB565" s="336"/>
      <c r="AC565" s="314"/>
      <c r="AD565" s="316"/>
      <c r="AE565" s="315"/>
      <c r="AF565" s="315"/>
      <c r="AG565" s="315"/>
      <c r="AH565" s="315"/>
      <c r="AI565" s="377"/>
      <c r="AJ565" s="407"/>
      <c r="AK565" s="377"/>
      <c r="AL565" s="314"/>
      <c r="AM565" s="314"/>
      <c r="AN565" s="314"/>
      <c r="AO565" s="315"/>
      <c r="AP565" s="257"/>
      <c r="AQ565" s="257"/>
      <c r="AR565" s="257"/>
      <c r="AS565" s="315"/>
      <c r="AT565" s="257"/>
      <c r="AU565" s="257"/>
      <c r="AV565" s="316"/>
      <c r="AW565" s="314"/>
      <c r="AX565" s="315"/>
      <c r="AY565" s="315"/>
      <c r="AZ565" s="315"/>
      <c r="BA565" s="315"/>
      <c r="BB565" s="315"/>
      <c r="BC565" s="315"/>
      <c r="BD565" s="319"/>
      <c r="BE565" s="319"/>
      <c r="BF565" s="319"/>
      <c r="BG565" s="319"/>
      <c r="BH565" s="319"/>
      <c r="BI565" s="319"/>
      <c r="BJ565" s="319"/>
      <c r="BK565" s="315"/>
      <c r="BL565" s="316"/>
      <c r="BM565" s="314"/>
      <c r="BN565" s="319"/>
      <c r="BO565" s="315"/>
      <c r="BP565" s="314"/>
      <c r="BQ565" s="316"/>
      <c r="BR565" s="314"/>
      <c r="BS565" s="262"/>
      <c r="BT565" s="262"/>
    </row>
    <row r="566" spans="1:72" ht="45.75" customHeight="1">
      <c r="A566" s="342"/>
      <c r="B566" s="342"/>
      <c r="C566" s="342"/>
      <c r="D566" s="343"/>
      <c r="E566" s="342"/>
      <c r="F566" s="342"/>
      <c r="G566" s="344"/>
      <c r="H566" s="344"/>
      <c r="I566" s="344"/>
      <c r="J566" s="334"/>
      <c r="K566" s="335"/>
      <c r="L566" s="336"/>
      <c r="M566" s="336"/>
      <c r="N566" s="337"/>
      <c r="O566" s="337"/>
      <c r="P566" s="315"/>
      <c r="Q566" s="314"/>
      <c r="R566" s="317"/>
      <c r="S566" s="315"/>
      <c r="T566" s="315"/>
      <c r="U566" s="315"/>
      <c r="V566" s="258"/>
      <c r="W566" s="322"/>
      <c r="X566" s="318"/>
      <c r="Y566" s="315"/>
      <c r="Z566" s="318"/>
      <c r="AA566" s="314"/>
      <c r="AB566" s="336"/>
      <c r="AC566" s="314"/>
      <c r="AD566" s="316"/>
      <c r="AE566" s="315"/>
      <c r="AF566" s="315"/>
      <c r="AG566" s="315"/>
      <c r="AH566" s="315"/>
      <c r="AI566" s="377"/>
      <c r="AJ566" s="407"/>
      <c r="AK566" s="377"/>
      <c r="AL566" s="314"/>
      <c r="AM566" s="314"/>
      <c r="AN566" s="314"/>
      <c r="AO566" s="315"/>
      <c r="AP566" s="257"/>
      <c r="AQ566" s="257"/>
      <c r="AR566" s="257"/>
      <c r="AS566" s="315"/>
      <c r="AT566" s="257"/>
      <c r="AU566" s="257"/>
      <c r="AV566" s="316"/>
      <c r="AW566" s="314"/>
      <c r="AX566" s="315"/>
      <c r="AY566" s="315"/>
      <c r="AZ566" s="315"/>
      <c r="BA566" s="315"/>
      <c r="BB566" s="315"/>
      <c r="BC566" s="315"/>
      <c r="BD566" s="319"/>
      <c r="BE566" s="319"/>
      <c r="BF566" s="319"/>
      <c r="BG566" s="319"/>
      <c r="BH566" s="319"/>
      <c r="BI566" s="319"/>
      <c r="BJ566" s="319"/>
      <c r="BK566" s="315"/>
      <c r="BL566" s="316"/>
      <c r="BM566" s="314"/>
      <c r="BN566" s="319"/>
      <c r="BO566" s="315"/>
      <c r="BP566" s="314"/>
      <c r="BQ566" s="316"/>
      <c r="BR566" s="314"/>
      <c r="BS566" s="262"/>
      <c r="BT566" s="262"/>
    </row>
    <row r="567" spans="1:72" ht="45.75" customHeight="1">
      <c r="A567" s="342"/>
      <c r="B567" s="342"/>
      <c r="C567" s="342"/>
      <c r="D567" s="343"/>
      <c r="E567" s="342"/>
      <c r="F567" s="342"/>
      <c r="G567" s="344"/>
      <c r="H567" s="344"/>
      <c r="I567" s="344"/>
      <c r="J567" s="334"/>
      <c r="K567" s="335"/>
      <c r="L567" s="336"/>
      <c r="M567" s="336"/>
      <c r="N567" s="337"/>
      <c r="O567" s="337"/>
      <c r="P567" s="315"/>
      <c r="Q567" s="314"/>
      <c r="R567" s="317"/>
      <c r="S567" s="315"/>
      <c r="T567" s="315"/>
      <c r="U567" s="315"/>
      <c r="V567" s="258"/>
      <c r="W567" s="322"/>
      <c r="X567" s="318"/>
      <c r="Y567" s="315"/>
      <c r="Z567" s="318"/>
      <c r="AA567" s="314"/>
      <c r="AB567" s="336"/>
      <c r="AC567" s="314"/>
      <c r="AD567" s="316"/>
      <c r="AE567" s="315"/>
      <c r="AF567" s="315"/>
      <c r="AG567" s="315"/>
      <c r="AH567" s="315"/>
      <c r="AI567" s="377"/>
      <c r="AJ567" s="407"/>
      <c r="AK567" s="377"/>
      <c r="AL567" s="314"/>
      <c r="AM567" s="314"/>
      <c r="AN567" s="314"/>
      <c r="AO567" s="315"/>
      <c r="AP567" s="257"/>
      <c r="AQ567" s="257"/>
      <c r="AR567" s="257"/>
      <c r="AS567" s="315"/>
      <c r="AT567" s="257"/>
      <c r="AU567" s="257"/>
      <c r="AV567" s="316"/>
      <c r="AW567" s="314"/>
      <c r="AX567" s="315"/>
      <c r="AY567" s="315"/>
      <c r="AZ567" s="315"/>
      <c r="BA567" s="315"/>
      <c r="BB567" s="315"/>
      <c r="BC567" s="315"/>
      <c r="BD567" s="319"/>
      <c r="BE567" s="319"/>
      <c r="BF567" s="319"/>
      <c r="BG567" s="319"/>
      <c r="BH567" s="319"/>
      <c r="BI567" s="319"/>
      <c r="BJ567" s="319"/>
      <c r="BK567" s="315"/>
      <c r="BL567" s="316"/>
      <c r="BM567" s="314"/>
      <c r="BN567" s="319"/>
      <c r="BO567" s="315"/>
      <c r="BP567" s="314"/>
      <c r="BQ567" s="316"/>
      <c r="BR567" s="314"/>
      <c r="BS567" s="262"/>
      <c r="BT567" s="262"/>
    </row>
    <row r="568" spans="1:72" ht="45.75" customHeight="1">
      <c r="A568" s="342"/>
      <c r="B568" s="342"/>
      <c r="C568" s="342"/>
      <c r="D568" s="343"/>
      <c r="E568" s="342"/>
      <c r="F568" s="342"/>
      <c r="G568" s="344"/>
      <c r="H568" s="344"/>
      <c r="I568" s="344"/>
      <c r="J568" s="334"/>
      <c r="K568" s="335"/>
      <c r="L568" s="336"/>
      <c r="M568" s="336"/>
      <c r="N568" s="337"/>
      <c r="O568" s="337"/>
      <c r="P568" s="315"/>
      <c r="Q568" s="314"/>
      <c r="R568" s="317"/>
      <c r="S568" s="315"/>
      <c r="T568" s="315"/>
      <c r="U568" s="315"/>
      <c r="V568" s="258"/>
      <c r="W568" s="322"/>
      <c r="X568" s="318"/>
      <c r="Y568" s="315"/>
      <c r="Z568" s="318"/>
      <c r="AA568" s="314"/>
      <c r="AB568" s="336"/>
      <c r="AC568" s="314"/>
      <c r="AD568" s="316"/>
      <c r="AE568" s="315"/>
      <c r="AF568" s="315"/>
      <c r="AG568" s="315"/>
      <c r="AH568" s="315"/>
      <c r="AI568" s="377"/>
      <c r="AJ568" s="407"/>
      <c r="AK568" s="377"/>
      <c r="AL568" s="314"/>
      <c r="AM568" s="314"/>
      <c r="AN568" s="314"/>
      <c r="AO568" s="315"/>
      <c r="AP568" s="257"/>
      <c r="AQ568" s="257"/>
      <c r="AR568" s="257"/>
      <c r="AS568" s="315"/>
      <c r="AT568" s="257"/>
      <c r="AU568" s="257"/>
      <c r="AV568" s="316"/>
      <c r="AW568" s="314"/>
      <c r="AX568" s="315"/>
      <c r="AY568" s="315"/>
      <c r="AZ568" s="315"/>
      <c r="BA568" s="315"/>
      <c r="BB568" s="315"/>
      <c r="BC568" s="315"/>
      <c r="BD568" s="319"/>
      <c r="BE568" s="319"/>
      <c r="BF568" s="319"/>
      <c r="BG568" s="319"/>
      <c r="BH568" s="319"/>
      <c r="BI568" s="319"/>
      <c r="BJ568" s="319"/>
      <c r="BK568" s="315"/>
      <c r="BL568" s="316"/>
      <c r="BM568" s="314"/>
      <c r="BN568" s="319"/>
      <c r="BO568" s="315"/>
      <c r="BP568" s="314"/>
      <c r="BQ568" s="316"/>
      <c r="BR568" s="314"/>
      <c r="BS568" s="262"/>
      <c r="BT568" s="262"/>
    </row>
    <row r="569" spans="1:72" ht="45.75" customHeight="1">
      <c r="A569" s="342"/>
      <c r="B569" s="342"/>
      <c r="C569" s="342"/>
      <c r="D569" s="343"/>
      <c r="E569" s="342"/>
      <c r="F569" s="342"/>
      <c r="G569" s="344"/>
      <c r="H569" s="344"/>
      <c r="I569" s="344"/>
      <c r="J569" s="334"/>
      <c r="K569" s="335"/>
      <c r="L569" s="336"/>
      <c r="M569" s="336"/>
      <c r="N569" s="337"/>
      <c r="O569" s="337"/>
      <c r="P569" s="315"/>
      <c r="Q569" s="314"/>
      <c r="R569" s="317"/>
      <c r="S569" s="315"/>
      <c r="T569" s="315"/>
      <c r="U569" s="315"/>
      <c r="V569" s="258"/>
      <c r="W569" s="322"/>
      <c r="X569" s="318"/>
      <c r="Y569" s="315"/>
      <c r="Z569" s="318"/>
      <c r="AA569" s="314"/>
      <c r="AB569" s="336"/>
      <c r="AC569" s="314"/>
      <c r="AD569" s="316"/>
      <c r="AE569" s="315"/>
      <c r="AF569" s="315"/>
      <c r="AG569" s="315"/>
      <c r="AH569" s="315"/>
      <c r="AI569" s="377"/>
      <c r="AJ569" s="407"/>
      <c r="AK569" s="377"/>
      <c r="AL569" s="314"/>
      <c r="AM569" s="314"/>
      <c r="AN569" s="314"/>
      <c r="AO569" s="315"/>
      <c r="AP569" s="257"/>
      <c r="AQ569" s="257"/>
      <c r="AR569" s="257"/>
      <c r="AS569" s="315"/>
      <c r="AT569" s="257"/>
      <c r="AU569" s="257"/>
      <c r="AV569" s="316"/>
      <c r="AW569" s="314"/>
      <c r="AX569" s="315"/>
      <c r="AY569" s="315"/>
      <c r="AZ569" s="315"/>
      <c r="BA569" s="315"/>
      <c r="BB569" s="315"/>
      <c r="BC569" s="315"/>
      <c r="BD569" s="319"/>
      <c r="BE569" s="319"/>
      <c r="BF569" s="319"/>
      <c r="BG569" s="319"/>
      <c r="BH569" s="319"/>
      <c r="BI569" s="319"/>
      <c r="BJ569" s="319"/>
      <c r="BK569" s="315"/>
      <c r="BL569" s="316"/>
      <c r="BM569" s="314"/>
      <c r="BN569" s="319"/>
      <c r="BO569" s="315"/>
      <c r="BP569" s="314"/>
      <c r="BQ569" s="316"/>
      <c r="BR569" s="314"/>
      <c r="BS569" s="262"/>
      <c r="BT569" s="262"/>
    </row>
    <row r="570" spans="1:72" ht="45.75" customHeight="1">
      <c r="A570" s="342"/>
      <c r="B570" s="342"/>
      <c r="C570" s="342"/>
      <c r="D570" s="343"/>
      <c r="E570" s="342"/>
      <c r="F570" s="342"/>
      <c r="G570" s="344"/>
      <c r="H570" s="344"/>
      <c r="I570" s="344"/>
      <c r="J570" s="334"/>
      <c r="K570" s="335"/>
      <c r="L570" s="336"/>
      <c r="M570" s="336"/>
      <c r="N570" s="337"/>
      <c r="O570" s="337"/>
      <c r="P570" s="315"/>
      <c r="Q570" s="314"/>
      <c r="R570" s="317"/>
      <c r="S570" s="315"/>
      <c r="T570" s="315"/>
      <c r="U570" s="315"/>
      <c r="V570" s="258"/>
      <c r="W570" s="322"/>
      <c r="X570" s="318"/>
      <c r="Y570" s="315"/>
      <c r="Z570" s="318"/>
      <c r="AA570" s="314"/>
      <c r="AB570" s="336"/>
      <c r="AC570" s="314"/>
      <c r="AD570" s="316"/>
      <c r="AE570" s="315"/>
      <c r="AF570" s="315"/>
      <c r="AG570" s="315"/>
      <c r="AH570" s="315"/>
      <c r="AI570" s="377"/>
      <c r="AJ570" s="407"/>
      <c r="AK570" s="377"/>
      <c r="AL570" s="314"/>
      <c r="AM570" s="314"/>
      <c r="AN570" s="314"/>
      <c r="AO570" s="315"/>
      <c r="AP570" s="257"/>
      <c r="AQ570" s="257"/>
      <c r="AR570" s="257"/>
      <c r="AS570" s="315"/>
      <c r="AT570" s="257"/>
      <c r="AU570" s="257"/>
      <c r="AV570" s="316"/>
      <c r="AW570" s="314"/>
      <c r="AX570" s="315"/>
      <c r="AY570" s="315"/>
      <c r="AZ570" s="315"/>
      <c r="BA570" s="315"/>
      <c r="BB570" s="315"/>
      <c r="BC570" s="315"/>
      <c r="BD570" s="319"/>
      <c r="BE570" s="319"/>
      <c r="BF570" s="319"/>
      <c r="BG570" s="319"/>
      <c r="BH570" s="319"/>
      <c r="BI570" s="319"/>
      <c r="BJ570" s="319"/>
      <c r="BK570" s="315"/>
      <c r="BL570" s="316"/>
      <c r="BM570" s="314"/>
      <c r="BN570" s="319"/>
      <c r="BO570" s="315"/>
      <c r="BP570" s="314"/>
      <c r="BQ570" s="316"/>
      <c r="BR570" s="314"/>
      <c r="BS570" s="262"/>
      <c r="BT570" s="262"/>
    </row>
    <row r="571" spans="1:72" ht="45.75" customHeight="1">
      <c r="A571" s="342"/>
      <c r="B571" s="342"/>
      <c r="C571" s="342"/>
      <c r="D571" s="343"/>
      <c r="E571" s="342"/>
      <c r="F571" s="342"/>
      <c r="G571" s="344"/>
      <c r="H571" s="344"/>
      <c r="I571" s="344"/>
      <c r="J571" s="334"/>
      <c r="K571" s="335"/>
      <c r="L571" s="336"/>
      <c r="M571" s="336"/>
      <c r="N571" s="337"/>
      <c r="O571" s="337"/>
      <c r="P571" s="315"/>
      <c r="Q571" s="314"/>
      <c r="R571" s="317"/>
      <c r="S571" s="315"/>
      <c r="T571" s="315"/>
      <c r="U571" s="315"/>
      <c r="V571" s="258"/>
      <c r="W571" s="322"/>
      <c r="X571" s="318"/>
      <c r="Y571" s="315"/>
      <c r="Z571" s="318"/>
      <c r="AA571" s="314"/>
      <c r="AB571" s="336"/>
      <c r="AC571" s="314"/>
      <c r="AD571" s="316"/>
      <c r="AE571" s="315"/>
      <c r="AF571" s="315"/>
      <c r="AG571" s="315"/>
      <c r="AH571" s="315"/>
      <c r="AI571" s="377"/>
      <c r="AJ571" s="407"/>
      <c r="AK571" s="377"/>
      <c r="AL571" s="314"/>
      <c r="AM571" s="314"/>
      <c r="AN571" s="314"/>
      <c r="AO571" s="315"/>
      <c r="AP571" s="257"/>
      <c r="AQ571" s="257"/>
      <c r="AR571" s="257"/>
      <c r="AS571" s="315"/>
      <c r="AT571" s="257"/>
      <c r="AU571" s="257"/>
      <c r="AV571" s="316"/>
      <c r="AW571" s="314"/>
      <c r="AX571" s="315"/>
      <c r="AY571" s="315"/>
      <c r="AZ571" s="315"/>
      <c r="BA571" s="315"/>
      <c r="BB571" s="315"/>
      <c r="BC571" s="315"/>
      <c r="BD571" s="319"/>
      <c r="BE571" s="319"/>
      <c r="BF571" s="319"/>
      <c r="BG571" s="319"/>
      <c r="BH571" s="319"/>
      <c r="BI571" s="319"/>
      <c r="BJ571" s="319"/>
      <c r="BK571" s="315"/>
      <c r="BL571" s="316"/>
      <c r="BM571" s="314"/>
      <c r="BN571" s="319"/>
      <c r="BO571" s="315"/>
      <c r="BP571" s="314"/>
      <c r="BQ571" s="316"/>
      <c r="BR571" s="314"/>
      <c r="BS571" s="262"/>
      <c r="BT571" s="262"/>
    </row>
    <row r="572" spans="1:72" ht="45.75" customHeight="1">
      <c r="A572" s="342"/>
      <c r="B572" s="342"/>
      <c r="C572" s="342"/>
      <c r="D572" s="343"/>
      <c r="E572" s="342"/>
      <c r="F572" s="342"/>
      <c r="G572" s="344"/>
      <c r="H572" s="344"/>
      <c r="I572" s="344"/>
      <c r="J572" s="334"/>
      <c r="K572" s="335"/>
      <c r="L572" s="336"/>
      <c r="M572" s="336"/>
      <c r="N572" s="337"/>
      <c r="O572" s="337"/>
      <c r="P572" s="315"/>
      <c r="Q572" s="314"/>
      <c r="R572" s="317"/>
      <c r="S572" s="315"/>
      <c r="T572" s="315"/>
      <c r="U572" s="315"/>
      <c r="V572" s="258"/>
      <c r="W572" s="322"/>
      <c r="X572" s="318"/>
      <c r="Y572" s="315"/>
      <c r="Z572" s="318"/>
      <c r="AA572" s="314"/>
      <c r="AB572" s="336"/>
      <c r="AC572" s="314"/>
      <c r="AD572" s="316"/>
      <c r="AE572" s="315"/>
      <c r="AF572" s="315"/>
      <c r="AG572" s="315"/>
      <c r="AH572" s="315"/>
      <c r="AI572" s="377"/>
      <c r="AJ572" s="407"/>
      <c r="AK572" s="377"/>
      <c r="AL572" s="314"/>
      <c r="AM572" s="314"/>
      <c r="AN572" s="314"/>
      <c r="AO572" s="315"/>
      <c r="AP572" s="257"/>
      <c r="AQ572" s="257"/>
      <c r="AR572" s="257"/>
      <c r="AS572" s="315"/>
      <c r="AT572" s="257"/>
      <c r="AU572" s="257"/>
      <c r="AV572" s="316"/>
      <c r="AW572" s="314"/>
      <c r="AX572" s="315"/>
      <c r="AY572" s="315"/>
      <c r="AZ572" s="315"/>
      <c r="BA572" s="315"/>
      <c r="BB572" s="315"/>
      <c r="BC572" s="315"/>
      <c r="BD572" s="319"/>
      <c r="BE572" s="319"/>
      <c r="BF572" s="319"/>
      <c r="BG572" s="319"/>
      <c r="BH572" s="319"/>
      <c r="BI572" s="319"/>
      <c r="BJ572" s="319"/>
      <c r="BK572" s="315"/>
      <c r="BL572" s="316"/>
      <c r="BM572" s="314"/>
      <c r="BN572" s="319"/>
      <c r="BO572" s="315"/>
      <c r="BP572" s="314"/>
      <c r="BQ572" s="316"/>
      <c r="BR572" s="314"/>
      <c r="BS572" s="262"/>
      <c r="BT572" s="262"/>
    </row>
    <row r="573" spans="1:72" ht="45.75" customHeight="1">
      <c r="A573" s="342"/>
      <c r="B573" s="342"/>
      <c r="C573" s="342"/>
      <c r="D573" s="343"/>
      <c r="E573" s="342"/>
      <c r="F573" s="342"/>
      <c r="G573" s="344"/>
      <c r="H573" s="344"/>
      <c r="I573" s="344"/>
      <c r="J573" s="334"/>
      <c r="K573" s="335"/>
      <c r="L573" s="336"/>
      <c r="M573" s="336"/>
      <c r="N573" s="337"/>
      <c r="O573" s="337"/>
      <c r="P573" s="315"/>
      <c r="Q573" s="314"/>
      <c r="R573" s="317"/>
      <c r="S573" s="315"/>
      <c r="T573" s="315"/>
      <c r="U573" s="315"/>
      <c r="V573" s="258"/>
      <c r="W573" s="322"/>
      <c r="X573" s="318"/>
      <c r="Y573" s="315"/>
      <c r="Z573" s="318"/>
      <c r="AA573" s="314"/>
      <c r="AB573" s="336"/>
      <c r="AC573" s="314"/>
      <c r="AD573" s="316"/>
      <c r="AE573" s="315"/>
      <c r="AF573" s="315"/>
      <c r="AG573" s="315"/>
      <c r="AH573" s="315"/>
      <c r="AI573" s="377"/>
      <c r="AJ573" s="407"/>
      <c r="AK573" s="377"/>
      <c r="AL573" s="314"/>
      <c r="AM573" s="314"/>
      <c r="AN573" s="314"/>
      <c r="AO573" s="315"/>
      <c r="AP573" s="257"/>
      <c r="AQ573" s="257"/>
      <c r="AR573" s="257"/>
      <c r="AS573" s="315"/>
      <c r="AT573" s="257"/>
      <c r="AU573" s="257"/>
      <c r="AV573" s="316"/>
      <c r="AW573" s="314"/>
      <c r="AX573" s="315"/>
      <c r="AY573" s="315"/>
      <c r="AZ573" s="315"/>
      <c r="BA573" s="315"/>
      <c r="BB573" s="315"/>
      <c r="BC573" s="315"/>
      <c r="BD573" s="319"/>
      <c r="BE573" s="319"/>
      <c r="BF573" s="319"/>
      <c r="BG573" s="319"/>
      <c r="BH573" s="319"/>
      <c r="BI573" s="319"/>
      <c r="BJ573" s="319"/>
      <c r="BK573" s="315"/>
      <c r="BL573" s="316"/>
      <c r="BM573" s="314"/>
      <c r="BN573" s="319"/>
      <c r="BO573" s="315"/>
      <c r="BP573" s="314"/>
      <c r="BQ573" s="316"/>
      <c r="BR573" s="314"/>
      <c r="BS573" s="262"/>
      <c r="BT573" s="262"/>
    </row>
    <row r="574" spans="1:72" ht="45.75" customHeight="1">
      <c r="A574" s="342"/>
      <c r="B574" s="342"/>
      <c r="C574" s="342"/>
      <c r="D574" s="343"/>
      <c r="E574" s="342"/>
      <c r="F574" s="342"/>
      <c r="G574" s="344"/>
      <c r="H574" s="344"/>
      <c r="I574" s="344"/>
      <c r="J574" s="334"/>
      <c r="K574" s="335"/>
      <c r="L574" s="336"/>
      <c r="M574" s="336"/>
      <c r="N574" s="337"/>
      <c r="O574" s="337"/>
      <c r="P574" s="315"/>
      <c r="Q574" s="314"/>
      <c r="R574" s="317"/>
      <c r="S574" s="315"/>
      <c r="T574" s="315"/>
      <c r="U574" s="315"/>
      <c r="V574" s="258"/>
      <c r="W574" s="322"/>
      <c r="X574" s="318"/>
      <c r="Y574" s="315"/>
      <c r="Z574" s="318"/>
      <c r="AA574" s="314"/>
      <c r="AB574" s="336"/>
      <c r="AC574" s="314"/>
      <c r="AD574" s="316"/>
      <c r="AE574" s="315"/>
      <c r="AF574" s="315"/>
      <c r="AG574" s="315"/>
      <c r="AH574" s="315"/>
      <c r="AI574" s="377"/>
      <c r="AJ574" s="407"/>
      <c r="AK574" s="377"/>
      <c r="AL574" s="314"/>
      <c r="AM574" s="314"/>
      <c r="AN574" s="314"/>
      <c r="AO574" s="315"/>
      <c r="AP574" s="257"/>
      <c r="AQ574" s="257"/>
      <c r="AR574" s="257"/>
      <c r="AS574" s="315"/>
      <c r="AT574" s="257"/>
      <c r="AU574" s="257"/>
      <c r="AV574" s="316"/>
      <c r="AW574" s="314"/>
      <c r="AX574" s="315"/>
      <c r="AY574" s="315"/>
      <c r="AZ574" s="315"/>
      <c r="BA574" s="315"/>
      <c r="BB574" s="315"/>
      <c r="BC574" s="315"/>
      <c r="BD574" s="319"/>
      <c r="BE574" s="319"/>
      <c r="BF574" s="319"/>
      <c r="BG574" s="319"/>
      <c r="BH574" s="319"/>
      <c r="BI574" s="319"/>
      <c r="BJ574" s="319"/>
      <c r="BK574" s="315"/>
      <c r="BL574" s="316"/>
      <c r="BM574" s="314"/>
      <c r="BN574" s="319"/>
      <c r="BO574" s="315"/>
      <c r="BP574" s="314"/>
      <c r="BQ574" s="316"/>
      <c r="BR574" s="314"/>
      <c r="BS574" s="262"/>
      <c r="BT574" s="262"/>
    </row>
    <row r="575" spans="1:72" ht="45.75" customHeight="1">
      <c r="A575" s="342"/>
      <c r="B575" s="342"/>
      <c r="C575" s="342"/>
      <c r="D575" s="343"/>
      <c r="E575" s="342"/>
      <c r="F575" s="342"/>
      <c r="G575" s="344"/>
      <c r="H575" s="344"/>
      <c r="I575" s="344"/>
      <c r="J575" s="334"/>
      <c r="K575" s="335"/>
      <c r="L575" s="336"/>
      <c r="M575" s="336"/>
      <c r="N575" s="337"/>
      <c r="O575" s="337"/>
      <c r="P575" s="315"/>
      <c r="Q575" s="314"/>
      <c r="R575" s="317"/>
      <c r="S575" s="315"/>
      <c r="T575" s="315"/>
      <c r="U575" s="315"/>
      <c r="V575" s="258"/>
      <c r="W575" s="322"/>
      <c r="X575" s="318"/>
      <c r="Y575" s="315"/>
      <c r="Z575" s="318"/>
      <c r="AA575" s="314"/>
      <c r="AB575" s="336"/>
      <c r="AC575" s="314"/>
      <c r="AD575" s="316"/>
      <c r="AE575" s="315"/>
      <c r="AF575" s="315"/>
      <c r="AG575" s="315"/>
      <c r="AH575" s="315"/>
      <c r="AI575" s="377"/>
      <c r="AJ575" s="407"/>
      <c r="AK575" s="377"/>
      <c r="AL575" s="314"/>
      <c r="AM575" s="314"/>
      <c r="AN575" s="314"/>
      <c r="AO575" s="315"/>
      <c r="AP575" s="257"/>
      <c r="AQ575" s="257"/>
      <c r="AR575" s="257"/>
      <c r="AS575" s="315"/>
      <c r="AT575" s="257"/>
      <c r="AU575" s="257"/>
      <c r="AV575" s="316"/>
      <c r="AW575" s="314"/>
      <c r="AX575" s="315"/>
      <c r="AY575" s="315"/>
      <c r="AZ575" s="315"/>
      <c r="BA575" s="315"/>
      <c r="BB575" s="315"/>
      <c r="BC575" s="315"/>
      <c r="BD575" s="319"/>
      <c r="BE575" s="319"/>
      <c r="BF575" s="319"/>
      <c r="BG575" s="319"/>
      <c r="BH575" s="319"/>
      <c r="BI575" s="319"/>
      <c r="BJ575" s="319"/>
      <c r="BK575" s="315"/>
      <c r="BL575" s="316"/>
      <c r="BM575" s="314"/>
      <c r="BN575" s="319"/>
      <c r="BO575" s="315"/>
      <c r="BP575" s="314"/>
      <c r="BQ575" s="316"/>
      <c r="BR575" s="314"/>
      <c r="BS575" s="262"/>
      <c r="BT575" s="262"/>
    </row>
    <row r="576" spans="1:72" ht="45.75" customHeight="1">
      <c r="A576" s="342"/>
      <c r="B576" s="342"/>
      <c r="C576" s="342"/>
      <c r="D576" s="343"/>
      <c r="E576" s="342"/>
      <c r="F576" s="342"/>
      <c r="G576" s="344"/>
      <c r="H576" s="344"/>
      <c r="I576" s="344"/>
      <c r="J576" s="334"/>
      <c r="K576" s="335"/>
      <c r="L576" s="336"/>
      <c r="M576" s="336"/>
      <c r="N576" s="337"/>
      <c r="O576" s="337"/>
      <c r="P576" s="315"/>
      <c r="Q576" s="314"/>
      <c r="R576" s="317"/>
      <c r="S576" s="315"/>
      <c r="T576" s="315"/>
      <c r="U576" s="315"/>
      <c r="V576" s="258"/>
      <c r="W576" s="322"/>
      <c r="X576" s="318"/>
      <c r="Y576" s="315"/>
      <c r="Z576" s="318"/>
      <c r="AA576" s="314"/>
      <c r="AB576" s="336"/>
      <c r="AC576" s="314"/>
      <c r="AD576" s="316"/>
      <c r="AE576" s="315"/>
      <c r="AF576" s="315"/>
      <c r="AG576" s="315"/>
      <c r="AH576" s="315"/>
      <c r="AI576" s="377"/>
      <c r="AJ576" s="407"/>
      <c r="AK576" s="377"/>
      <c r="AL576" s="314"/>
      <c r="AM576" s="314"/>
      <c r="AN576" s="314"/>
      <c r="AO576" s="315"/>
      <c r="AP576" s="257"/>
      <c r="AQ576" s="257"/>
      <c r="AR576" s="257"/>
      <c r="AS576" s="315"/>
      <c r="AT576" s="257"/>
      <c r="AU576" s="257"/>
      <c r="AV576" s="316"/>
      <c r="AW576" s="314"/>
      <c r="AX576" s="315"/>
      <c r="AY576" s="315"/>
      <c r="AZ576" s="315"/>
      <c r="BA576" s="315"/>
      <c r="BB576" s="315"/>
      <c r="BC576" s="315"/>
      <c r="BD576" s="319"/>
      <c r="BE576" s="319"/>
      <c r="BF576" s="319"/>
      <c r="BG576" s="319"/>
      <c r="BH576" s="319"/>
      <c r="BI576" s="319"/>
      <c r="BJ576" s="319"/>
      <c r="BK576" s="315"/>
      <c r="BL576" s="316"/>
      <c r="BM576" s="314"/>
      <c r="BN576" s="319"/>
      <c r="BO576" s="315"/>
      <c r="BP576" s="314"/>
      <c r="BQ576" s="316"/>
      <c r="BR576" s="314"/>
      <c r="BS576" s="262"/>
      <c r="BT576" s="262"/>
    </row>
    <row r="577" spans="1:72" ht="45.75" customHeight="1">
      <c r="A577" s="342"/>
      <c r="B577" s="342"/>
      <c r="C577" s="342"/>
      <c r="D577" s="343"/>
      <c r="E577" s="342"/>
      <c r="F577" s="342"/>
      <c r="G577" s="344"/>
      <c r="H577" s="344"/>
      <c r="I577" s="344"/>
      <c r="J577" s="334"/>
      <c r="K577" s="335"/>
      <c r="L577" s="336"/>
      <c r="M577" s="336"/>
      <c r="N577" s="337"/>
      <c r="O577" s="337"/>
      <c r="P577" s="315"/>
      <c r="Q577" s="314"/>
      <c r="R577" s="317"/>
      <c r="S577" s="315"/>
      <c r="T577" s="315"/>
      <c r="U577" s="315"/>
      <c r="V577" s="258"/>
      <c r="W577" s="322"/>
      <c r="X577" s="318"/>
      <c r="Y577" s="315"/>
      <c r="Z577" s="318"/>
      <c r="AA577" s="314"/>
      <c r="AB577" s="336"/>
      <c r="AC577" s="314"/>
      <c r="AD577" s="316"/>
      <c r="AE577" s="315"/>
      <c r="AF577" s="315"/>
      <c r="AG577" s="315"/>
      <c r="AH577" s="315"/>
      <c r="AI577" s="377"/>
      <c r="AJ577" s="407"/>
      <c r="AK577" s="377"/>
      <c r="AL577" s="314"/>
      <c r="AM577" s="314"/>
      <c r="AN577" s="314"/>
      <c r="AO577" s="315"/>
      <c r="AP577" s="257"/>
      <c r="AQ577" s="257"/>
      <c r="AR577" s="257"/>
      <c r="AS577" s="315"/>
      <c r="AT577" s="257"/>
      <c r="AU577" s="257"/>
      <c r="AV577" s="316"/>
      <c r="AW577" s="314"/>
      <c r="AX577" s="315"/>
      <c r="AY577" s="315"/>
      <c r="AZ577" s="315"/>
      <c r="BA577" s="315"/>
      <c r="BB577" s="315"/>
      <c r="BC577" s="315"/>
      <c r="BD577" s="319"/>
      <c r="BE577" s="319"/>
      <c r="BF577" s="319"/>
      <c r="BG577" s="319"/>
      <c r="BH577" s="319"/>
      <c r="BI577" s="319"/>
      <c r="BJ577" s="319"/>
      <c r="BK577" s="315"/>
      <c r="BL577" s="316"/>
      <c r="BM577" s="314"/>
      <c r="BN577" s="319"/>
      <c r="BO577" s="315"/>
      <c r="BP577" s="314"/>
      <c r="BQ577" s="316"/>
      <c r="BR577" s="314"/>
      <c r="BS577" s="262"/>
      <c r="BT577" s="262"/>
    </row>
    <row r="578" spans="1:72" ht="45.75" customHeight="1">
      <c r="A578" s="342"/>
      <c r="B578" s="342"/>
      <c r="C578" s="342"/>
      <c r="D578" s="343"/>
      <c r="E578" s="342"/>
      <c r="F578" s="342"/>
      <c r="G578" s="344"/>
      <c r="H578" s="344"/>
      <c r="I578" s="344"/>
      <c r="J578" s="334"/>
      <c r="K578" s="335"/>
      <c r="L578" s="336"/>
      <c r="M578" s="336"/>
      <c r="N578" s="337"/>
      <c r="O578" s="337"/>
      <c r="P578" s="315"/>
      <c r="Q578" s="314"/>
      <c r="R578" s="317"/>
      <c r="S578" s="315"/>
      <c r="T578" s="315"/>
      <c r="U578" s="315"/>
      <c r="V578" s="258"/>
      <c r="W578" s="322"/>
      <c r="X578" s="318"/>
      <c r="Y578" s="315"/>
      <c r="Z578" s="318"/>
      <c r="AA578" s="314"/>
      <c r="AB578" s="336"/>
      <c r="AC578" s="314"/>
      <c r="AD578" s="316"/>
      <c r="AE578" s="315"/>
      <c r="AF578" s="315"/>
      <c r="AG578" s="315"/>
      <c r="AH578" s="315"/>
      <c r="AI578" s="377"/>
      <c r="AJ578" s="407"/>
      <c r="AK578" s="377"/>
      <c r="AL578" s="314"/>
      <c r="AM578" s="314"/>
      <c r="AN578" s="314"/>
      <c r="AO578" s="315"/>
      <c r="AP578" s="257"/>
      <c r="AQ578" s="257"/>
      <c r="AR578" s="257"/>
      <c r="AS578" s="315"/>
      <c r="AT578" s="257"/>
      <c r="AU578" s="257"/>
      <c r="AV578" s="316"/>
      <c r="AW578" s="314"/>
      <c r="AX578" s="315"/>
      <c r="AY578" s="315"/>
      <c r="AZ578" s="315"/>
      <c r="BA578" s="315"/>
      <c r="BB578" s="315"/>
      <c r="BC578" s="315"/>
      <c r="BD578" s="319"/>
      <c r="BE578" s="319"/>
      <c r="BF578" s="319"/>
      <c r="BG578" s="319"/>
      <c r="BH578" s="319"/>
      <c r="BI578" s="319"/>
      <c r="BJ578" s="319"/>
      <c r="BK578" s="315"/>
      <c r="BL578" s="316"/>
      <c r="BM578" s="314"/>
      <c r="BN578" s="319"/>
      <c r="BO578" s="315"/>
      <c r="BP578" s="314"/>
      <c r="BQ578" s="316"/>
      <c r="BR578" s="314"/>
      <c r="BS578" s="262"/>
      <c r="BT578" s="262"/>
    </row>
    <row r="579" spans="1:72" ht="45.75" customHeight="1">
      <c r="A579" s="342"/>
      <c r="B579" s="342"/>
      <c r="C579" s="342"/>
      <c r="D579" s="343"/>
      <c r="E579" s="342"/>
      <c r="F579" s="342"/>
      <c r="G579" s="344"/>
      <c r="H579" s="344"/>
      <c r="I579" s="344"/>
      <c r="J579" s="334"/>
      <c r="K579" s="335"/>
      <c r="L579" s="336"/>
      <c r="M579" s="336"/>
      <c r="N579" s="337"/>
      <c r="O579" s="337"/>
      <c r="P579" s="315"/>
      <c r="Q579" s="314"/>
      <c r="R579" s="317"/>
      <c r="S579" s="315"/>
      <c r="T579" s="315"/>
      <c r="U579" s="315"/>
      <c r="V579" s="258"/>
      <c r="W579" s="322"/>
      <c r="X579" s="318"/>
      <c r="Y579" s="315"/>
      <c r="Z579" s="318"/>
      <c r="AA579" s="314"/>
      <c r="AB579" s="336"/>
      <c r="AC579" s="314"/>
      <c r="AD579" s="316"/>
      <c r="AE579" s="315"/>
      <c r="AF579" s="315"/>
      <c r="AG579" s="315"/>
      <c r="AH579" s="315"/>
      <c r="AI579" s="377"/>
      <c r="AJ579" s="407"/>
      <c r="AK579" s="377"/>
      <c r="AL579" s="314"/>
      <c r="AM579" s="314"/>
      <c r="AN579" s="314"/>
      <c r="AO579" s="315"/>
      <c r="AP579" s="257"/>
      <c r="AQ579" s="257"/>
      <c r="AR579" s="257"/>
      <c r="AS579" s="315"/>
      <c r="AT579" s="257"/>
      <c r="AU579" s="257"/>
      <c r="AV579" s="316"/>
      <c r="AW579" s="314"/>
      <c r="AX579" s="315"/>
      <c r="AY579" s="315"/>
      <c r="AZ579" s="315"/>
      <c r="BA579" s="315"/>
      <c r="BB579" s="315"/>
      <c r="BC579" s="315"/>
      <c r="BD579" s="319"/>
      <c r="BE579" s="319"/>
      <c r="BF579" s="319"/>
      <c r="BG579" s="319"/>
      <c r="BH579" s="319"/>
      <c r="BI579" s="319"/>
      <c r="BJ579" s="319"/>
      <c r="BK579" s="315"/>
      <c r="BL579" s="316"/>
      <c r="BM579" s="314"/>
      <c r="BN579" s="319"/>
      <c r="BO579" s="315"/>
      <c r="BP579" s="314"/>
      <c r="BQ579" s="316"/>
      <c r="BR579" s="314"/>
      <c r="BS579" s="262"/>
      <c r="BT579" s="262"/>
    </row>
    <row r="580" spans="1:72" ht="45.75" customHeight="1">
      <c r="A580" s="342"/>
      <c r="B580" s="342"/>
      <c r="C580" s="342"/>
      <c r="D580" s="343"/>
      <c r="E580" s="342"/>
      <c r="F580" s="342"/>
      <c r="G580" s="344"/>
      <c r="H580" s="344"/>
      <c r="I580" s="344"/>
      <c r="J580" s="334"/>
      <c r="K580" s="335"/>
      <c r="L580" s="336"/>
      <c r="M580" s="336"/>
      <c r="N580" s="337"/>
      <c r="O580" s="337"/>
      <c r="P580" s="315"/>
      <c r="Q580" s="314"/>
      <c r="R580" s="317"/>
      <c r="S580" s="315"/>
      <c r="T580" s="315"/>
      <c r="U580" s="315"/>
      <c r="V580" s="258"/>
      <c r="W580" s="322"/>
      <c r="X580" s="318"/>
      <c r="Y580" s="315"/>
      <c r="Z580" s="318"/>
      <c r="AA580" s="314"/>
      <c r="AB580" s="336"/>
      <c r="AC580" s="314"/>
      <c r="AD580" s="316"/>
      <c r="AE580" s="315"/>
      <c r="AF580" s="315"/>
      <c r="AG580" s="315"/>
      <c r="AH580" s="315"/>
      <c r="AI580" s="377"/>
      <c r="AJ580" s="407"/>
      <c r="AK580" s="377"/>
      <c r="AL580" s="314"/>
      <c r="AM580" s="314"/>
      <c r="AN580" s="314"/>
      <c r="AO580" s="315"/>
      <c r="AP580" s="257"/>
      <c r="AQ580" s="257"/>
      <c r="AR580" s="257"/>
      <c r="AS580" s="315"/>
      <c r="AT580" s="257"/>
      <c r="AU580" s="257"/>
      <c r="AV580" s="316"/>
      <c r="AW580" s="314"/>
      <c r="AX580" s="315"/>
      <c r="AY580" s="315"/>
      <c r="AZ580" s="315"/>
      <c r="BA580" s="315"/>
      <c r="BB580" s="315"/>
      <c r="BC580" s="315"/>
      <c r="BD580" s="319"/>
      <c r="BE580" s="319"/>
      <c r="BF580" s="319"/>
      <c r="BG580" s="319"/>
      <c r="BH580" s="319"/>
      <c r="BI580" s="319"/>
      <c r="BJ580" s="319"/>
      <c r="BK580" s="315"/>
      <c r="BL580" s="316"/>
      <c r="BM580" s="314"/>
      <c r="BN580" s="319"/>
      <c r="BO580" s="315"/>
      <c r="BP580" s="314"/>
      <c r="BQ580" s="316"/>
      <c r="BR580" s="314"/>
      <c r="BS580" s="262"/>
      <c r="BT580" s="262"/>
    </row>
    <row r="581" spans="1:72" ht="45.75" customHeight="1">
      <c r="A581" s="342"/>
      <c r="B581" s="342"/>
      <c r="C581" s="342"/>
      <c r="D581" s="343"/>
      <c r="E581" s="342"/>
      <c r="F581" s="342"/>
      <c r="G581" s="344"/>
      <c r="H581" s="344"/>
      <c r="I581" s="344"/>
      <c r="J581" s="334"/>
      <c r="K581" s="335"/>
      <c r="L581" s="336"/>
      <c r="M581" s="336"/>
      <c r="N581" s="337"/>
      <c r="O581" s="337"/>
      <c r="P581" s="315"/>
      <c r="Q581" s="314"/>
      <c r="R581" s="317"/>
      <c r="S581" s="315"/>
      <c r="T581" s="315"/>
      <c r="U581" s="315"/>
      <c r="V581" s="258"/>
      <c r="W581" s="322"/>
      <c r="X581" s="318"/>
      <c r="Y581" s="315"/>
      <c r="Z581" s="318"/>
      <c r="AA581" s="314"/>
      <c r="AB581" s="336"/>
      <c r="AC581" s="314"/>
      <c r="AD581" s="316"/>
      <c r="AE581" s="315"/>
      <c r="AF581" s="315"/>
      <c r="AG581" s="315"/>
      <c r="AH581" s="315"/>
      <c r="AI581" s="377"/>
      <c r="AJ581" s="407"/>
      <c r="AK581" s="377"/>
      <c r="AL581" s="314"/>
      <c r="AM581" s="314"/>
      <c r="AN581" s="314"/>
      <c r="AO581" s="315"/>
      <c r="AP581" s="257"/>
      <c r="AQ581" s="257"/>
      <c r="AR581" s="257"/>
      <c r="AS581" s="315"/>
      <c r="AT581" s="257"/>
      <c r="AU581" s="257"/>
      <c r="AV581" s="316"/>
      <c r="AW581" s="314"/>
      <c r="AX581" s="315"/>
      <c r="AY581" s="315"/>
      <c r="AZ581" s="315"/>
      <c r="BA581" s="315"/>
      <c r="BB581" s="315"/>
      <c r="BC581" s="315"/>
      <c r="BD581" s="319"/>
      <c r="BE581" s="319"/>
      <c r="BF581" s="319"/>
      <c r="BG581" s="319"/>
      <c r="BH581" s="319"/>
      <c r="BI581" s="319"/>
      <c r="BJ581" s="319"/>
      <c r="BK581" s="315"/>
      <c r="BL581" s="316"/>
      <c r="BM581" s="314"/>
      <c r="BN581" s="319"/>
      <c r="BO581" s="315"/>
      <c r="BP581" s="314"/>
      <c r="BQ581" s="316"/>
      <c r="BR581" s="314"/>
      <c r="BS581" s="262"/>
      <c r="BT581" s="262"/>
    </row>
    <row r="582" spans="1:72" ht="45.75" customHeight="1">
      <c r="A582" s="342"/>
      <c r="B582" s="342"/>
      <c r="C582" s="342"/>
      <c r="D582" s="343"/>
      <c r="E582" s="342"/>
      <c r="F582" s="342"/>
      <c r="G582" s="344"/>
      <c r="H582" s="344"/>
      <c r="I582" s="344"/>
      <c r="J582" s="334"/>
      <c r="K582" s="335"/>
      <c r="L582" s="336"/>
      <c r="M582" s="336"/>
      <c r="N582" s="337"/>
      <c r="O582" s="337"/>
      <c r="P582" s="315"/>
      <c r="Q582" s="314"/>
      <c r="R582" s="317"/>
      <c r="S582" s="315"/>
      <c r="T582" s="315"/>
      <c r="U582" s="315"/>
      <c r="V582" s="258"/>
      <c r="W582" s="322"/>
      <c r="X582" s="318"/>
      <c r="Y582" s="315"/>
      <c r="Z582" s="318"/>
      <c r="AA582" s="314"/>
      <c r="AB582" s="336"/>
      <c r="AC582" s="314"/>
      <c r="AD582" s="316"/>
      <c r="AE582" s="315"/>
      <c r="AF582" s="315"/>
      <c r="AG582" s="315"/>
      <c r="AH582" s="315"/>
      <c r="AI582" s="377"/>
      <c r="AJ582" s="407"/>
      <c r="AK582" s="377"/>
      <c r="AL582" s="314"/>
      <c r="AM582" s="314"/>
      <c r="AN582" s="314"/>
      <c r="AO582" s="315"/>
      <c r="AP582" s="257"/>
      <c r="AQ582" s="257"/>
      <c r="AR582" s="257"/>
      <c r="AS582" s="315"/>
      <c r="AT582" s="257"/>
      <c r="AU582" s="257"/>
      <c r="AV582" s="316"/>
      <c r="AW582" s="314"/>
      <c r="AX582" s="315"/>
      <c r="AY582" s="315"/>
      <c r="AZ582" s="315"/>
      <c r="BA582" s="315"/>
      <c r="BB582" s="315"/>
      <c r="BC582" s="315"/>
      <c r="BD582" s="319"/>
      <c r="BE582" s="319"/>
      <c r="BF582" s="319"/>
      <c r="BG582" s="319"/>
      <c r="BH582" s="319"/>
      <c r="BI582" s="319"/>
      <c r="BJ582" s="319"/>
      <c r="BK582" s="315"/>
      <c r="BL582" s="316"/>
      <c r="BM582" s="314"/>
      <c r="BN582" s="319"/>
      <c r="BO582" s="315"/>
      <c r="BP582" s="314"/>
      <c r="BQ582" s="316"/>
      <c r="BR582" s="314"/>
      <c r="BS582" s="262"/>
      <c r="BT582" s="262"/>
    </row>
    <row r="583" spans="1:72" ht="45.75" customHeight="1">
      <c r="A583" s="342"/>
      <c r="B583" s="342"/>
      <c r="C583" s="342"/>
      <c r="D583" s="343"/>
      <c r="E583" s="342"/>
      <c r="F583" s="342"/>
      <c r="G583" s="344"/>
      <c r="H583" s="344"/>
      <c r="I583" s="344"/>
      <c r="J583" s="334"/>
      <c r="K583" s="335"/>
      <c r="L583" s="336"/>
      <c r="M583" s="336"/>
      <c r="N583" s="337"/>
      <c r="O583" s="337"/>
      <c r="P583" s="315"/>
      <c r="Q583" s="314"/>
      <c r="R583" s="317"/>
      <c r="S583" s="315"/>
      <c r="T583" s="315"/>
      <c r="U583" s="315"/>
      <c r="V583" s="258"/>
      <c r="W583" s="322"/>
      <c r="X583" s="318"/>
      <c r="Y583" s="315"/>
      <c r="Z583" s="318"/>
      <c r="AA583" s="314"/>
      <c r="AB583" s="336"/>
      <c r="AC583" s="314"/>
      <c r="AD583" s="316"/>
      <c r="AE583" s="315"/>
      <c r="AF583" s="315"/>
      <c r="AG583" s="315"/>
      <c r="AH583" s="315"/>
      <c r="AI583" s="377"/>
      <c r="AJ583" s="407"/>
      <c r="AK583" s="377"/>
      <c r="AL583" s="314"/>
      <c r="AM583" s="314"/>
      <c r="AN583" s="314"/>
      <c r="AO583" s="315"/>
      <c r="AP583" s="257"/>
      <c r="AQ583" s="257"/>
      <c r="AR583" s="257"/>
      <c r="AS583" s="315"/>
      <c r="AT583" s="257"/>
      <c r="AU583" s="257"/>
      <c r="AV583" s="316"/>
      <c r="AW583" s="314"/>
      <c r="AX583" s="315"/>
      <c r="AY583" s="315"/>
      <c r="AZ583" s="315"/>
      <c r="BA583" s="315"/>
      <c r="BB583" s="315"/>
      <c r="BC583" s="315"/>
      <c r="BD583" s="319"/>
      <c r="BE583" s="319"/>
      <c r="BF583" s="319"/>
      <c r="BG583" s="319"/>
      <c r="BH583" s="319"/>
      <c r="BI583" s="319"/>
      <c r="BJ583" s="319"/>
      <c r="BK583" s="315"/>
      <c r="BL583" s="316"/>
      <c r="BM583" s="314"/>
      <c r="BN583" s="319"/>
      <c r="BO583" s="315"/>
      <c r="BP583" s="314"/>
      <c r="BQ583" s="316"/>
      <c r="BR583" s="314"/>
      <c r="BS583" s="262"/>
      <c r="BT583" s="262"/>
    </row>
    <row r="584" spans="1:72" ht="45.75" customHeight="1">
      <c r="A584" s="342"/>
      <c r="B584" s="342"/>
      <c r="C584" s="342"/>
      <c r="D584" s="343"/>
      <c r="E584" s="342"/>
      <c r="F584" s="342"/>
      <c r="G584" s="344"/>
      <c r="H584" s="344"/>
      <c r="I584" s="344"/>
      <c r="J584" s="334"/>
      <c r="K584" s="335"/>
      <c r="L584" s="336"/>
      <c r="M584" s="336"/>
      <c r="N584" s="337"/>
      <c r="O584" s="337"/>
      <c r="P584" s="315"/>
      <c r="Q584" s="314"/>
      <c r="R584" s="317"/>
      <c r="S584" s="315"/>
      <c r="T584" s="315"/>
      <c r="U584" s="315"/>
      <c r="V584" s="258"/>
      <c r="W584" s="322"/>
      <c r="X584" s="318"/>
      <c r="Y584" s="315"/>
      <c r="Z584" s="318"/>
      <c r="AA584" s="314"/>
      <c r="AB584" s="336"/>
      <c r="AC584" s="314"/>
      <c r="AD584" s="316"/>
      <c r="AE584" s="315"/>
      <c r="AF584" s="315"/>
      <c r="AG584" s="315"/>
      <c r="AH584" s="315"/>
      <c r="AI584" s="377"/>
      <c r="AJ584" s="407"/>
      <c r="AK584" s="377"/>
      <c r="AL584" s="314"/>
      <c r="AM584" s="314"/>
      <c r="AN584" s="314"/>
      <c r="AO584" s="315"/>
      <c r="AP584" s="257"/>
      <c r="AQ584" s="257"/>
      <c r="AR584" s="257"/>
      <c r="AS584" s="315"/>
      <c r="AT584" s="257"/>
      <c r="AU584" s="257"/>
      <c r="AV584" s="316"/>
      <c r="AW584" s="314"/>
      <c r="AX584" s="315"/>
      <c r="AY584" s="315"/>
      <c r="AZ584" s="315"/>
      <c r="BA584" s="315"/>
      <c r="BB584" s="315"/>
      <c r="BC584" s="315"/>
      <c r="BD584" s="319"/>
      <c r="BE584" s="319"/>
      <c r="BF584" s="319"/>
      <c r="BG584" s="319"/>
      <c r="BH584" s="319"/>
      <c r="BI584" s="319"/>
      <c r="BJ584" s="319"/>
      <c r="BK584" s="315"/>
      <c r="BL584" s="316"/>
      <c r="BM584" s="314"/>
      <c r="BN584" s="319"/>
      <c r="BO584" s="315"/>
      <c r="BP584" s="314"/>
      <c r="BQ584" s="316"/>
      <c r="BR584" s="314"/>
      <c r="BS584" s="262"/>
      <c r="BT584" s="262"/>
    </row>
    <row r="585" spans="1:72" ht="45.75" customHeight="1">
      <c r="A585" s="342"/>
      <c r="B585" s="342"/>
      <c r="C585" s="342"/>
      <c r="D585" s="343"/>
      <c r="E585" s="342"/>
      <c r="F585" s="342"/>
      <c r="G585" s="344"/>
      <c r="H585" s="344"/>
      <c r="I585" s="344"/>
      <c r="J585" s="334"/>
      <c r="K585" s="335"/>
      <c r="L585" s="336"/>
      <c r="M585" s="336"/>
      <c r="N585" s="337"/>
      <c r="O585" s="337"/>
      <c r="P585" s="315"/>
      <c r="Q585" s="314"/>
      <c r="R585" s="317"/>
      <c r="S585" s="315"/>
      <c r="T585" s="315"/>
      <c r="U585" s="315"/>
      <c r="V585" s="258"/>
      <c r="W585" s="322"/>
      <c r="X585" s="318"/>
      <c r="Y585" s="315"/>
      <c r="Z585" s="318"/>
      <c r="AA585" s="314"/>
      <c r="AB585" s="336"/>
      <c r="AC585" s="314"/>
      <c r="AD585" s="316"/>
      <c r="AE585" s="315"/>
      <c r="AF585" s="315"/>
      <c r="AG585" s="315"/>
      <c r="AH585" s="315"/>
      <c r="AI585" s="377"/>
      <c r="AJ585" s="407"/>
      <c r="AK585" s="377"/>
      <c r="AL585" s="314"/>
      <c r="AM585" s="314"/>
      <c r="AN585" s="314"/>
      <c r="AO585" s="315"/>
      <c r="AP585" s="257"/>
      <c r="AQ585" s="257"/>
      <c r="AR585" s="257"/>
      <c r="AS585" s="315"/>
      <c r="AT585" s="257"/>
      <c r="AU585" s="257"/>
      <c r="AV585" s="316"/>
      <c r="AW585" s="314"/>
      <c r="AX585" s="315"/>
      <c r="AY585" s="315"/>
      <c r="AZ585" s="315"/>
      <c r="BA585" s="315"/>
      <c r="BB585" s="315"/>
      <c r="BC585" s="315"/>
      <c r="BD585" s="319"/>
      <c r="BE585" s="319"/>
      <c r="BF585" s="319"/>
      <c r="BG585" s="319"/>
      <c r="BH585" s="319"/>
      <c r="BI585" s="319"/>
      <c r="BJ585" s="319"/>
      <c r="BK585" s="315"/>
      <c r="BL585" s="316"/>
      <c r="BM585" s="314"/>
      <c r="BN585" s="319"/>
      <c r="BO585" s="315"/>
      <c r="BP585" s="314"/>
      <c r="BQ585" s="316"/>
      <c r="BR585" s="314"/>
      <c r="BS585" s="262"/>
      <c r="BT585" s="262"/>
    </row>
    <row r="586" spans="1:72" ht="45.75" customHeight="1">
      <c r="A586" s="342"/>
      <c r="B586" s="342"/>
      <c r="C586" s="342"/>
      <c r="D586" s="343"/>
      <c r="E586" s="342"/>
      <c r="F586" s="342"/>
      <c r="G586" s="344"/>
      <c r="H586" s="344"/>
      <c r="I586" s="344"/>
      <c r="J586" s="334"/>
      <c r="K586" s="335"/>
      <c r="L586" s="336"/>
      <c r="M586" s="336"/>
      <c r="N586" s="337"/>
      <c r="O586" s="337"/>
      <c r="P586" s="315"/>
      <c r="Q586" s="314"/>
      <c r="R586" s="317"/>
      <c r="S586" s="315"/>
      <c r="T586" s="315"/>
      <c r="U586" s="315"/>
      <c r="V586" s="258"/>
      <c r="W586" s="322"/>
      <c r="X586" s="318"/>
      <c r="Y586" s="315"/>
      <c r="Z586" s="318"/>
      <c r="AA586" s="314"/>
      <c r="AB586" s="336"/>
      <c r="AC586" s="314"/>
      <c r="AD586" s="316"/>
      <c r="AE586" s="315"/>
      <c r="AF586" s="315"/>
      <c r="AG586" s="315"/>
      <c r="AH586" s="315"/>
      <c r="AI586" s="377"/>
      <c r="AJ586" s="407"/>
      <c r="AK586" s="377"/>
      <c r="AL586" s="314"/>
      <c r="AM586" s="314"/>
      <c r="AN586" s="314"/>
      <c r="AO586" s="315"/>
      <c r="AP586" s="257"/>
      <c r="AQ586" s="257"/>
      <c r="AR586" s="257"/>
      <c r="AS586" s="315"/>
      <c r="AT586" s="257"/>
      <c r="AU586" s="257"/>
      <c r="AV586" s="316"/>
      <c r="AW586" s="314"/>
      <c r="AX586" s="315"/>
      <c r="AY586" s="315"/>
      <c r="AZ586" s="315"/>
      <c r="BA586" s="315"/>
      <c r="BB586" s="315"/>
      <c r="BC586" s="315"/>
      <c r="BD586" s="319"/>
      <c r="BE586" s="319"/>
      <c r="BF586" s="319"/>
      <c r="BG586" s="319"/>
      <c r="BH586" s="319"/>
      <c r="BI586" s="319"/>
      <c r="BJ586" s="319"/>
      <c r="BK586" s="315"/>
      <c r="BL586" s="316"/>
      <c r="BM586" s="314"/>
      <c r="BN586" s="319"/>
      <c r="BO586" s="315"/>
      <c r="BP586" s="314"/>
      <c r="BQ586" s="316"/>
      <c r="BR586" s="314"/>
      <c r="BS586" s="262"/>
      <c r="BT586" s="262"/>
    </row>
    <row r="587" spans="1:72" ht="45.75" customHeight="1">
      <c r="A587" s="342"/>
      <c r="B587" s="342"/>
      <c r="C587" s="342"/>
      <c r="D587" s="343"/>
      <c r="E587" s="342"/>
      <c r="F587" s="342"/>
      <c r="G587" s="344"/>
      <c r="H587" s="344"/>
      <c r="I587" s="344"/>
      <c r="J587" s="334"/>
      <c r="K587" s="335"/>
      <c r="L587" s="336"/>
      <c r="M587" s="336"/>
      <c r="N587" s="337"/>
      <c r="O587" s="337"/>
      <c r="P587" s="315"/>
      <c r="Q587" s="314"/>
      <c r="R587" s="317"/>
      <c r="S587" s="315"/>
      <c r="T587" s="315"/>
      <c r="U587" s="315"/>
      <c r="V587" s="258"/>
      <c r="W587" s="322"/>
      <c r="X587" s="318"/>
      <c r="Y587" s="315"/>
      <c r="Z587" s="318"/>
      <c r="AA587" s="314"/>
      <c r="AB587" s="336"/>
      <c r="AC587" s="314"/>
      <c r="AD587" s="316"/>
      <c r="AE587" s="315"/>
      <c r="AF587" s="315"/>
      <c r="AG587" s="315"/>
      <c r="AH587" s="315"/>
      <c r="AI587" s="377"/>
      <c r="AJ587" s="407"/>
      <c r="AK587" s="377"/>
      <c r="AL587" s="314"/>
      <c r="AM587" s="314"/>
      <c r="AN587" s="314"/>
      <c r="AO587" s="315"/>
      <c r="AP587" s="257"/>
      <c r="AQ587" s="257"/>
      <c r="AR587" s="257"/>
      <c r="AS587" s="315"/>
      <c r="AT587" s="257"/>
      <c r="AU587" s="257"/>
      <c r="AV587" s="316"/>
      <c r="AW587" s="314"/>
      <c r="AX587" s="315"/>
      <c r="AY587" s="315"/>
      <c r="AZ587" s="315"/>
      <c r="BA587" s="315"/>
      <c r="BB587" s="315"/>
      <c r="BC587" s="315"/>
      <c r="BD587" s="319"/>
      <c r="BE587" s="319"/>
      <c r="BF587" s="319"/>
      <c r="BG587" s="319"/>
      <c r="BH587" s="319"/>
      <c r="BI587" s="319"/>
      <c r="BJ587" s="319"/>
      <c r="BK587" s="315"/>
      <c r="BL587" s="316"/>
      <c r="BM587" s="314"/>
      <c r="BN587" s="319"/>
      <c r="BO587" s="315"/>
      <c r="BP587" s="314"/>
      <c r="BQ587" s="316"/>
      <c r="BR587" s="314"/>
      <c r="BS587" s="262"/>
      <c r="BT587" s="262"/>
    </row>
    <row r="588" spans="1:72" ht="45.75" customHeight="1">
      <c r="A588" s="342"/>
      <c r="B588" s="342"/>
      <c r="C588" s="342"/>
      <c r="D588" s="343"/>
      <c r="E588" s="342"/>
      <c r="F588" s="342"/>
      <c r="G588" s="344"/>
      <c r="H588" s="344"/>
      <c r="I588" s="344"/>
      <c r="J588" s="334"/>
      <c r="K588" s="335"/>
      <c r="L588" s="336"/>
      <c r="M588" s="336"/>
      <c r="N588" s="337"/>
      <c r="O588" s="337"/>
      <c r="P588" s="315"/>
      <c r="Q588" s="314"/>
      <c r="R588" s="317"/>
      <c r="S588" s="315"/>
      <c r="T588" s="315"/>
      <c r="U588" s="315"/>
      <c r="V588" s="258"/>
      <c r="W588" s="322"/>
      <c r="X588" s="318"/>
      <c r="Y588" s="315"/>
      <c r="Z588" s="318"/>
      <c r="AA588" s="314"/>
      <c r="AB588" s="336"/>
      <c r="AC588" s="314"/>
      <c r="AD588" s="316"/>
      <c r="AE588" s="315"/>
      <c r="AF588" s="315"/>
      <c r="AG588" s="315"/>
      <c r="AH588" s="315"/>
      <c r="AI588" s="377"/>
      <c r="AJ588" s="407"/>
      <c r="AK588" s="377"/>
      <c r="AL588" s="314"/>
      <c r="AM588" s="314"/>
      <c r="AN588" s="314"/>
      <c r="AO588" s="315"/>
      <c r="AP588" s="257"/>
      <c r="AQ588" s="257"/>
      <c r="AR588" s="257"/>
      <c r="AS588" s="315"/>
      <c r="AT588" s="257"/>
      <c r="AU588" s="257"/>
      <c r="AV588" s="316"/>
      <c r="AW588" s="314"/>
      <c r="AX588" s="315"/>
      <c r="AY588" s="315"/>
      <c r="AZ588" s="315"/>
      <c r="BA588" s="315"/>
      <c r="BB588" s="315"/>
      <c r="BC588" s="315"/>
      <c r="BD588" s="319"/>
      <c r="BE588" s="319"/>
      <c r="BF588" s="319"/>
      <c r="BG588" s="319"/>
      <c r="BH588" s="319"/>
      <c r="BI588" s="319"/>
      <c r="BJ588" s="319"/>
      <c r="BK588" s="315"/>
      <c r="BL588" s="316"/>
      <c r="BM588" s="314"/>
      <c r="BN588" s="319"/>
      <c r="BO588" s="315"/>
      <c r="BP588" s="314"/>
      <c r="BQ588" s="316"/>
      <c r="BR588" s="314"/>
      <c r="BS588" s="262"/>
      <c r="BT588" s="262"/>
    </row>
    <row r="589" spans="1:72" ht="45.75" customHeight="1">
      <c r="A589" s="342"/>
      <c r="B589" s="342"/>
      <c r="C589" s="342"/>
      <c r="D589" s="343"/>
      <c r="E589" s="342"/>
      <c r="F589" s="342"/>
      <c r="G589" s="344"/>
      <c r="H589" s="344"/>
      <c r="I589" s="344"/>
      <c r="J589" s="334"/>
      <c r="K589" s="335"/>
      <c r="L589" s="336"/>
      <c r="M589" s="336"/>
      <c r="N589" s="337"/>
      <c r="O589" s="337"/>
      <c r="P589" s="315"/>
      <c r="Q589" s="314"/>
      <c r="R589" s="317"/>
      <c r="S589" s="315"/>
      <c r="T589" s="315"/>
      <c r="U589" s="315"/>
      <c r="V589" s="258"/>
      <c r="W589" s="322"/>
      <c r="X589" s="318"/>
      <c r="Y589" s="315"/>
      <c r="Z589" s="318"/>
      <c r="AA589" s="314"/>
      <c r="AB589" s="336"/>
      <c r="AC589" s="314"/>
      <c r="AD589" s="316"/>
      <c r="AE589" s="315"/>
      <c r="AF589" s="315"/>
      <c r="AG589" s="315"/>
      <c r="AH589" s="315"/>
      <c r="AI589" s="377"/>
      <c r="AJ589" s="407"/>
      <c r="AK589" s="377"/>
      <c r="AL589" s="314"/>
      <c r="AM589" s="314"/>
      <c r="AN589" s="314"/>
      <c r="AO589" s="315"/>
      <c r="AP589" s="257"/>
      <c r="AQ589" s="257"/>
      <c r="AR589" s="257"/>
      <c r="AS589" s="315"/>
      <c r="AT589" s="257"/>
      <c r="AU589" s="257"/>
      <c r="AV589" s="316"/>
      <c r="AW589" s="314"/>
      <c r="AX589" s="315"/>
      <c r="AY589" s="315"/>
      <c r="AZ589" s="315"/>
      <c r="BA589" s="315"/>
      <c r="BB589" s="315"/>
      <c r="BC589" s="315"/>
      <c r="BD589" s="319"/>
      <c r="BE589" s="319"/>
      <c r="BF589" s="319"/>
      <c r="BG589" s="319"/>
      <c r="BH589" s="319"/>
      <c r="BI589" s="319"/>
      <c r="BJ589" s="319"/>
      <c r="BK589" s="315"/>
      <c r="BL589" s="316"/>
      <c r="BM589" s="314"/>
      <c r="BN589" s="319"/>
      <c r="BO589" s="315"/>
      <c r="BP589" s="314"/>
      <c r="BQ589" s="316"/>
      <c r="BR589" s="314"/>
      <c r="BS589" s="262"/>
      <c r="BT589" s="262"/>
    </row>
    <row r="590" spans="1:72" ht="45.75" customHeight="1">
      <c r="A590" s="342"/>
      <c r="B590" s="342"/>
      <c r="C590" s="342"/>
      <c r="D590" s="343"/>
      <c r="E590" s="342"/>
      <c r="F590" s="342"/>
      <c r="G590" s="344"/>
      <c r="H590" s="344"/>
      <c r="I590" s="344"/>
      <c r="J590" s="334"/>
      <c r="K590" s="335"/>
      <c r="L590" s="336"/>
      <c r="M590" s="336"/>
      <c r="N590" s="337"/>
      <c r="O590" s="337"/>
      <c r="P590" s="315"/>
      <c r="Q590" s="314"/>
      <c r="R590" s="317"/>
      <c r="S590" s="315"/>
      <c r="T590" s="315"/>
      <c r="U590" s="315"/>
      <c r="V590" s="258"/>
      <c r="W590" s="322"/>
      <c r="X590" s="318"/>
      <c r="Y590" s="315"/>
      <c r="Z590" s="318"/>
      <c r="AA590" s="314"/>
      <c r="AB590" s="336"/>
      <c r="AC590" s="314"/>
      <c r="AD590" s="316"/>
      <c r="AE590" s="315"/>
      <c r="AF590" s="315"/>
      <c r="AG590" s="315"/>
      <c r="AH590" s="315"/>
      <c r="AI590" s="377"/>
      <c r="AJ590" s="407"/>
      <c r="AK590" s="377"/>
      <c r="AL590" s="314"/>
      <c r="AM590" s="314"/>
      <c r="AN590" s="314"/>
      <c r="AO590" s="315"/>
      <c r="AP590" s="257"/>
      <c r="AQ590" s="257"/>
      <c r="AR590" s="257"/>
      <c r="AS590" s="315"/>
      <c r="AT590" s="257"/>
      <c r="AU590" s="257"/>
      <c r="AV590" s="316"/>
      <c r="AW590" s="314"/>
      <c r="AX590" s="315"/>
      <c r="AY590" s="315"/>
      <c r="AZ590" s="315"/>
      <c r="BA590" s="315"/>
      <c r="BB590" s="315"/>
      <c r="BC590" s="315"/>
      <c r="BD590" s="319"/>
      <c r="BE590" s="319"/>
      <c r="BF590" s="319"/>
      <c r="BG590" s="319"/>
      <c r="BH590" s="319"/>
      <c r="BI590" s="319"/>
      <c r="BJ590" s="319"/>
      <c r="BK590" s="315"/>
      <c r="BL590" s="316"/>
      <c r="BM590" s="314"/>
      <c r="BN590" s="319"/>
      <c r="BO590" s="315"/>
      <c r="BP590" s="314"/>
      <c r="BQ590" s="316"/>
      <c r="BR590" s="314"/>
      <c r="BS590" s="262"/>
      <c r="BT590" s="262"/>
    </row>
    <row r="591" spans="1:72" ht="45.75" customHeight="1">
      <c r="A591" s="342"/>
      <c r="B591" s="342"/>
      <c r="C591" s="342"/>
      <c r="D591" s="343"/>
      <c r="E591" s="342"/>
      <c r="F591" s="342"/>
      <c r="G591" s="344"/>
      <c r="H591" s="344"/>
      <c r="I591" s="344"/>
      <c r="J591" s="334"/>
      <c r="K591" s="335"/>
      <c r="L591" s="336"/>
      <c r="M591" s="336"/>
      <c r="N591" s="337"/>
      <c r="O591" s="337"/>
      <c r="P591" s="315"/>
      <c r="Q591" s="314"/>
      <c r="R591" s="317"/>
      <c r="S591" s="315"/>
      <c r="T591" s="315"/>
      <c r="U591" s="315"/>
      <c r="V591" s="258"/>
      <c r="W591" s="322"/>
      <c r="X591" s="318"/>
      <c r="Y591" s="315"/>
      <c r="Z591" s="318"/>
      <c r="AA591" s="314"/>
      <c r="AB591" s="336"/>
      <c r="AC591" s="314"/>
      <c r="AD591" s="316"/>
      <c r="AE591" s="315"/>
      <c r="AF591" s="315"/>
      <c r="AG591" s="315"/>
      <c r="AH591" s="315"/>
      <c r="AI591" s="377"/>
      <c r="AJ591" s="407"/>
      <c r="AK591" s="377"/>
      <c r="AL591" s="314"/>
      <c r="AM591" s="314"/>
      <c r="AN591" s="314"/>
      <c r="AO591" s="315"/>
      <c r="AP591" s="257"/>
      <c r="AQ591" s="257"/>
      <c r="AR591" s="257"/>
      <c r="AS591" s="315"/>
      <c r="AT591" s="257"/>
      <c r="AU591" s="257"/>
      <c r="AV591" s="316"/>
      <c r="AW591" s="314"/>
      <c r="AX591" s="315"/>
      <c r="AY591" s="315"/>
      <c r="AZ591" s="315"/>
      <c r="BA591" s="315"/>
      <c r="BB591" s="315"/>
      <c r="BC591" s="315"/>
      <c r="BD591" s="319"/>
      <c r="BE591" s="319"/>
      <c r="BF591" s="319"/>
      <c r="BG591" s="319"/>
      <c r="BH591" s="319"/>
      <c r="BI591" s="319"/>
      <c r="BJ591" s="319"/>
      <c r="BK591" s="315"/>
      <c r="BL591" s="316"/>
      <c r="BM591" s="314"/>
      <c r="BN591" s="319"/>
      <c r="BO591" s="315"/>
      <c r="BP591" s="314"/>
      <c r="BQ591" s="316"/>
      <c r="BR591" s="314"/>
      <c r="BS591" s="262"/>
      <c r="BT591" s="262"/>
    </row>
    <row r="592" spans="1:72" ht="45.75" customHeight="1">
      <c r="A592" s="342"/>
      <c r="B592" s="342"/>
      <c r="C592" s="342"/>
      <c r="D592" s="343"/>
      <c r="E592" s="342"/>
      <c r="F592" s="342"/>
      <c r="G592" s="344"/>
      <c r="H592" s="344"/>
      <c r="I592" s="344"/>
      <c r="J592" s="334"/>
      <c r="K592" s="335"/>
      <c r="L592" s="336"/>
      <c r="M592" s="336"/>
      <c r="N592" s="337"/>
      <c r="O592" s="337"/>
      <c r="P592" s="315"/>
      <c r="Q592" s="314"/>
      <c r="R592" s="317"/>
      <c r="S592" s="315"/>
      <c r="T592" s="315"/>
      <c r="U592" s="315"/>
      <c r="V592" s="258"/>
      <c r="W592" s="322"/>
      <c r="X592" s="318"/>
      <c r="Y592" s="315"/>
      <c r="Z592" s="318"/>
      <c r="AA592" s="314"/>
      <c r="AB592" s="336"/>
      <c r="AC592" s="314"/>
      <c r="AD592" s="316"/>
      <c r="AE592" s="315"/>
      <c r="AF592" s="315"/>
      <c r="AG592" s="315"/>
      <c r="AH592" s="315"/>
      <c r="AI592" s="377"/>
      <c r="AJ592" s="407"/>
      <c r="AK592" s="377"/>
      <c r="AL592" s="314"/>
      <c r="AM592" s="314"/>
      <c r="AN592" s="314"/>
      <c r="AO592" s="315"/>
      <c r="AP592" s="257"/>
      <c r="AQ592" s="257"/>
      <c r="AR592" s="257"/>
      <c r="AS592" s="315"/>
      <c r="AT592" s="257"/>
      <c r="AU592" s="257"/>
      <c r="AV592" s="316"/>
      <c r="AW592" s="314"/>
      <c r="AX592" s="315"/>
      <c r="AY592" s="315"/>
      <c r="AZ592" s="315"/>
      <c r="BA592" s="315"/>
      <c r="BB592" s="315"/>
      <c r="BC592" s="315"/>
      <c r="BD592" s="319"/>
      <c r="BE592" s="319"/>
      <c r="BF592" s="319"/>
      <c r="BG592" s="319"/>
      <c r="BH592" s="319"/>
      <c r="BI592" s="319"/>
      <c r="BJ592" s="319"/>
      <c r="BK592" s="315"/>
      <c r="BL592" s="316"/>
      <c r="BM592" s="314"/>
      <c r="BN592" s="319"/>
      <c r="BO592" s="315"/>
      <c r="BP592" s="314"/>
      <c r="BQ592" s="316"/>
      <c r="BR592" s="314"/>
      <c r="BS592" s="262"/>
      <c r="BT592" s="262"/>
    </row>
    <row r="593" spans="1:72" ht="45.75" customHeight="1">
      <c r="A593" s="342"/>
      <c r="B593" s="342"/>
      <c r="C593" s="342"/>
      <c r="D593" s="343"/>
      <c r="E593" s="342"/>
      <c r="F593" s="342"/>
      <c r="G593" s="344"/>
      <c r="H593" s="344"/>
      <c r="I593" s="344"/>
      <c r="J593" s="334"/>
      <c r="K593" s="335"/>
      <c r="L593" s="336"/>
      <c r="M593" s="336"/>
      <c r="N593" s="337"/>
      <c r="O593" s="337"/>
      <c r="P593" s="315"/>
      <c r="Q593" s="314"/>
      <c r="R593" s="317"/>
      <c r="S593" s="315"/>
      <c r="T593" s="315"/>
      <c r="U593" s="315"/>
      <c r="V593" s="258"/>
      <c r="W593" s="322"/>
      <c r="X593" s="318"/>
      <c r="Y593" s="315"/>
      <c r="Z593" s="318"/>
      <c r="AA593" s="314"/>
      <c r="AB593" s="336"/>
      <c r="AC593" s="314"/>
      <c r="AD593" s="316"/>
      <c r="AE593" s="315"/>
      <c r="AF593" s="315"/>
      <c r="AG593" s="315"/>
      <c r="AH593" s="315"/>
      <c r="AI593" s="377"/>
      <c r="AJ593" s="407"/>
      <c r="AK593" s="377"/>
      <c r="AL593" s="314"/>
      <c r="AM593" s="314"/>
      <c r="AN593" s="314"/>
      <c r="AO593" s="315"/>
      <c r="AP593" s="257"/>
      <c r="AQ593" s="257"/>
      <c r="AR593" s="257"/>
      <c r="AS593" s="315"/>
      <c r="AT593" s="257"/>
      <c r="AU593" s="257"/>
      <c r="AV593" s="316"/>
      <c r="AW593" s="314"/>
      <c r="AX593" s="315"/>
      <c r="AY593" s="315"/>
      <c r="AZ593" s="315"/>
      <c r="BA593" s="315"/>
      <c r="BB593" s="315"/>
      <c r="BC593" s="315"/>
      <c r="BD593" s="319"/>
      <c r="BE593" s="319"/>
      <c r="BF593" s="319"/>
      <c r="BG593" s="319"/>
      <c r="BH593" s="319"/>
      <c r="BI593" s="319"/>
      <c r="BJ593" s="319"/>
      <c r="BK593" s="315"/>
      <c r="BL593" s="316"/>
      <c r="BM593" s="314"/>
      <c r="BN593" s="319"/>
      <c r="BO593" s="315"/>
      <c r="BP593" s="314"/>
      <c r="BQ593" s="316"/>
      <c r="BR593" s="314"/>
      <c r="BS593" s="262"/>
      <c r="BT593" s="262"/>
    </row>
    <row r="594" spans="1:72" ht="45.75" customHeight="1">
      <c r="A594" s="342"/>
      <c r="B594" s="342"/>
      <c r="C594" s="342"/>
      <c r="D594" s="343"/>
      <c r="E594" s="342"/>
      <c r="F594" s="342"/>
      <c r="G594" s="344"/>
      <c r="H594" s="344"/>
      <c r="I594" s="344"/>
      <c r="J594" s="334"/>
      <c r="K594" s="335"/>
      <c r="L594" s="336"/>
      <c r="M594" s="336"/>
      <c r="N594" s="337"/>
      <c r="O594" s="337"/>
      <c r="P594" s="315"/>
      <c r="Q594" s="314"/>
      <c r="R594" s="317"/>
      <c r="S594" s="315"/>
      <c r="T594" s="315"/>
      <c r="U594" s="315"/>
      <c r="V594" s="258"/>
      <c r="W594" s="322"/>
      <c r="X594" s="318"/>
      <c r="Y594" s="315"/>
      <c r="Z594" s="318"/>
      <c r="AA594" s="314"/>
      <c r="AB594" s="336"/>
      <c r="AC594" s="314"/>
      <c r="AD594" s="316"/>
      <c r="AE594" s="315"/>
      <c r="AF594" s="315"/>
      <c r="AG594" s="315"/>
      <c r="AH594" s="315"/>
      <c r="AI594" s="377"/>
      <c r="AJ594" s="407"/>
      <c r="AK594" s="377"/>
      <c r="AL594" s="314"/>
      <c r="AM594" s="314"/>
      <c r="AN594" s="314"/>
      <c r="AO594" s="315"/>
      <c r="AP594" s="257"/>
      <c r="AQ594" s="257"/>
      <c r="AR594" s="257"/>
      <c r="AS594" s="315"/>
      <c r="AT594" s="257"/>
      <c r="AU594" s="257"/>
      <c r="AV594" s="316"/>
      <c r="AW594" s="314"/>
      <c r="AX594" s="315"/>
      <c r="AY594" s="315"/>
      <c r="AZ594" s="315"/>
      <c r="BA594" s="315"/>
      <c r="BB594" s="315"/>
      <c r="BC594" s="315"/>
      <c r="BD594" s="319"/>
      <c r="BE594" s="319"/>
      <c r="BF594" s="319"/>
      <c r="BG594" s="319"/>
      <c r="BH594" s="319"/>
      <c r="BI594" s="319"/>
      <c r="BJ594" s="319"/>
      <c r="BK594" s="315"/>
      <c r="BL594" s="316"/>
      <c r="BM594" s="314"/>
      <c r="BN594" s="319"/>
      <c r="BO594" s="315"/>
      <c r="BP594" s="314"/>
      <c r="BQ594" s="316"/>
      <c r="BR594" s="314"/>
      <c r="BS594" s="262"/>
      <c r="BT594" s="262"/>
    </row>
    <row r="595" spans="1:72" ht="45.75" customHeight="1">
      <c r="A595" s="342"/>
      <c r="B595" s="342"/>
      <c r="C595" s="342"/>
      <c r="D595" s="343"/>
      <c r="E595" s="342"/>
      <c r="F595" s="342"/>
      <c r="G595" s="344"/>
      <c r="H595" s="344"/>
      <c r="I595" s="344"/>
      <c r="J595" s="334"/>
      <c r="K595" s="335"/>
      <c r="L595" s="336"/>
      <c r="M595" s="336"/>
      <c r="N595" s="337"/>
      <c r="O595" s="337"/>
      <c r="P595" s="315"/>
      <c r="Q595" s="314"/>
      <c r="R595" s="317"/>
      <c r="S595" s="315"/>
      <c r="T595" s="315"/>
      <c r="U595" s="315"/>
      <c r="V595" s="258"/>
      <c r="W595" s="322"/>
      <c r="X595" s="318"/>
      <c r="Y595" s="315"/>
      <c r="Z595" s="318"/>
      <c r="AA595" s="314"/>
      <c r="AB595" s="336"/>
      <c r="AC595" s="314"/>
      <c r="AD595" s="316"/>
      <c r="AE595" s="315"/>
      <c r="AF595" s="315"/>
      <c r="AG595" s="315"/>
      <c r="AH595" s="315"/>
      <c r="AI595" s="377"/>
      <c r="AJ595" s="407"/>
      <c r="AK595" s="377"/>
      <c r="AL595" s="314"/>
      <c r="AM595" s="314"/>
      <c r="AN595" s="314"/>
      <c r="AO595" s="315"/>
      <c r="AP595" s="257"/>
      <c r="AQ595" s="257"/>
      <c r="AR595" s="257"/>
      <c r="AS595" s="315"/>
      <c r="AT595" s="257"/>
      <c r="AU595" s="257"/>
      <c r="AV595" s="316"/>
      <c r="AW595" s="314"/>
      <c r="AX595" s="315"/>
      <c r="AY595" s="315"/>
      <c r="AZ595" s="315"/>
      <c r="BA595" s="315"/>
      <c r="BB595" s="315"/>
      <c r="BC595" s="315"/>
      <c r="BD595" s="319"/>
      <c r="BE595" s="319"/>
      <c r="BF595" s="319"/>
      <c r="BG595" s="319"/>
      <c r="BH595" s="319"/>
      <c r="BI595" s="319"/>
      <c r="BJ595" s="319"/>
      <c r="BK595" s="315"/>
      <c r="BL595" s="316"/>
      <c r="BM595" s="314"/>
      <c r="BN595" s="319"/>
      <c r="BO595" s="315"/>
      <c r="BP595" s="314"/>
      <c r="BQ595" s="316"/>
      <c r="BR595" s="314"/>
      <c r="BS595" s="262"/>
      <c r="BT595" s="262"/>
    </row>
    <row r="596" spans="1:72" ht="45.75" customHeight="1">
      <c r="A596" s="342"/>
      <c r="B596" s="342"/>
      <c r="C596" s="342"/>
      <c r="D596" s="343"/>
      <c r="E596" s="342"/>
      <c r="F596" s="342"/>
      <c r="G596" s="344"/>
      <c r="H596" s="344"/>
      <c r="I596" s="344"/>
      <c r="J596" s="334"/>
      <c r="K596" s="335"/>
      <c r="L596" s="336"/>
      <c r="M596" s="336"/>
      <c r="N596" s="337"/>
      <c r="O596" s="337"/>
      <c r="P596" s="315"/>
      <c r="Q596" s="314"/>
      <c r="R596" s="317"/>
      <c r="S596" s="315"/>
      <c r="T596" s="315"/>
      <c r="U596" s="315"/>
      <c r="V596" s="258"/>
      <c r="W596" s="322"/>
      <c r="X596" s="318"/>
      <c r="Y596" s="315"/>
      <c r="Z596" s="318"/>
      <c r="AA596" s="314"/>
      <c r="AB596" s="336"/>
      <c r="AC596" s="314"/>
      <c r="AD596" s="316"/>
      <c r="AE596" s="315"/>
      <c r="AF596" s="315"/>
      <c r="AG596" s="315"/>
      <c r="AH596" s="315"/>
      <c r="AI596" s="377"/>
      <c r="AJ596" s="407"/>
      <c r="AK596" s="377"/>
      <c r="AL596" s="314"/>
      <c r="AM596" s="314"/>
      <c r="AN596" s="314"/>
      <c r="AO596" s="315"/>
      <c r="AP596" s="257"/>
      <c r="AQ596" s="257"/>
      <c r="AR596" s="257"/>
      <c r="AS596" s="315"/>
      <c r="AT596" s="257"/>
      <c r="AU596" s="257"/>
      <c r="AV596" s="316"/>
      <c r="AW596" s="314"/>
      <c r="AX596" s="315"/>
      <c r="AY596" s="315"/>
      <c r="AZ596" s="315"/>
      <c r="BA596" s="315"/>
      <c r="BB596" s="315"/>
      <c r="BC596" s="315"/>
      <c r="BD596" s="319"/>
      <c r="BE596" s="319"/>
      <c r="BF596" s="319"/>
      <c r="BG596" s="319"/>
      <c r="BH596" s="319"/>
      <c r="BI596" s="319"/>
      <c r="BJ596" s="319"/>
      <c r="BK596" s="315"/>
      <c r="BL596" s="316"/>
      <c r="BM596" s="314"/>
      <c r="BN596" s="319"/>
      <c r="BO596" s="315"/>
      <c r="BP596" s="314"/>
      <c r="BQ596" s="316"/>
      <c r="BR596" s="314"/>
      <c r="BS596" s="262"/>
      <c r="BT596" s="262"/>
    </row>
    <row r="597" spans="1:72" ht="45.75" customHeight="1">
      <c r="A597" s="342"/>
      <c r="B597" s="342"/>
      <c r="C597" s="342"/>
      <c r="D597" s="343"/>
      <c r="E597" s="342"/>
      <c r="F597" s="342"/>
      <c r="G597" s="344"/>
      <c r="H597" s="344"/>
      <c r="I597" s="344"/>
      <c r="J597" s="334"/>
      <c r="K597" s="335"/>
      <c r="L597" s="336"/>
      <c r="M597" s="336"/>
      <c r="N597" s="337"/>
      <c r="O597" s="337"/>
      <c r="P597" s="315"/>
      <c r="Q597" s="314"/>
      <c r="R597" s="317"/>
      <c r="S597" s="315"/>
      <c r="T597" s="315"/>
      <c r="U597" s="315"/>
      <c r="V597" s="258"/>
      <c r="W597" s="322"/>
      <c r="X597" s="318"/>
      <c r="Y597" s="315"/>
      <c r="Z597" s="318"/>
      <c r="AA597" s="314"/>
      <c r="AB597" s="336"/>
      <c r="AC597" s="314"/>
      <c r="AD597" s="316"/>
      <c r="AE597" s="315"/>
      <c r="AF597" s="315"/>
      <c r="AG597" s="315"/>
      <c r="AH597" s="315"/>
      <c r="AI597" s="377"/>
      <c r="AJ597" s="407"/>
      <c r="AK597" s="377"/>
      <c r="AL597" s="314"/>
      <c r="AM597" s="314"/>
      <c r="AN597" s="314"/>
      <c r="AO597" s="315"/>
      <c r="AP597" s="257"/>
      <c r="AQ597" s="257"/>
      <c r="AR597" s="257"/>
      <c r="AS597" s="315"/>
      <c r="AT597" s="257"/>
      <c r="AU597" s="257"/>
      <c r="AV597" s="316"/>
      <c r="AW597" s="314"/>
      <c r="AX597" s="315"/>
      <c r="AY597" s="315"/>
      <c r="AZ597" s="315"/>
      <c r="BA597" s="315"/>
      <c r="BB597" s="315"/>
      <c r="BC597" s="315"/>
      <c r="BD597" s="319"/>
      <c r="BE597" s="319"/>
      <c r="BF597" s="319"/>
      <c r="BG597" s="319"/>
      <c r="BH597" s="319"/>
      <c r="BI597" s="319"/>
      <c r="BJ597" s="319"/>
      <c r="BK597" s="315"/>
      <c r="BL597" s="316"/>
      <c r="BM597" s="314"/>
      <c r="BN597" s="319"/>
      <c r="BO597" s="315"/>
      <c r="BP597" s="314"/>
      <c r="BQ597" s="316"/>
      <c r="BR597" s="314"/>
      <c r="BS597" s="262"/>
      <c r="BT597" s="262"/>
    </row>
    <row r="598" spans="1:72" ht="45.75" customHeight="1">
      <c r="A598" s="342"/>
      <c r="B598" s="342"/>
      <c r="C598" s="342"/>
      <c r="D598" s="343"/>
      <c r="E598" s="342"/>
      <c r="F598" s="342"/>
      <c r="G598" s="344"/>
      <c r="H598" s="344"/>
      <c r="I598" s="344"/>
      <c r="J598" s="334"/>
      <c r="K598" s="335"/>
      <c r="L598" s="336"/>
      <c r="M598" s="336"/>
      <c r="N598" s="337"/>
      <c r="O598" s="337"/>
      <c r="P598" s="315"/>
      <c r="Q598" s="314"/>
      <c r="R598" s="317"/>
      <c r="S598" s="315"/>
      <c r="T598" s="315"/>
      <c r="U598" s="315"/>
      <c r="V598" s="258"/>
      <c r="W598" s="322"/>
      <c r="X598" s="318"/>
      <c r="Y598" s="315"/>
      <c r="Z598" s="318"/>
      <c r="AA598" s="314"/>
      <c r="AB598" s="336"/>
      <c r="AC598" s="314"/>
      <c r="AD598" s="316"/>
      <c r="AE598" s="315"/>
      <c r="AF598" s="315"/>
      <c r="AG598" s="315"/>
      <c r="AH598" s="315"/>
      <c r="AI598" s="377"/>
      <c r="AJ598" s="407"/>
      <c r="AK598" s="377"/>
      <c r="AL598" s="314"/>
      <c r="AM598" s="314"/>
      <c r="AN598" s="314"/>
      <c r="AO598" s="315"/>
      <c r="AP598" s="257"/>
      <c r="AQ598" s="257"/>
      <c r="AR598" s="257"/>
      <c r="AS598" s="315"/>
      <c r="AT598" s="257"/>
      <c r="AU598" s="257"/>
      <c r="AV598" s="316"/>
      <c r="AW598" s="314"/>
      <c r="AX598" s="315"/>
      <c r="AY598" s="315"/>
      <c r="AZ598" s="315"/>
      <c r="BA598" s="315"/>
      <c r="BB598" s="315"/>
      <c r="BC598" s="315"/>
      <c r="BD598" s="319"/>
      <c r="BE598" s="319"/>
      <c r="BF598" s="319"/>
      <c r="BG598" s="319"/>
      <c r="BH598" s="319"/>
      <c r="BI598" s="319"/>
      <c r="BJ598" s="319"/>
      <c r="BK598" s="315"/>
      <c r="BL598" s="316"/>
      <c r="BM598" s="314"/>
      <c r="BN598" s="319"/>
      <c r="BO598" s="315"/>
      <c r="BP598" s="314"/>
      <c r="BQ598" s="316"/>
      <c r="BR598" s="314"/>
      <c r="BS598" s="262"/>
      <c r="BT598" s="262"/>
    </row>
    <row r="599" spans="1:72" ht="45.75" customHeight="1">
      <c r="A599" s="342"/>
      <c r="B599" s="342"/>
      <c r="C599" s="342"/>
      <c r="D599" s="343"/>
      <c r="E599" s="342"/>
      <c r="F599" s="342"/>
      <c r="G599" s="344"/>
      <c r="H599" s="344"/>
      <c r="I599" s="344"/>
      <c r="J599" s="334"/>
      <c r="K599" s="335"/>
      <c r="L599" s="336"/>
      <c r="M599" s="336"/>
      <c r="N599" s="337"/>
      <c r="O599" s="337"/>
      <c r="P599" s="315"/>
      <c r="Q599" s="314"/>
      <c r="R599" s="317"/>
      <c r="S599" s="315"/>
      <c r="T599" s="315"/>
      <c r="U599" s="315"/>
      <c r="V599" s="258"/>
      <c r="W599" s="322"/>
      <c r="X599" s="318"/>
      <c r="Y599" s="315"/>
      <c r="Z599" s="318"/>
      <c r="AA599" s="314"/>
      <c r="AB599" s="336"/>
      <c r="AC599" s="314"/>
      <c r="AD599" s="316"/>
      <c r="AE599" s="315"/>
      <c r="AF599" s="315"/>
      <c r="AG599" s="315"/>
      <c r="AH599" s="315"/>
      <c r="AI599" s="377"/>
      <c r="AJ599" s="407"/>
      <c r="AK599" s="377"/>
      <c r="AL599" s="314"/>
      <c r="AM599" s="314"/>
      <c r="AN599" s="314"/>
      <c r="AO599" s="315"/>
      <c r="AP599" s="257"/>
      <c r="AQ599" s="257"/>
      <c r="AR599" s="257"/>
      <c r="AS599" s="315"/>
      <c r="AT599" s="257"/>
      <c r="AU599" s="257"/>
      <c r="AV599" s="316"/>
      <c r="AW599" s="314"/>
      <c r="AX599" s="315"/>
      <c r="AY599" s="315"/>
      <c r="AZ599" s="315"/>
      <c r="BA599" s="315"/>
      <c r="BB599" s="315"/>
      <c r="BC599" s="315"/>
      <c r="BD599" s="319"/>
      <c r="BE599" s="319"/>
      <c r="BF599" s="319"/>
      <c r="BG599" s="319"/>
      <c r="BH599" s="319"/>
      <c r="BI599" s="319"/>
      <c r="BJ599" s="319"/>
      <c r="BK599" s="315"/>
      <c r="BL599" s="316"/>
      <c r="BM599" s="314"/>
      <c r="BN599" s="319"/>
      <c r="BO599" s="315"/>
      <c r="BP599" s="314"/>
      <c r="BQ599" s="316"/>
      <c r="BR599" s="314"/>
      <c r="BS599" s="262"/>
      <c r="BT599" s="262"/>
    </row>
    <row r="600" spans="1:72" ht="45.75" customHeight="1">
      <c r="A600" s="342"/>
      <c r="B600" s="342"/>
      <c r="C600" s="342"/>
      <c r="D600" s="343"/>
      <c r="E600" s="342"/>
      <c r="F600" s="342"/>
      <c r="G600" s="344"/>
      <c r="H600" s="344"/>
      <c r="I600" s="344"/>
      <c r="J600" s="334"/>
      <c r="K600" s="335"/>
      <c r="L600" s="336"/>
      <c r="M600" s="336"/>
      <c r="N600" s="337"/>
      <c r="O600" s="337"/>
      <c r="P600" s="315"/>
      <c r="Q600" s="314"/>
      <c r="R600" s="317"/>
      <c r="S600" s="315"/>
      <c r="T600" s="315"/>
      <c r="U600" s="315"/>
      <c r="V600" s="258"/>
      <c r="W600" s="322"/>
      <c r="X600" s="318"/>
      <c r="Y600" s="315"/>
      <c r="Z600" s="318"/>
      <c r="AA600" s="314"/>
      <c r="AB600" s="336"/>
      <c r="AC600" s="314"/>
      <c r="AD600" s="316"/>
      <c r="AE600" s="315"/>
      <c r="AF600" s="315"/>
      <c r="AG600" s="315"/>
      <c r="AH600" s="315"/>
      <c r="AI600" s="377"/>
      <c r="AJ600" s="407"/>
      <c r="AK600" s="377"/>
      <c r="AL600" s="314"/>
      <c r="AM600" s="314"/>
      <c r="AN600" s="314"/>
      <c r="AO600" s="315"/>
      <c r="AP600" s="257"/>
      <c r="AQ600" s="257"/>
      <c r="AR600" s="257"/>
      <c r="AS600" s="315"/>
      <c r="AT600" s="257"/>
      <c r="AU600" s="257"/>
      <c r="AV600" s="316"/>
      <c r="AW600" s="314"/>
      <c r="AX600" s="315"/>
      <c r="AY600" s="315"/>
      <c r="AZ600" s="315"/>
      <c r="BA600" s="315"/>
      <c r="BB600" s="315"/>
      <c r="BC600" s="315"/>
      <c r="BD600" s="319"/>
      <c r="BE600" s="319"/>
      <c r="BF600" s="319"/>
      <c r="BG600" s="319"/>
      <c r="BH600" s="319"/>
      <c r="BI600" s="319"/>
      <c r="BJ600" s="319"/>
      <c r="BK600" s="315"/>
      <c r="BL600" s="316"/>
      <c r="BM600" s="314"/>
      <c r="BN600" s="319"/>
      <c r="BO600" s="315"/>
      <c r="BP600" s="314"/>
      <c r="BQ600" s="316"/>
      <c r="BR600" s="314"/>
      <c r="BS600" s="262"/>
      <c r="BT600" s="262"/>
    </row>
    <row r="601" spans="1:72" ht="45.75" customHeight="1">
      <c r="A601" s="342"/>
      <c r="B601" s="342"/>
      <c r="C601" s="342"/>
      <c r="D601" s="343"/>
      <c r="E601" s="342"/>
      <c r="F601" s="342"/>
      <c r="G601" s="344"/>
      <c r="H601" s="344"/>
      <c r="I601" s="344"/>
      <c r="J601" s="334"/>
      <c r="K601" s="335"/>
      <c r="L601" s="336"/>
      <c r="M601" s="336"/>
      <c r="N601" s="337"/>
      <c r="O601" s="337"/>
      <c r="P601" s="315"/>
      <c r="Q601" s="314"/>
      <c r="R601" s="317"/>
      <c r="S601" s="315"/>
      <c r="T601" s="315"/>
      <c r="U601" s="315"/>
      <c r="V601" s="258"/>
      <c r="W601" s="322"/>
      <c r="X601" s="318"/>
      <c r="Y601" s="315"/>
      <c r="Z601" s="318"/>
      <c r="AA601" s="314"/>
      <c r="AB601" s="336"/>
      <c r="AC601" s="314"/>
      <c r="AD601" s="316"/>
      <c r="AE601" s="315"/>
      <c r="AF601" s="315"/>
      <c r="AG601" s="315"/>
      <c r="AH601" s="315"/>
      <c r="AI601" s="377"/>
      <c r="AJ601" s="407"/>
      <c r="AK601" s="377"/>
      <c r="AL601" s="314"/>
      <c r="AM601" s="314"/>
      <c r="AN601" s="314"/>
      <c r="AO601" s="315"/>
      <c r="AP601" s="257"/>
      <c r="AQ601" s="257"/>
      <c r="AR601" s="257"/>
      <c r="AS601" s="315"/>
      <c r="AT601" s="257"/>
      <c r="AU601" s="257"/>
      <c r="AV601" s="316"/>
      <c r="AW601" s="314"/>
      <c r="AX601" s="315"/>
      <c r="AY601" s="315"/>
      <c r="AZ601" s="315"/>
      <c r="BA601" s="315"/>
      <c r="BB601" s="315"/>
      <c r="BC601" s="315"/>
      <c r="BD601" s="319"/>
      <c r="BE601" s="319"/>
      <c r="BF601" s="319"/>
      <c r="BG601" s="319"/>
      <c r="BH601" s="319"/>
      <c r="BI601" s="319"/>
      <c r="BJ601" s="319"/>
      <c r="BK601" s="315"/>
      <c r="BL601" s="316"/>
      <c r="BM601" s="314"/>
      <c r="BN601" s="319"/>
      <c r="BO601" s="315"/>
      <c r="BP601" s="314"/>
      <c r="BQ601" s="316"/>
      <c r="BR601" s="314"/>
      <c r="BS601" s="262"/>
      <c r="BT601" s="262"/>
    </row>
    <row r="602" spans="1:72" ht="45.75" customHeight="1">
      <c r="A602" s="342"/>
      <c r="B602" s="342"/>
      <c r="C602" s="342"/>
      <c r="D602" s="343"/>
      <c r="E602" s="342"/>
      <c r="F602" s="342"/>
      <c r="G602" s="344"/>
      <c r="H602" s="344"/>
      <c r="I602" s="344"/>
      <c r="J602" s="334"/>
      <c r="K602" s="335"/>
      <c r="L602" s="336"/>
      <c r="M602" s="336"/>
      <c r="N602" s="337"/>
      <c r="O602" s="337"/>
      <c r="P602" s="315"/>
      <c r="Q602" s="314"/>
      <c r="R602" s="317"/>
      <c r="S602" s="315"/>
      <c r="T602" s="315"/>
      <c r="U602" s="315"/>
      <c r="V602" s="258"/>
      <c r="W602" s="322"/>
      <c r="X602" s="318"/>
      <c r="Y602" s="315"/>
      <c r="Z602" s="318"/>
      <c r="AA602" s="314"/>
      <c r="AB602" s="336"/>
      <c r="AC602" s="314"/>
      <c r="AD602" s="316"/>
      <c r="AE602" s="315"/>
      <c r="AF602" s="315"/>
      <c r="AG602" s="315"/>
      <c r="AH602" s="315"/>
      <c r="AI602" s="377"/>
      <c r="AJ602" s="407"/>
      <c r="AK602" s="377"/>
      <c r="AL602" s="314"/>
      <c r="AM602" s="314"/>
      <c r="AN602" s="314"/>
      <c r="AO602" s="315"/>
      <c r="AP602" s="257"/>
      <c r="AQ602" s="257"/>
      <c r="AR602" s="257"/>
      <c r="AS602" s="315"/>
      <c r="AT602" s="257"/>
      <c r="AU602" s="257"/>
      <c r="AV602" s="316"/>
      <c r="AW602" s="314"/>
      <c r="AX602" s="315"/>
      <c r="AY602" s="315"/>
      <c r="AZ602" s="315"/>
      <c r="BA602" s="315"/>
      <c r="BB602" s="315"/>
      <c r="BC602" s="315"/>
      <c r="BD602" s="319"/>
      <c r="BE602" s="319"/>
      <c r="BF602" s="319"/>
      <c r="BG602" s="319"/>
      <c r="BH602" s="319"/>
      <c r="BI602" s="319"/>
      <c r="BJ602" s="319"/>
      <c r="BK602" s="315"/>
      <c r="BL602" s="316"/>
      <c r="BM602" s="314"/>
      <c r="BN602" s="319"/>
      <c r="BO602" s="315"/>
      <c r="BP602" s="314"/>
      <c r="BQ602" s="316"/>
      <c r="BR602" s="314"/>
      <c r="BS602" s="262"/>
      <c r="BT602" s="262"/>
    </row>
    <row r="603" spans="1:72" ht="45.75" customHeight="1">
      <c r="A603" s="342"/>
      <c r="B603" s="342"/>
      <c r="C603" s="342"/>
      <c r="D603" s="343"/>
      <c r="E603" s="342"/>
      <c r="F603" s="342"/>
      <c r="G603" s="344"/>
      <c r="H603" s="344"/>
      <c r="I603" s="344"/>
      <c r="J603" s="334"/>
      <c r="K603" s="335"/>
      <c r="L603" s="336"/>
      <c r="M603" s="336"/>
      <c r="N603" s="337"/>
      <c r="O603" s="337"/>
      <c r="P603" s="315"/>
      <c r="Q603" s="314"/>
      <c r="R603" s="317"/>
      <c r="S603" s="315"/>
      <c r="T603" s="315"/>
      <c r="U603" s="315"/>
      <c r="V603" s="258"/>
      <c r="W603" s="322"/>
      <c r="X603" s="318"/>
      <c r="Y603" s="315"/>
      <c r="Z603" s="318"/>
      <c r="AA603" s="314"/>
      <c r="AB603" s="336"/>
      <c r="AC603" s="314"/>
      <c r="AD603" s="316"/>
      <c r="AE603" s="315"/>
      <c r="AF603" s="315"/>
      <c r="AG603" s="315"/>
      <c r="AH603" s="315"/>
      <c r="AI603" s="377"/>
      <c r="AJ603" s="407"/>
      <c r="AK603" s="377"/>
      <c r="AL603" s="314"/>
      <c r="AM603" s="314"/>
      <c r="AN603" s="314"/>
      <c r="AO603" s="315"/>
      <c r="AP603" s="257"/>
      <c r="AQ603" s="257"/>
      <c r="AR603" s="257"/>
      <c r="AS603" s="315"/>
      <c r="AT603" s="257"/>
      <c r="AU603" s="257"/>
      <c r="AV603" s="316"/>
      <c r="AW603" s="314"/>
      <c r="AX603" s="315"/>
      <c r="AY603" s="315"/>
      <c r="AZ603" s="315"/>
      <c r="BA603" s="315"/>
      <c r="BB603" s="315"/>
      <c r="BC603" s="315"/>
      <c r="BD603" s="319"/>
      <c r="BE603" s="319"/>
      <c r="BF603" s="319"/>
      <c r="BG603" s="319"/>
      <c r="BH603" s="319"/>
      <c r="BI603" s="319"/>
      <c r="BJ603" s="319"/>
      <c r="BK603" s="315"/>
      <c r="BL603" s="316"/>
      <c r="BM603" s="314"/>
      <c r="BN603" s="319"/>
      <c r="BO603" s="315"/>
      <c r="BP603" s="314"/>
      <c r="BQ603" s="316"/>
      <c r="BR603" s="314"/>
      <c r="BS603" s="262"/>
      <c r="BT603" s="262"/>
    </row>
    <row r="604" spans="1:72" ht="45.75" customHeight="1">
      <c r="A604" s="342"/>
      <c r="B604" s="342"/>
      <c r="C604" s="342"/>
      <c r="D604" s="343"/>
      <c r="E604" s="342"/>
      <c r="F604" s="342"/>
      <c r="G604" s="344"/>
      <c r="H604" s="344"/>
      <c r="I604" s="344"/>
      <c r="J604" s="334"/>
      <c r="K604" s="335"/>
      <c r="L604" s="336"/>
      <c r="M604" s="336"/>
      <c r="N604" s="337"/>
      <c r="O604" s="337"/>
      <c r="P604" s="315"/>
      <c r="Q604" s="314"/>
      <c r="R604" s="317"/>
      <c r="S604" s="315"/>
      <c r="T604" s="315"/>
      <c r="U604" s="315"/>
      <c r="V604" s="258"/>
      <c r="W604" s="322"/>
      <c r="X604" s="318"/>
      <c r="Y604" s="315"/>
      <c r="Z604" s="318"/>
      <c r="AA604" s="314"/>
      <c r="AB604" s="336"/>
      <c r="AC604" s="314"/>
      <c r="AD604" s="316"/>
      <c r="AE604" s="315"/>
      <c r="AF604" s="315"/>
      <c r="AG604" s="315"/>
      <c r="AH604" s="315"/>
      <c r="AI604" s="377"/>
      <c r="AJ604" s="407"/>
      <c r="AK604" s="377"/>
      <c r="AL604" s="314"/>
      <c r="AM604" s="314"/>
      <c r="AN604" s="314"/>
      <c r="AO604" s="315"/>
      <c r="AP604" s="257"/>
      <c r="AQ604" s="257"/>
      <c r="AR604" s="257"/>
      <c r="AS604" s="315"/>
      <c r="AT604" s="257"/>
      <c r="AU604" s="257"/>
      <c r="AV604" s="316"/>
      <c r="AW604" s="314"/>
      <c r="AX604" s="315"/>
      <c r="AY604" s="315"/>
      <c r="AZ604" s="315"/>
      <c r="BA604" s="315"/>
      <c r="BB604" s="315"/>
      <c r="BC604" s="315"/>
      <c r="BD604" s="319"/>
      <c r="BE604" s="319"/>
      <c r="BF604" s="319"/>
      <c r="BG604" s="319"/>
      <c r="BH604" s="319"/>
      <c r="BI604" s="319"/>
      <c r="BJ604" s="319"/>
      <c r="BK604" s="315"/>
      <c r="BL604" s="316"/>
      <c r="BM604" s="314"/>
      <c r="BN604" s="319"/>
      <c r="BO604" s="315"/>
      <c r="BP604" s="314"/>
      <c r="BQ604" s="316"/>
      <c r="BR604" s="314"/>
      <c r="BS604" s="262"/>
      <c r="BT604" s="262"/>
    </row>
    <row r="605" spans="1:72" ht="45.75" customHeight="1">
      <c r="A605" s="342"/>
      <c r="B605" s="342"/>
      <c r="C605" s="342"/>
      <c r="D605" s="343"/>
      <c r="E605" s="342"/>
      <c r="F605" s="342"/>
      <c r="G605" s="344"/>
      <c r="H605" s="344"/>
      <c r="I605" s="344"/>
      <c r="J605" s="334"/>
      <c r="K605" s="335"/>
      <c r="L605" s="336"/>
      <c r="M605" s="336"/>
      <c r="N605" s="337"/>
      <c r="O605" s="337"/>
      <c r="P605" s="315"/>
      <c r="Q605" s="314"/>
      <c r="R605" s="317"/>
      <c r="S605" s="315"/>
      <c r="T605" s="315"/>
      <c r="U605" s="315"/>
      <c r="V605" s="258"/>
      <c r="W605" s="322"/>
      <c r="X605" s="318"/>
      <c r="Y605" s="315"/>
      <c r="Z605" s="318"/>
      <c r="AA605" s="314"/>
      <c r="AB605" s="336"/>
      <c r="AC605" s="314"/>
      <c r="AD605" s="316"/>
      <c r="AE605" s="315"/>
      <c r="AF605" s="315"/>
      <c r="AG605" s="315"/>
      <c r="AH605" s="315"/>
      <c r="AI605" s="377"/>
      <c r="AJ605" s="407"/>
      <c r="AK605" s="377"/>
      <c r="AL605" s="314"/>
      <c r="AM605" s="314"/>
      <c r="AN605" s="314"/>
      <c r="AO605" s="315"/>
      <c r="AP605" s="257"/>
      <c r="AQ605" s="257"/>
      <c r="AR605" s="257"/>
      <c r="AS605" s="315"/>
      <c r="AT605" s="257"/>
      <c r="AU605" s="257"/>
      <c r="AV605" s="316"/>
      <c r="AW605" s="314"/>
      <c r="AX605" s="315"/>
      <c r="AY605" s="315"/>
      <c r="AZ605" s="315"/>
      <c r="BA605" s="315"/>
      <c r="BB605" s="315"/>
      <c r="BC605" s="315"/>
      <c r="BD605" s="319"/>
      <c r="BE605" s="319"/>
      <c r="BF605" s="319"/>
      <c r="BG605" s="319"/>
      <c r="BH605" s="319"/>
      <c r="BI605" s="319"/>
      <c r="BJ605" s="319"/>
      <c r="BK605" s="315"/>
      <c r="BL605" s="316"/>
      <c r="BM605" s="314"/>
      <c r="BN605" s="319"/>
      <c r="BO605" s="315"/>
      <c r="BP605" s="314"/>
      <c r="BQ605" s="316"/>
      <c r="BR605" s="314"/>
      <c r="BS605" s="262"/>
      <c r="BT605" s="262"/>
    </row>
    <row r="606" spans="1:72" ht="45.75" customHeight="1">
      <c r="A606" s="342"/>
      <c r="B606" s="342"/>
      <c r="C606" s="342"/>
      <c r="D606" s="343"/>
      <c r="E606" s="342"/>
      <c r="F606" s="342"/>
      <c r="G606" s="344"/>
      <c r="H606" s="344"/>
      <c r="I606" s="344"/>
      <c r="J606" s="334"/>
      <c r="K606" s="335"/>
      <c r="L606" s="336"/>
      <c r="M606" s="336"/>
      <c r="N606" s="337"/>
      <c r="O606" s="337"/>
      <c r="P606" s="315"/>
      <c r="Q606" s="314"/>
      <c r="R606" s="317"/>
      <c r="S606" s="315"/>
      <c r="T606" s="315"/>
      <c r="U606" s="315"/>
      <c r="V606" s="258"/>
      <c r="W606" s="322"/>
      <c r="X606" s="318"/>
      <c r="Y606" s="315"/>
      <c r="Z606" s="318"/>
      <c r="AA606" s="314"/>
      <c r="AB606" s="336"/>
      <c r="AC606" s="314"/>
      <c r="AD606" s="316"/>
      <c r="AE606" s="315"/>
      <c r="AF606" s="315"/>
      <c r="AG606" s="315"/>
      <c r="AH606" s="315"/>
      <c r="AI606" s="377"/>
      <c r="AJ606" s="407"/>
      <c r="AK606" s="377"/>
      <c r="AL606" s="314"/>
      <c r="AM606" s="314"/>
      <c r="AN606" s="314"/>
      <c r="AO606" s="315"/>
      <c r="AP606" s="257"/>
      <c r="AQ606" s="257"/>
      <c r="AR606" s="257"/>
      <c r="AS606" s="315"/>
      <c r="AT606" s="257"/>
      <c r="AU606" s="257"/>
      <c r="AV606" s="316"/>
      <c r="AW606" s="314"/>
      <c r="AX606" s="315"/>
      <c r="AY606" s="315"/>
      <c r="AZ606" s="315"/>
      <c r="BA606" s="315"/>
      <c r="BB606" s="315"/>
      <c r="BC606" s="315"/>
      <c r="BD606" s="319"/>
      <c r="BE606" s="319"/>
      <c r="BF606" s="319"/>
      <c r="BG606" s="319"/>
      <c r="BH606" s="319"/>
      <c r="BI606" s="319"/>
      <c r="BJ606" s="319"/>
      <c r="BK606" s="315"/>
      <c r="BL606" s="316"/>
      <c r="BM606" s="314"/>
      <c r="BN606" s="319"/>
      <c r="BO606" s="315"/>
      <c r="BP606" s="314"/>
      <c r="BQ606" s="316"/>
      <c r="BR606" s="314"/>
      <c r="BS606" s="262"/>
      <c r="BT606" s="262"/>
    </row>
    <row r="607" spans="1:72" ht="45.75" customHeight="1">
      <c r="A607" s="342"/>
      <c r="B607" s="342"/>
      <c r="C607" s="342"/>
      <c r="D607" s="343"/>
      <c r="E607" s="342"/>
      <c r="F607" s="342"/>
      <c r="G607" s="344"/>
      <c r="H607" s="344"/>
      <c r="I607" s="344"/>
      <c r="J607" s="334"/>
      <c r="K607" s="335"/>
      <c r="L607" s="336"/>
      <c r="M607" s="336"/>
      <c r="N607" s="337"/>
      <c r="O607" s="337"/>
      <c r="P607" s="315"/>
      <c r="Q607" s="314"/>
      <c r="R607" s="317"/>
      <c r="S607" s="315"/>
      <c r="T607" s="315"/>
      <c r="U607" s="315"/>
      <c r="V607" s="258"/>
      <c r="W607" s="322"/>
      <c r="X607" s="318"/>
      <c r="Y607" s="315"/>
      <c r="Z607" s="318"/>
      <c r="AA607" s="314"/>
      <c r="AB607" s="336"/>
      <c r="AC607" s="314"/>
      <c r="AD607" s="316"/>
      <c r="AE607" s="315"/>
      <c r="AF607" s="315"/>
      <c r="AG607" s="315"/>
      <c r="AH607" s="315"/>
      <c r="AI607" s="377"/>
      <c r="AJ607" s="407"/>
      <c r="AK607" s="377"/>
      <c r="AL607" s="314"/>
      <c r="AM607" s="314"/>
      <c r="AN607" s="314"/>
      <c r="AO607" s="315"/>
      <c r="AP607" s="257"/>
      <c r="AQ607" s="257"/>
      <c r="AR607" s="257"/>
      <c r="AS607" s="315"/>
      <c r="AT607" s="257"/>
      <c r="AU607" s="257"/>
      <c r="AV607" s="316"/>
      <c r="AW607" s="314"/>
      <c r="AX607" s="315"/>
      <c r="AY607" s="315"/>
      <c r="AZ607" s="315"/>
      <c r="BA607" s="315"/>
      <c r="BB607" s="315"/>
      <c r="BC607" s="315"/>
      <c r="BD607" s="319"/>
      <c r="BE607" s="319"/>
      <c r="BF607" s="319"/>
      <c r="BG607" s="319"/>
      <c r="BH607" s="319"/>
      <c r="BI607" s="319"/>
      <c r="BJ607" s="319"/>
      <c r="BK607" s="315"/>
      <c r="BL607" s="316"/>
      <c r="BM607" s="314"/>
      <c r="BN607" s="319"/>
      <c r="BO607" s="315"/>
      <c r="BP607" s="314"/>
      <c r="BQ607" s="316"/>
      <c r="BR607" s="314"/>
      <c r="BS607" s="262"/>
      <c r="BT607" s="262"/>
    </row>
    <row r="608" spans="1:72" ht="45.75" customHeight="1">
      <c r="A608" s="342"/>
      <c r="B608" s="342"/>
      <c r="C608" s="342"/>
      <c r="D608" s="343"/>
      <c r="E608" s="342"/>
      <c r="F608" s="342"/>
      <c r="G608" s="344"/>
      <c r="H608" s="344"/>
      <c r="I608" s="344"/>
      <c r="J608" s="334"/>
      <c r="K608" s="335"/>
      <c r="L608" s="336"/>
      <c r="M608" s="336"/>
      <c r="N608" s="337"/>
      <c r="O608" s="337"/>
      <c r="P608" s="315"/>
      <c r="Q608" s="314"/>
      <c r="R608" s="317"/>
      <c r="S608" s="315"/>
      <c r="T608" s="315"/>
      <c r="U608" s="315"/>
      <c r="V608" s="258"/>
      <c r="W608" s="322"/>
      <c r="X608" s="318"/>
      <c r="Y608" s="315"/>
      <c r="Z608" s="318"/>
      <c r="AA608" s="314"/>
      <c r="AB608" s="336"/>
      <c r="AC608" s="314"/>
      <c r="AD608" s="316"/>
      <c r="AE608" s="315"/>
      <c r="AF608" s="315"/>
      <c r="AG608" s="315"/>
      <c r="AH608" s="315"/>
      <c r="AI608" s="377"/>
      <c r="AJ608" s="407"/>
      <c r="AK608" s="377"/>
      <c r="AL608" s="314"/>
      <c r="AM608" s="314"/>
      <c r="AN608" s="314"/>
      <c r="AO608" s="315"/>
      <c r="AP608" s="257"/>
      <c r="AQ608" s="257"/>
      <c r="AR608" s="257"/>
      <c r="AS608" s="315"/>
      <c r="AT608" s="257"/>
      <c r="AU608" s="257"/>
      <c r="AV608" s="316"/>
      <c r="AW608" s="314"/>
      <c r="AX608" s="315"/>
      <c r="AY608" s="315"/>
      <c r="AZ608" s="315"/>
      <c r="BA608" s="315"/>
      <c r="BB608" s="315"/>
      <c r="BC608" s="315"/>
      <c r="BD608" s="319"/>
      <c r="BE608" s="319"/>
      <c r="BF608" s="319"/>
      <c r="BG608" s="319"/>
      <c r="BH608" s="319"/>
      <c r="BI608" s="319"/>
      <c r="BJ608" s="319"/>
      <c r="BK608" s="315"/>
      <c r="BL608" s="316"/>
      <c r="BM608" s="314"/>
      <c r="BN608" s="319"/>
      <c r="BO608" s="315"/>
      <c r="BP608" s="314"/>
      <c r="BQ608" s="316"/>
      <c r="BR608" s="314"/>
      <c r="BS608" s="262"/>
      <c r="BT608" s="262"/>
    </row>
    <row r="609" spans="1:72" ht="45.75" customHeight="1">
      <c r="A609" s="342"/>
      <c r="B609" s="342"/>
      <c r="C609" s="342"/>
      <c r="D609" s="343"/>
      <c r="E609" s="342"/>
      <c r="F609" s="342"/>
      <c r="G609" s="344"/>
      <c r="H609" s="344"/>
      <c r="I609" s="344"/>
      <c r="J609" s="334"/>
      <c r="K609" s="335"/>
      <c r="L609" s="336"/>
      <c r="M609" s="336"/>
      <c r="N609" s="337"/>
      <c r="O609" s="337"/>
      <c r="P609" s="315"/>
      <c r="Q609" s="314"/>
      <c r="R609" s="317"/>
      <c r="S609" s="315"/>
      <c r="T609" s="315"/>
      <c r="U609" s="315"/>
      <c r="V609" s="258"/>
      <c r="W609" s="322"/>
      <c r="X609" s="318"/>
      <c r="Y609" s="315"/>
      <c r="Z609" s="318"/>
      <c r="AA609" s="314"/>
      <c r="AB609" s="336"/>
      <c r="AC609" s="314"/>
      <c r="AD609" s="316"/>
      <c r="AE609" s="315"/>
      <c r="AF609" s="315"/>
      <c r="AG609" s="315"/>
      <c r="AH609" s="315"/>
      <c r="AI609" s="377"/>
      <c r="AJ609" s="407"/>
      <c r="AK609" s="377"/>
      <c r="AL609" s="314"/>
      <c r="AM609" s="314"/>
      <c r="AN609" s="314"/>
      <c r="AO609" s="315"/>
      <c r="AP609" s="257"/>
      <c r="AQ609" s="257"/>
      <c r="AR609" s="257"/>
      <c r="AS609" s="315"/>
      <c r="AT609" s="257"/>
      <c r="AU609" s="257"/>
      <c r="AV609" s="316"/>
      <c r="AW609" s="314"/>
      <c r="AX609" s="315"/>
      <c r="AY609" s="315"/>
      <c r="AZ609" s="315"/>
      <c r="BA609" s="315"/>
      <c r="BB609" s="315"/>
      <c r="BC609" s="315"/>
      <c r="BD609" s="319"/>
      <c r="BE609" s="319"/>
      <c r="BF609" s="319"/>
      <c r="BG609" s="319"/>
      <c r="BH609" s="319"/>
      <c r="BI609" s="319"/>
      <c r="BJ609" s="319"/>
      <c r="BK609" s="315"/>
      <c r="BL609" s="316"/>
      <c r="BM609" s="314"/>
      <c r="BN609" s="319"/>
      <c r="BO609" s="315"/>
      <c r="BP609" s="314"/>
      <c r="BQ609" s="316"/>
      <c r="BR609" s="314"/>
      <c r="BS609" s="262"/>
      <c r="BT609" s="262"/>
    </row>
    <row r="610" spans="1:72" ht="45.75" customHeight="1">
      <c r="A610" s="342"/>
      <c r="B610" s="342"/>
      <c r="C610" s="342"/>
      <c r="D610" s="343"/>
      <c r="E610" s="342"/>
      <c r="F610" s="342"/>
      <c r="G610" s="344"/>
      <c r="H610" s="344"/>
      <c r="I610" s="344"/>
      <c r="J610" s="334"/>
      <c r="K610" s="335"/>
      <c r="L610" s="336"/>
      <c r="M610" s="336"/>
      <c r="N610" s="337"/>
      <c r="O610" s="337"/>
      <c r="P610" s="315"/>
      <c r="Q610" s="314"/>
      <c r="R610" s="317"/>
      <c r="S610" s="315"/>
      <c r="T610" s="315"/>
      <c r="U610" s="315"/>
      <c r="V610" s="258"/>
      <c r="W610" s="322"/>
      <c r="X610" s="318"/>
      <c r="Y610" s="315"/>
      <c r="Z610" s="318"/>
      <c r="AA610" s="314"/>
      <c r="AB610" s="336"/>
      <c r="AC610" s="314"/>
      <c r="AD610" s="316"/>
      <c r="AE610" s="315"/>
      <c r="AF610" s="315"/>
      <c r="AG610" s="315"/>
      <c r="AH610" s="315"/>
      <c r="AI610" s="377"/>
      <c r="AJ610" s="407"/>
      <c r="AK610" s="377"/>
      <c r="AL610" s="314"/>
      <c r="AM610" s="314"/>
      <c r="AN610" s="314"/>
      <c r="AO610" s="315"/>
      <c r="AP610" s="257"/>
      <c r="AQ610" s="257"/>
      <c r="AR610" s="257"/>
      <c r="AS610" s="315"/>
      <c r="AT610" s="257"/>
      <c r="AU610" s="257"/>
      <c r="AV610" s="316"/>
      <c r="AW610" s="314"/>
      <c r="AX610" s="315"/>
      <c r="AY610" s="315"/>
      <c r="AZ610" s="315"/>
      <c r="BA610" s="315"/>
      <c r="BB610" s="315"/>
      <c r="BC610" s="315"/>
      <c r="BD610" s="319"/>
      <c r="BE610" s="319"/>
      <c r="BF610" s="319"/>
      <c r="BG610" s="319"/>
      <c r="BH610" s="319"/>
      <c r="BI610" s="319"/>
      <c r="BJ610" s="319"/>
      <c r="BK610" s="315"/>
      <c r="BL610" s="316"/>
      <c r="BM610" s="314"/>
      <c r="BN610" s="319"/>
      <c r="BO610" s="315"/>
      <c r="BP610" s="314"/>
      <c r="BQ610" s="316"/>
      <c r="BR610" s="314"/>
      <c r="BS610" s="262"/>
      <c r="BT610" s="262"/>
    </row>
    <row r="611" spans="1:72" ht="45.75" customHeight="1">
      <c r="A611" s="342"/>
      <c r="B611" s="342"/>
      <c r="C611" s="342"/>
      <c r="D611" s="343"/>
      <c r="E611" s="342"/>
      <c r="F611" s="342"/>
      <c r="G611" s="344"/>
      <c r="H611" s="344"/>
      <c r="I611" s="344"/>
      <c r="J611" s="334"/>
      <c r="K611" s="335"/>
      <c r="L611" s="336"/>
      <c r="M611" s="336"/>
      <c r="N611" s="337"/>
      <c r="O611" s="337"/>
      <c r="P611" s="315"/>
      <c r="Q611" s="314"/>
      <c r="R611" s="317"/>
      <c r="S611" s="315"/>
      <c r="T611" s="315"/>
      <c r="U611" s="315"/>
      <c r="V611" s="258"/>
      <c r="W611" s="322"/>
      <c r="X611" s="318"/>
      <c r="Y611" s="315"/>
      <c r="Z611" s="318"/>
      <c r="AA611" s="314"/>
      <c r="AB611" s="336"/>
      <c r="AC611" s="314"/>
      <c r="AD611" s="316"/>
      <c r="AE611" s="315"/>
      <c r="AF611" s="315"/>
      <c r="AG611" s="315"/>
      <c r="AH611" s="315"/>
      <c r="AI611" s="377"/>
      <c r="AJ611" s="407"/>
      <c r="AK611" s="377"/>
      <c r="AL611" s="314"/>
      <c r="AM611" s="314"/>
      <c r="AN611" s="314"/>
      <c r="AO611" s="315"/>
      <c r="AP611" s="257"/>
      <c r="AQ611" s="257"/>
      <c r="AR611" s="257"/>
      <c r="AS611" s="315"/>
      <c r="AT611" s="257"/>
      <c r="AU611" s="257"/>
      <c r="AV611" s="316"/>
      <c r="AW611" s="314"/>
      <c r="AX611" s="315"/>
      <c r="AY611" s="315"/>
      <c r="AZ611" s="315"/>
      <c r="BA611" s="315"/>
      <c r="BB611" s="315"/>
      <c r="BC611" s="315"/>
      <c r="BD611" s="319"/>
      <c r="BE611" s="319"/>
      <c r="BF611" s="319"/>
      <c r="BG611" s="319"/>
      <c r="BH611" s="319"/>
      <c r="BI611" s="319"/>
      <c r="BJ611" s="319"/>
      <c r="BK611" s="315"/>
      <c r="BL611" s="316"/>
      <c r="BM611" s="314"/>
      <c r="BN611" s="319"/>
      <c r="BO611" s="315"/>
      <c r="BP611" s="314"/>
      <c r="BQ611" s="316"/>
      <c r="BR611" s="314"/>
      <c r="BS611" s="262"/>
      <c r="BT611" s="262"/>
    </row>
    <row r="612" spans="1:72" ht="45.75" customHeight="1">
      <c r="A612" s="342"/>
      <c r="B612" s="342"/>
      <c r="C612" s="342"/>
      <c r="D612" s="343"/>
      <c r="E612" s="342"/>
      <c r="F612" s="342"/>
      <c r="G612" s="344"/>
      <c r="H612" s="344"/>
      <c r="I612" s="344"/>
      <c r="J612" s="334"/>
      <c r="K612" s="335"/>
      <c r="L612" s="336"/>
      <c r="M612" s="336"/>
      <c r="N612" s="337"/>
      <c r="O612" s="337"/>
      <c r="P612" s="315"/>
      <c r="Q612" s="314"/>
      <c r="R612" s="317"/>
      <c r="S612" s="315"/>
      <c r="T612" s="315"/>
      <c r="U612" s="315"/>
      <c r="V612" s="258"/>
      <c r="W612" s="322"/>
      <c r="X612" s="318"/>
      <c r="Y612" s="315"/>
      <c r="Z612" s="318"/>
      <c r="AA612" s="314"/>
      <c r="AB612" s="336"/>
      <c r="AC612" s="314"/>
      <c r="AD612" s="316"/>
      <c r="AE612" s="315"/>
      <c r="AF612" s="315"/>
      <c r="AG612" s="315"/>
      <c r="AH612" s="315"/>
      <c r="AI612" s="377"/>
      <c r="AJ612" s="407"/>
      <c r="AK612" s="377"/>
      <c r="AL612" s="314"/>
      <c r="AM612" s="314"/>
      <c r="AN612" s="314"/>
      <c r="AO612" s="315"/>
      <c r="AP612" s="257"/>
      <c r="AQ612" s="257"/>
      <c r="AR612" s="257"/>
      <c r="AS612" s="315"/>
      <c r="AT612" s="257"/>
      <c r="AU612" s="257"/>
      <c r="AV612" s="316"/>
      <c r="AW612" s="314"/>
      <c r="AX612" s="315"/>
      <c r="AY612" s="315"/>
      <c r="AZ612" s="315"/>
      <c r="BA612" s="315"/>
      <c r="BB612" s="315"/>
      <c r="BC612" s="315"/>
      <c r="BD612" s="319"/>
      <c r="BE612" s="319"/>
      <c r="BF612" s="319"/>
      <c r="BG612" s="319"/>
      <c r="BH612" s="319"/>
      <c r="BI612" s="319"/>
      <c r="BJ612" s="319"/>
      <c r="BK612" s="315"/>
      <c r="BL612" s="316"/>
      <c r="BM612" s="314"/>
      <c r="BN612" s="319"/>
      <c r="BO612" s="315"/>
      <c r="BP612" s="314"/>
      <c r="BQ612" s="316"/>
      <c r="BR612" s="314"/>
      <c r="BS612" s="262"/>
      <c r="BT612" s="262"/>
    </row>
    <row r="613" spans="1:72" ht="45.75" customHeight="1">
      <c r="A613" s="342"/>
      <c r="B613" s="342"/>
      <c r="C613" s="342"/>
      <c r="D613" s="343"/>
      <c r="E613" s="342"/>
      <c r="F613" s="342"/>
      <c r="G613" s="344"/>
      <c r="H613" s="344"/>
      <c r="I613" s="344"/>
      <c r="J613" s="334"/>
      <c r="K613" s="335"/>
      <c r="L613" s="336"/>
      <c r="M613" s="336"/>
      <c r="N613" s="337"/>
      <c r="O613" s="337"/>
      <c r="P613" s="315"/>
      <c r="Q613" s="314"/>
      <c r="R613" s="317"/>
      <c r="S613" s="315"/>
      <c r="T613" s="315"/>
      <c r="U613" s="315"/>
      <c r="V613" s="258"/>
      <c r="W613" s="322"/>
      <c r="X613" s="318"/>
      <c r="Y613" s="315"/>
      <c r="Z613" s="318"/>
      <c r="AA613" s="314"/>
      <c r="AB613" s="336"/>
      <c r="AC613" s="314"/>
      <c r="AD613" s="316"/>
      <c r="AE613" s="315"/>
      <c r="AF613" s="315"/>
      <c r="AG613" s="315"/>
      <c r="AH613" s="315"/>
      <c r="AI613" s="377"/>
      <c r="AJ613" s="407"/>
      <c r="AK613" s="377"/>
      <c r="AL613" s="314"/>
      <c r="AM613" s="314"/>
      <c r="AN613" s="314"/>
      <c r="AO613" s="315"/>
      <c r="AP613" s="257"/>
      <c r="AQ613" s="257"/>
      <c r="AR613" s="257"/>
      <c r="AS613" s="315"/>
      <c r="AT613" s="257"/>
      <c r="AU613" s="257"/>
      <c r="AV613" s="316"/>
      <c r="AW613" s="314"/>
      <c r="AX613" s="315"/>
      <c r="AY613" s="315"/>
      <c r="AZ613" s="315"/>
      <c r="BA613" s="315"/>
      <c r="BB613" s="315"/>
      <c r="BC613" s="315"/>
      <c r="BD613" s="319"/>
      <c r="BE613" s="319"/>
      <c r="BF613" s="319"/>
      <c r="BG613" s="319"/>
      <c r="BH613" s="319"/>
      <c r="BI613" s="319"/>
      <c r="BJ613" s="319"/>
      <c r="BK613" s="315"/>
      <c r="BL613" s="316"/>
      <c r="BM613" s="314"/>
      <c r="BN613" s="319"/>
      <c r="BO613" s="315"/>
      <c r="BP613" s="314"/>
      <c r="BQ613" s="316"/>
      <c r="BR613" s="314"/>
      <c r="BS613" s="262"/>
      <c r="BT613" s="262"/>
    </row>
    <row r="614" spans="1:72" ht="45.75" customHeight="1">
      <c r="A614" s="342"/>
      <c r="B614" s="342"/>
      <c r="C614" s="342"/>
      <c r="D614" s="343"/>
      <c r="E614" s="342"/>
      <c r="F614" s="342"/>
      <c r="G614" s="344"/>
      <c r="H614" s="344"/>
      <c r="I614" s="344"/>
      <c r="J614" s="334"/>
      <c r="K614" s="335"/>
      <c r="L614" s="336"/>
      <c r="M614" s="336"/>
      <c r="N614" s="337"/>
      <c r="O614" s="337"/>
      <c r="P614" s="315"/>
      <c r="Q614" s="314"/>
      <c r="R614" s="317"/>
      <c r="S614" s="315"/>
      <c r="T614" s="315"/>
      <c r="U614" s="315"/>
      <c r="V614" s="258"/>
      <c r="W614" s="322"/>
      <c r="X614" s="318"/>
      <c r="Y614" s="315"/>
      <c r="Z614" s="318"/>
      <c r="AA614" s="314"/>
      <c r="AB614" s="336"/>
      <c r="AC614" s="314"/>
      <c r="AD614" s="316"/>
      <c r="AE614" s="315"/>
      <c r="AF614" s="315"/>
      <c r="AG614" s="315"/>
      <c r="AH614" s="315"/>
      <c r="AI614" s="377"/>
      <c r="AJ614" s="407"/>
      <c r="AK614" s="377"/>
      <c r="AL614" s="314"/>
      <c r="AM614" s="314"/>
      <c r="AN614" s="314"/>
      <c r="AO614" s="315"/>
      <c r="AP614" s="257"/>
      <c r="AQ614" s="257"/>
      <c r="AR614" s="257"/>
      <c r="AS614" s="315"/>
      <c r="AT614" s="257"/>
      <c r="AU614" s="257"/>
      <c r="AV614" s="316"/>
      <c r="AW614" s="314"/>
      <c r="AX614" s="315"/>
      <c r="AY614" s="315"/>
      <c r="AZ614" s="315"/>
      <c r="BA614" s="315"/>
      <c r="BB614" s="315"/>
      <c r="BC614" s="315"/>
      <c r="BD614" s="319"/>
      <c r="BE614" s="319"/>
      <c r="BF614" s="319"/>
      <c r="BG614" s="319"/>
      <c r="BH614" s="319"/>
      <c r="BI614" s="319"/>
      <c r="BJ614" s="319"/>
      <c r="BK614" s="315"/>
      <c r="BL614" s="316"/>
      <c r="BM614" s="314"/>
      <c r="BN614" s="319"/>
      <c r="BO614" s="315"/>
      <c r="BP614" s="314"/>
      <c r="BQ614" s="316"/>
      <c r="BR614" s="314"/>
      <c r="BS614" s="262"/>
      <c r="BT614" s="262"/>
    </row>
    <row r="615" spans="1:72" ht="45.75" customHeight="1">
      <c r="A615" s="342"/>
      <c r="B615" s="342"/>
      <c r="C615" s="342"/>
      <c r="D615" s="343"/>
      <c r="E615" s="342"/>
      <c r="F615" s="342"/>
      <c r="G615" s="344"/>
      <c r="H615" s="344"/>
      <c r="I615" s="344"/>
      <c r="J615" s="334"/>
      <c r="K615" s="335"/>
      <c r="L615" s="336"/>
      <c r="M615" s="336"/>
      <c r="N615" s="337"/>
      <c r="O615" s="337"/>
      <c r="P615" s="315"/>
      <c r="Q615" s="314"/>
      <c r="R615" s="317"/>
      <c r="S615" s="315"/>
      <c r="T615" s="315"/>
      <c r="U615" s="315"/>
      <c r="V615" s="258"/>
      <c r="W615" s="322"/>
      <c r="X615" s="318"/>
      <c r="Y615" s="315"/>
      <c r="Z615" s="318"/>
      <c r="AA615" s="314"/>
      <c r="AB615" s="336"/>
      <c r="AC615" s="314"/>
      <c r="AD615" s="316"/>
      <c r="AE615" s="315"/>
      <c r="AF615" s="315"/>
      <c r="AG615" s="315"/>
      <c r="AH615" s="315"/>
      <c r="AI615" s="377"/>
      <c r="AJ615" s="407"/>
      <c r="AK615" s="377"/>
      <c r="AL615" s="314"/>
      <c r="AM615" s="314"/>
      <c r="AN615" s="314"/>
      <c r="AO615" s="315"/>
      <c r="AP615" s="257"/>
      <c r="AQ615" s="257"/>
      <c r="AR615" s="257"/>
      <c r="AS615" s="315"/>
      <c r="AT615" s="257"/>
      <c r="AU615" s="257"/>
      <c r="AV615" s="316"/>
      <c r="AW615" s="314"/>
      <c r="AX615" s="315"/>
      <c r="AY615" s="315"/>
      <c r="AZ615" s="315"/>
      <c r="BA615" s="315"/>
      <c r="BB615" s="315"/>
      <c r="BC615" s="315"/>
      <c r="BD615" s="319"/>
      <c r="BE615" s="319"/>
      <c r="BF615" s="319"/>
      <c r="BG615" s="319"/>
      <c r="BH615" s="319"/>
      <c r="BI615" s="319"/>
      <c r="BJ615" s="319"/>
      <c r="BK615" s="315"/>
      <c r="BL615" s="316"/>
      <c r="BM615" s="314"/>
      <c r="BN615" s="319"/>
      <c r="BO615" s="315"/>
      <c r="BP615" s="314"/>
      <c r="BQ615" s="316"/>
      <c r="BR615" s="314"/>
      <c r="BS615" s="262"/>
      <c r="BT615" s="262"/>
    </row>
    <row r="616" spans="1:72" ht="45.75" customHeight="1">
      <c r="A616" s="342"/>
      <c r="B616" s="342"/>
      <c r="C616" s="342"/>
      <c r="D616" s="343"/>
      <c r="E616" s="342"/>
      <c r="F616" s="342"/>
      <c r="G616" s="344"/>
      <c r="H616" s="344"/>
      <c r="I616" s="344"/>
      <c r="J616" s="334"/>
      <c r="K616" s="335"/>
      <c r="L616" s="336"/>
      <c r="M616" s="336"/>
      <c r="N616" s="337"/>
      <c r="O616" s="337"/>
      <c r="P616" s="315"/>
      <c r="Q616" s="314"/>
      <c r="R616" s="317"/>
      <c r="S616" s="315"/>
      <c r="T616" s="315"/>
      <c r="U616" s="315"/>
      <c r="V616" s="258"/>
      <c r="W616" s="322"/>
      <c r="X616" s="318"/>
      <c r="Y616" s="315"/>
      <c r="Z616" s="318"/>
      <c r="AA616" s="314"/>
      <c r="AB616" s="336"/>
      <c r="AC616" s="314"/>
      <c r="AD616" s="316"/>
      <c r="AE616" s="315"/>
      <c r="AF616" s="315"/>
      <c r="AG616" s="315"/>
      <c r="AH616" s="315"/>
      <c r="AI616" s="377"/>
      <c r="AJ616" s="407"/>
      <c r="AK616" s="377"/>
      <c r="AL616" s="314"/>
      <c r="AM616" s="314"/>
      <c r="AN616" s="314"/>
      <c r="AO616" s="315"/>
      <c r="AP616" s="257"/>
      <c r="AQ616" s="257"/>
      <c r="AR616" s="257"/>
      <c r="AS616" s="315"/>
      <c r="AT616" s="257"/>
      <c r="AU616" s="257"/>
      <c r="AV616" s="316"/>
      <c r="AW616" s="314"/>
      <c r="AX616" s="315"/>
      <c r="AY616" s="315"/>
      <c r="AZ616" s="315"/>
      <c r="BA616" s="315"/>
      <c r="BB616" s="315"/>
      <c r="BC616" s="315"/>
      <c r="BD616" s="319"/>
      <c r="BE616" s="319"/>
      <c r="BF616" s="319"/>
      <c r="BG616" s="319"/>
      <c r="BH616" s="319"/>
      <c r="BI616" s="319"/>
      <c r="BJ616" s="319"/>
      <c r="BK616" s="315"/>
      <c r="BL616" s="316"/>
      <c r="BM616" s="314"/>
      <c r="BN616" s="319"/>
      <c r="BO616" s="315"/>
      <c r="BP616" s="314"/>
      <c r="BQ616" s="316"/>
      <c r="BR616" s="314"/>
      <c r="BS616" s="262"/>
      <c r="BT616" s="262"/>
    </row>
    <row r="617" spans="1:72" ht="45.75" customHeight="1">
      <c r="A617" s="342"/>
      <c r="B617" s="342"/>
      <c r="C617" s="342"/>
      <c r="D617" s="343"/>
      <c r="E617" s="342"/>
      <c r="F617" s="342"/>
      <c r="G617" s="344"/>
      <c r="H617" s="344"/>
      <c r="I617" s="344"/>
      <c r="J617" s="334"/>
      <c r="K617" s="335"/>
      <c r="L617" s="336"/>
      <c r="M617" s="336"/>
      <c r="N617" s="337"/>
      <c r="O617" s="337"/>
      <c r="P617" s="315"/>
      <c r="Q617" s="314"/>
      <c r="R617" s="317"/>
      <c r="S617" s="315"/>
      <c r="T617" s="315"/>
      <c r="U617" s="315"/>
      <c r="V617" s="258"/>
      <c r="W617" s="322"/>
      <c r="X617" s="318"/>
      <c r="Y617" s="315"/>
      <c r="Z617" s="318"/>
      <c r="AA617" s="314"/>
      <c r="AB617" s="336"/>
      <c r="AC617" s="314"/>
      <c r="AD617" s="316"/>
      <c r="AE617" s="315"/>
      <c r="AF617" s="315"/>
      <c r="AG617" s="315"/>
      <c r="AH617" s="315"/>
      <c r="AI617" s="377"/>
      <c r="AJ617" s="407"/>
      <c r="AK617" s="377"/>
      <c r="AL617" s="314"/>
      <c r="AM617" s="314"/>
      <c r="AN617" s="314"/>
      <c r="AO617" s="315"/>
      <c r="AP617" s="257"/>
      <c r="AQ617" s="257"/>
      <c r="AR617" s="257"/>
      <c r="AS617" s="315"/>
      <c r="AT617" s="257"/>
      <c r="AU617" s="257"/>
      <c r="AV617" s="316"/>
      <c r="AW617" s="314"/>
      <c r="AX617" s="315"/>
      <c r="AY617" s="315"/>
      <c r="AZ617" s="315"/>
      <c r="BA617" s="315"/>
      <c r="BB617" s="315"/>
      <c r="BC617" s="315"/>
      <c r="BD617" s="319"/>
      <c r="BE617" s="319"/>
      <c r="BF617" s="319"/>
      <c r="BG617" s="319"/>
      <c r="BH617" s="319"/>
      <c r="BI617" s="319"/>
      <c r="BJ617" s="319"/>
      <c r="BK617" s="315"/>
      <c r="BL617" s="316"/>
      <c r="BM617" s="314"/>
      <c r="BN617" s="319"/>
      <c r="BO617" s="315"/>
      <c r="BP617" s="314"/>
      <c r="BQ617" s="316"/>
      <c r="BR617" s="314"/>
      <c r="BS617" s="262"/>
      <c r="BT617" s="262"/>
    </row>
    <row r="618" spans="1:72" ht="45.75" customHeight="1">
      <c r="A618" s="342"/>
      <c r="B618" s="342"/>
      <c r="C618" s="342"/>
      <c r="D618" s="343"/>
      <c r="E618" s="342"/>
      <c r="F618" s="342"/>
      <c r="G618" s="344"/>
      <c r="H618" s="344"/>
      <c r="I618" s="344"/>
      <c r="J618" s="334"/>
      <c r="K618" s="335"/>
      <c r="L618" s="336"/>
      <c r="M618" s="336"/>
      <c r="N618" s="337"/>
      <c r="O618" s="337"/>
      <c r="P618" s="315"/>
      <c r="Q618" s="314"/>
      <c r="R618" s="317"/>
      <c r="S618" s="315"/>
      <c r="T618" s="315"/>
      <c r="U618" s="315"/>
      <c r="V618" s="258"/>
      <c r="W618" s="322"/>
      <c r="X618" s="318"/>
      <c r="Y618" s="315"/>
      <c r="Z618" s="318"/>
      <c r="AA618" s="314"/>
      <c r="AB618" s="336"/>
      <c r="AC618" s="314"/>
      <c r="AD618" s="316"/>
      <c r="AE618" s="315"/>
      <c r="AF618" s="315"/>
      <c r="AG618" s="315"/>
      <c r="AH618" s="315"/>
      <c r="AI618" s="377"/>
      <c r="AJ618" s="407"/>
      <c r="AK618" s="377"/>
      <c r="AL618" s="314"/>
      <c r="AM618" s="314"/>
      <c r="AN618" s="314"/>
      <c r="AO618" s="315"/>
      <c r="AP618" s="257"/>
      <c r="AQ618" s="257"/>
      <c r="AR618" s="257"/>
      <c r="AS618" s="315"/>
      <c r="AT618" s="257"/>
      <c r="AU618" s="257"/>
      <c r="AV618" s="316"/>
      <c r="AW618" s="314"/>
      <c r="AX618" s="315"/>
      <c r="AY618" s="315"/>
      <c r="AZ618" s="315"/>
      <c r="BA618" s="315"/>
      <c r="BB618" s="315"/>
      <c r="BC618" s="315"/>
      <c r="BD618" s="319"/>
      <c r="BE618" s="319"/>
      <c r="BF618" s="319"/>
      <c r="BG618" s="319"/>
      <c r="BH618" s="319"/>
      <c r="BI618" s="319"/>
      <c r="BJ618" s="319"/>
      <c r="BK618" s="315"/>
      <c r="BL618" s="316"/>
      <c r="BM618" s="314"/>
      <c r="BN618" s="319"/>
      <c r="BO618" s="315"/>
      <c r="BP618" s="314"/>
      <c r="BQ618" s="316"/>
      <c r="BR618" s="314"/>
      <c r="BS618" s="262"/>
      <c r="BT618" s="262"/>
    </row>
    <row r="619" spans="1:72" ht="45.75" customHeight="1">
      <c r="A619" s="342"/>
      <c r="B619" s="342"/>
      <c r="C619" s="342"/>
      <c r="D619" s="343"/>
      <c r="E619" s="342"/>
      <c r="F619" s="342"/>
      <c r="G619" s="344"/>
      <c r="H619" s="344"/>
      <c r="I619" s="344"/>
      <c r="J619" s="334"/>
      <c r="K619" s="335"/>
      <c r="L619" s="336"/>
      <c r="M619" s="336"/>
      <c r="N619" s="337"/>
      <c r="O619" s="337"/>
      <c r="P619" s="315"/>
      <c r="Q619" s="314"/>
      <c r="R619" s="317"/>
      <c r="S619" s="315"/>
      <c r="T619" s="315"/>
      <c r="U619" s="315"/>
      <c r="V619" s="258"/>
      <c r="W619" s="322"/>
      <c r="X619" s="318"/>
      <c r="Y619" s="315"/>
      <c r="Z619" s="318"/>
      <c r="AA619" s="314"/>
      <c r="AB619" s="336"/>
      <c r="AC619" s="314"/>
      <c r="AD619" s="316"/>
      <c r="AE619" s="315"/>
      <c r="AF619" s="315"/>
      <c r="AG619" s="315"/>
      <c r="AH619" s="315"/>
      <c r="AI619" s="377"/>
      <c r="AJ619" s="407"/>
      <c r="AK619" s="377"/>
      <c r="AL619" s="314"/>
      <c r="AM619" s="314"/>
      <c r="AN619" s="314"/>
      <c r="AO619" s="315"/>
      <c r="AP619" s="257"/>
      <c r="AQ619" s="257"/>
      <c r="AR619" s="257"/>
      <c r="AS619" s="315"/>
      <c r="AT619" s="257"/>
      <c r="AU619" s="257"/>
      <c r="AV619" s="316"/>
      <c r="AW619" s="314"/>
      <c r="AX619" s="315"/>
      <c r="AY619" s="315"/>
      <c r="AZ619" s="315"/>
      <c r="BA619" s="315"/>
      <c r="BB619" s="315"/>
      <c r="BC619" s="315"/>
      <c r="BD619" s="319"/>
      <c r="BE619" s="319"/>
      <c r="BF619" s="319"/>
      <c r="BG619" s="319"/>
      <c r="BH619" s="319"/>
      <c r="BI619" s="319"/>
      <c r="BJ619" s="319"/>
      <c r="BK619" s="315"/>
      <c r="BL619" s="316"/>
      <c r="BM619" s="314"/>
      <c r="BN619" s="319"/>
      <c r="BO619" s="315"/>
      <c r="BP619" s="314"/>
      <c r="BQ619" s="316"/>
      <c r="BR619" s="314"/>
      <c r="BS619" s="262"/>
      <c r="BT619" s="262"/>
    </row>
    <row r="620" spans="1:72" ht="45.75" customHeight="1">
      <c r="A620" s="342"/>
      <c r="B620" s="342"/>
      <c r="C620" s="342"/>
      <c r="D620" s="343"/>
      <c r="E620" s="342"/>
      <c r="F620" s="342"/>
      <c r="G620" s="344"/>
      <c r="H620" s="344"/>
      <c r="I620" s="344"/>
      <c r="J620" s="334"/>
      <c r="K620" s="335"/>
      <c r="L620" s="336"/>
      <c r="M620" s="336"/>
      <c r="N620" s="337"/>
      <c r="O620" s="337"/>
      <c r="P620" s="315"/>
      <c r="Q620" s="314"/>
      <c r="R620" s="317"/>
      <c r="S620" s="315"/>
      <c r="T620" s="315"/>
      <c r="U620" s="315"/>
      <c r="V620" s="258"/>
      <c r="W620" s="322"/>
      <c r="X620" s="318"/>
      <c r="Y620" s="315"/>
      <c r="Z620" s="318"/>
      <c r="AA620" s="314"/>
      <c r="AB620" s="336"/>
      <c r="AC620" s="314"/>
      <c r="AD620" s="316"/>
      <c r="AE620" s="315"/>
      <c r="AF620" s="315"/>
      <c r="AG620" s="315"/>
      <c r="AH620" s="315"/>
      <c r="AI620" s="377"/>
      <c r="AJ620" s="407"/>
      <c r="AK620" s="377"/>
      <c r="AL620" s="314"/>
      <c r="AM620" s="314"/>
      <c r="AN620" s="314"/>
      <c r="AO620" s="315"/>
      <c r="AP620" s="257"/>
      <c r="AQ620" s="257"/>
      <c r="AR620" s="257"/>
      <c r="AS620" s="315"/>
      <c r="AT620" s="257"/>
      <c r="AU620" s="257"/>
      <c r="AV620" s="316"/>
      <c r="AW620" s="314"/>
      <c r="AX620" s="315"/>
      <c r="AY620" s="315"/>
      <c r="AZ620" s="315"/>
      <c r="BA620" s="315"/>
      <c r="BB620" s="315"/>
      <c r="BC620" s="315"/>
      <c r="BD620" s="319"/>
      <c r="BE620" s="319"/>
      <c r="BF620" s="319"/>
      <c r="BG620" s="319"/>
      <c r="BH620" s="319"/>
      <c r="BI620" s="319"/>
      <c r="BJ620" s="319"/>
      <c r="BK620" s="315"/>
      <c r="BL620" s="316"/>
      <c r="BM620" s="314"/>
      <c r="BN620" s="319"/>
      <c r="BO620" s="315"/>
      <c r="BP620" s="314"/>
      <c r="BQ620" s="316"/>
      <c r="BR620" s="314"/>
      <c r="BS620" s="262"/>
      <c r="BT620" s="262"/>
    </row>
    <row r="621" spans="1:72" ht="45.75" customHeight="1">
      <c r="A621" s="342"/>
      <c r="B621" s="342"/>
      <c r="C621" s="342"/>
      <c r="D621" s="343"/>
      <c r="E621" s="342"/>
      <c r="F621" s="342"/>
      <c r="G621" s="344"/>
      <c r="H621" s="344"/>
      <c r="I621" s="344"/>
      <c r="J621" s="334"/>
      <c r="K621" s="335"/>
      <c r="L621" s="336"/>
      <c r="M621" s="336"/>
      <c r="N621" s="337"/>
      <c r="O621" s="337"/>
      <c r="P621" s="315"/>
      <c r="Q621" s="314"/>
      <c r="R621" s="317"/>
      <c r="S621" s="315"/>
      <c r="T621" s="315"/>
      <c r="U621" s="315"/>
      <c r="V621" s="258"/>
      <c r="W621" s="322"/>
      <c r="X621" s="318"/>
      <c r="Y621" s="315"/>
      <c r="Z621" s="318"/>
      <c r="AA621" s="314"/>
      <c r="AB621" s="336"/>
      <c r="AC621" s="314"/>
      <c r="AD621" s="316"/>
      <c r="AE621" s="315"/>
      <c r="AF621" s="315"/>
      <c r="AG621" s="315"/>
      <c r="AH621" s="315"/>
      <c r="AI621" s="377"/>
      <c r="AJ621" s="407"/>
      <c r="AK621" s="377"/>
      <c r="AL621" s="314"/>
      <c r="AM621" s="314"/>
      <c r="AN621" s="314"/>
      <c r="AO621" s="315"/>
      <c r="AP621" s="257"/>
      <c r="AQ621" s="257"/>
      <c r="AR621" s="257"/>
      <c r="AS621" s="315"/>
      <c r="AT621" s="257"/>
      <c r="AU621" s="257"/>
      <c r="AV621" s="316"/>
      <c r="AW621" s="314"/>
      <c r="AX621" s="315"/>
      <c r="AY621" s="315"/>
      <c r="AZ621" s="315"/>
      <c r="BA621" s="315"/>
      <c r="BB621" s="315"/>
      <c r="BC621" s="315"/>
      <c r="BD621" s="319"/>
      <c r="BE621" s="319"/>
      <c r="BF621" s="319"/>
      <c r="BG621" s="319"/>
      <c r="BH621" s="319"/>
      <c r="BI621" s="319"/>
      <c r="BJ621" s="319"/>
      <c r="BK621" s="315"/>
      <c r="BL621" s="316"/>
      <c r="BM621" s="314"/>
      <c r="BN621" s="319"/>
      <c r="BO621" s="315"/>
      <c r="BP621" s="314"/>
      <c r="BQ621" s="316"/>
      <c r="BR621" s="314"/>
      <c r="BS621" s="262"/>
      <c r="BT621" s="262"/>
    </row>
    <row r="622" spans="1:72" ht="45.75" customHeight="1">
      <c r="A622" s="342"/>
      <c r="B622" s="342"/>
      <c r="C622" s="342"/>
      <c r="D622" s="343"/>
      <c r="E622" s="342"/>
      <c r="F622" s="342"/>
      <c r="G622" s="344"/>
      <c r="H622" s="344"/>
      <c r="I622" s="344"/>
      <c r="J622" s="334"/>
      <c r="K622" s="335"/>
      <c r="L622" s="336"/>
      <c r="M622" s="336"/>
      <c r="N622" s="337"/>
      <c r="O622" s="337"/>
      <c r="P622" s="315"/>
      <c r="Q622" s="314"/>
      <c r="R622" s="317"/>
      <c r="S622" s="315"/>
      <c r="T622" s="315"/>
      <c r="U622" s="315"/>
      <c r="V622" s="258"/>
      <c r="W622" s="322"/>
      <c r="X622" s="318"/>
      <c r="Y622" s="315"/>
      <c r="Z622" s="318"/>
      <c r="AA622" s="314"/>
      <c r="AB622" s="336"/>
      <c r="AC622" s="314"/>
      <c r="AD622" s="316"/>
      <c r="AE622" s="315"/>
      <c r="AF622" s="315"/>
      <c r="AG622" s="315"/>
      <c r="AH622" s="315"/>
      <c r="AI622" s="377"/>
      <c r="AJ622" s="407"/>
      <c r="AK622" s="377"/>
      <c r="AL622" s="314"/>
      <c r="AM622" s="314"/>
      <c r="AN622" s="314"/>
      <c r="AO622" s="315"/>
      <c r="AP622" s="257"/>
      <c r="AQ622" s="257"/>
      <c r="AR622" s="257"/>
      <c r="AS622" s="315"/>
      <c r="AT622" s="257"/>
      <c r="AU622" s="257"/>
      <c r="AV622" s="316"/>
      <c r="AW622" s="314"/>
      <c r="AX622" s="315"/>
      <c r="AY622" s="315"/>
      <c r="AZ622" s="315"/>
      <c r="BA622" s="315"/>
      <c r="BB622" s="315"/>
      <c r="BC622" s="315"/>
      <c r="BD622" s="319"/>
      <c r="BE622" s="319"/>
      <c r="BF622" s="319"/>
      <c r="BG622" s="319"/>
      <c r="BH622" s="319"/>
      <c r="BI622" s="319"/>
      <c r="BJ622" s="319"/>
      <c r="BK622" s="315"/>
      <c r="BL622" s="316"/>
      <c r="BM622" s="314"/>
      <c r="BN622" s="319"/>
      <c r="BO622" s="315"/>
      <c r="BP622" s="314"/>
      <c r="BQ622" s="316"/>
      <c r="BR622" s="314"/>
      <c r="BS622" s="262"/>
      <c r="BT622" s="262"/>
    </row>
    <row r="623" spans="1:72" ht="45.75" customHeight="1">
      <c r="A623" s="342"/>
      <c r="B623" s="342"/>
      <c r="C623" s="342"/>
      <c r="D623" s="343"/>
      <c r="E623" s="342"/>
      <c r="F623" s="342"/>
      <c r="G623" s="344"/>
      <c r="H623" s="344"/>
      <c r="I623" s="344"/>
      <c r="J623" s="334"/>
      <c r="K623" s="335"/>
      <c r="L623" s="336"/>
      <c r="M623" s="336"/>
      <c r="N623" s="337"/>
      <c r="O623" s="337"/>
      <c r="P623" s="315"/>
      <c r="Q623" s="314"/>
      <c r="R623" s="317"/>
      <c r="S623" s="315"/>
      <c r="T623" s="315"/>
      <c r="U623" s="315"/>
      <c r="V623" s="258"/>
      <c r="W623" s="322"/>
      <c r="X623" s="318"/>
      <c r="Y623" s="315"/>
      <c r="Z623" s="318"/>
      <c r="AA623" s="314"/>
      <c r="AB623" s="336"/>
      <c r="AC623" s="314"/>
      <c r="AD623" s="316"/>
      <c r="AE623" s="315"/>
      <c r="AF623" s="315"/>
      <c r="AG623" s="315"/>
      <c r="AH623" s="315"/>
      <c r="AI623" s="377"/>
      <c r="AJ623" s="407"/>
      <c r="AK623" s="377"/>
      <c r="AL623" s="314"/>
      <c r="AM623" s="314"/>
      <c r="AN623" s="314"/>
      <c r="AO623" s="315"/>
      <c r="AP623" s="257"/>
      <c r="AQ623" s="257"/>
      <c r="AR623" s="257"/>
      <c r="AS623" s="315"/>
      <c r="AT623" s="257"/>
      <c r="AU623" s="257"/>
      <c r="AV623" s="316"/>
      <c r="AW623" s="314"/>
      <c r="AX623" s="315"/>
      <c r="AY623" s="315"/>
      <c r="AZ623" s="315"/>
      <c r="BA623" s="315"/>
      <c r="BB623" s="315"/>
      <c r="BC623" s="315"/>
      <c r="BD623" s="319"/>
      <c r="BE623" s="319"/>
      <c r="BF623" s="319"/>
      <c r="BG623" s="319"/>
      <c r="BH623" s="319"/>
      <c r="BI623" s="319"/>
      <c r="BJ623" s="319"/>
      <c r="BK623" s="315"/>
      <c r="BL623" s="316"/>
      <c r="BM623" s="314"/>
      <c r="BN623" s="319"/>
      <c r="BO623" s="315"/>
      <c r="BP623" s="314"/>
      <c r="BQ623" s="316"/>
      <c r="BR623" s="314"/>
      <c r="BS623" s="262"/>
      <c r="BT623" s="262"/>
    </row>
    <row r="624" spans="1:72" ht="45.75" customHeight="1">
      <c r="A624" s="342"/>
      <c r="B624" s="342"/>
      <c r="C624" s="342"/>
      <c r="D624" s="343"/>
      <c r="E624" s="342"/>
      <c r="F624" s="342"/>
      <c r="G624" s="344"/>
      <c r="H624" s="344"/>
      <c r="I624" s="344"/>
      <c r="J624" s="334"/>
      <c r="K624" s="335"/>
      <c r="L624" s="336"/>
      <c r="M624" s="336"/>
      <c r="N624" s="337"/>
      <c r="O624" s="337"/>
      <c r="P624" s="315"/>
      <c r="Q624" s="314"/>
      <c r="R624" s="317"/>
      <c r="S624" s="315"/>
      <c r="T624" s="315"/>
      <c r="U624" s="315"/>
      <c r="V624" s="258"/>
      <c r="W624" s="322"/>
      <c r="X624" s="318"/>
      <c r="Y624" s="315"/>
      <c r="Z624" s="318"/>
      <c r="AA624" s="314"/>
      <c r="AB624" s="336"/>
      <c r="AC624" s="314"/>
      <c r="AD624" s="316"/>
      <c r="AE624" s="315"/>
      <c r="AF624" s="315"/>
      <c r="AG624" s="315"/>
      <c r="AH624" s="315"/>
      <c r="AI624" s="377"/>
      <c r="AJ624" s="407"/>
      <c r="AK624" s="377"/>
      <c r="AL624" s="314"/>
      <c r="AM624" s="314"/>
      <c r="AN624" s="314"/>
      <c r="AO624" s="315"/>
      <c r="AP624" s="257"/>
      <c r="AQ624" s="257"/>
      <c r="AR624" s="257"/>
      <c r="AS624" s="315"/>
      <c r="AT624" s="257"/>
      <c r="AU624" s="257"/>
      <c r="AV624" s="316"/>
      <c r="AW624" s="314"/>
      <c r="AX624" s="315"/>
      <c r="AY624" s="315"/>
      <c r="AZ624" s="315"/>
      <c r="BA624" s="315"/>
      <c r="BB624" s="315"/>
      <c r="BC624" s="315"/>
      <c r="BD624" s="319"/>
      <c r="BE624" s="319"/>
      <c r="BF624" s="319"/>
      <c r="BG624" s="319"/>
      <c r="BH624" s="319"/>
      <c r="BI624" s="319"/>
      <c r="BJ624" s="319"/>
      <c r="BK624" s="315"/>
      <c r="BL624" s="316"/>
      <c r="BM624" s="314"/>
      <c r="BN624" s="319"/>
      <c r="BO624" s="315"/>
      <c r="BP624" s="314"/>
      <c r="BQ624" s="316"/>
      <c r="BR624" s="314"/>
      <c r="BS624" s="262"/>
      <c r="BT624" s="262"/>
    </row>
    <row r="625" spans="1:72" ht="45.75" customHeight="1">
      <c r="A625" s="342"/>
      <c r="B625" s="342"/>
      <c r="C625" s="342"/>
      <c r="D625" s="343"/>
      <c r="E625" s="342"/>
      <c r="F625" s="342"/>
      <c r="G625" s="344"/>
      <c r="H625" s="344"/>
      <c r="I625" s="344"/>
      <c r="J625" s="334"/>
      <c r="K625" s="335"/>
      <c r="L625" s="336"/>
      <c r="M625" s="336"/>
      <c r="N625" s="337"/>
      <c r="O625" s="337"/>
      <c r="P625" s="315"/>
      <c r="Q625" s="314"/>
      <c r="R625" s="317"/>
      <c r="S625" s="315"/>
      <c r="T625" s="315"/>
      <c r="U625" s="315"/>
      <c r="V625" s="258"/>
      <c r="W625" s="322"/>
      <c r="X625" s="318"/>
      <c r="Y625" s="315"/>
      <c r="Z625" s="318"/>
      <c r="AA625" s="314"/>
      <c r="AB625" s="336"/>
      <c r="AC625" s="314"/>
      <c r="AD625" s="316"/>
      <c r="AE625" s="315"/>
      <c r="AF625" s="315"/>
      <c r="AG625" s="315"/>
      <c r="AH625" s="315"/>
      <c r="AI625" s="377"/>
      <c r="AJ625" s="407"/>
      <c r="AK625" s="377"/>
      <c r="AL625" s="314"/>
      <c r="AM625" s="314"/>
      <c r="AN625" s="314"/>
      <c r="AO625" s="315"/>
      <c r="AP625" s="257"/>
      <c r="AQ625" s="257"/>
      <c r="AR625" s="257"/>
      <c r="AS625" s="315"/>
      <c r="AT625" s="257"/>
      <c r="AU625" s="257"/>
      <c r="AV625" s="316"/>
      <c r="AW625" s="314"/>
      <c r="AX625" s="315"/>
      <c r="AY625" s="315"/>
      <c r="AZ625" s="315"/>
      <c r="BA625" s="315"/>
      <c r="BB625" s="315"/>
      <c r="BC625" s="315"/>
      <c r="BD625" s="319"/>
      <c r="BE625" s="319"/>
      <c r="BF625" s="319"/>
      <c r="BG625" s="319"/>
      <c r="BH625" s="319"/>
      <c r="BI625" s="319"/>
      <c r="BJ625" s="319"/>
      <c r="BK625" s="315"/>
      <c r="BL625" s="316"/>
      <c r="BM625" s="314"/>
      <c r="BN625" s="319"/>
      <c r="BO625" s="315"/>
      <c r="BP625" s="314"/>
      <c r="BQ625" s="316"/>
      <c r="BR625" s="314"/>
      <c r="BS625" s="262"/>
      <c r="BT625" s="262"/>
    </row>
    <row r="626" spans="1:72" ht="45.75" customHeight="1">
      <c r="A626" s="342"/>
      <c r="B626" s="342"/>
      <c r="C626" s="342"/>
      <c r="D626" s="343"/>
      <c r="E626" s="342"/>
      <c r="F626" s="342"/>
      <c r="G626" s="344"/>
      <c r="H626" s="344"/>
      <c r="I626" s="344"/>
      <c r="J626" s="334"/>
      <c r="K626" s="335"/>
      <c r="L626" s="336"/>
      <c r="M626" s="336"/>
      <c r="N626" s="337"/>
      <c r="O626" s="337"/>
      <c r="P626" s="315"/>
      <c r="Q626" s="314"/>
      <c r="R626" s="317"/>
      <c r="S626" s="315"/>
      <c r="T626" s="315"/>
      <c r="U626" s="315"/>
      <c r="V626" s="258"/>
      <c r="W626" s="322"/>
      <c r="X626" s="318"/>
      <c r="Y626" s="315"/>
      <c r="Z626" s="318"/>
      <c r="AA626" s="314"/>
      <c r="AB626" s="336"/>
      <c r="AC626" s="314"/>
      <c r="AD626" s="316"/>
      <c r="AE626" s="315"/>
      <c r="AF626" s="315"/>
      <c r="AG626" s="315"/>
      <c r="AH626" s="315"/>
      <c r="AI626" s="377"/>
      <c r="AJ626" s="407"/>
      <c r="AK626" s="377"/>
      <c r="AL626" s="314"/>
      <c r="AM626" s="314"/>
      <c r="AN626" s="314"/>
      <c r="AO626" s="315"/>
      <c r="AP626" s="257"/>
      <c r="AQ626" s="257"/>
      <c r="AR626" s="257"/>
      <c r="AS626" s="315"/>
      <c r="AT626" s="257"/>
      <c r="AU626" s="257"/>
      <c r="AV626" s="316"/>
      <c r="AW626" s="314"/>
      <c r="AX626" s="315"/>
      <c r="AY626" s="315"/>
      <c r="AZ626" s="315"/>
      <c r="BA626" s="315"/>
      <c r="BB626" s="315"/>
      <c r="BC626" s="315"/>
      <c r="BD626" s="319"/>
      <c r="BE626" s="319"/>
      <c r="BF626" s="319"/>
      <c r="BG626" s="319"/>
      <c r="BH626" s="319"/>
      <c r="BI626" s="319"/>
      <c r="BJ626" s="319"/>
      <c r="BK626" s="315"/>
      <c r="BL626" s="316"/>
      <c r="BM626" s="314"/>
      <c r="BN626" s="319"/>
      <c r="BO626" s="315"/>
      <c r="BP626" s="314"/>
      <c r="BQ626" s="316"/>
      <c r="BR626" s="314"/>
      <c r="BS626" s="262"/>
      <c r="BT626" s="262"/>
    </row>
    <row r="627" spans="1:72" ht="45.75" customHeight="1">
      <c r="A627" s="342"/>
      <c r="B627" s="342"/>
      <c r="C627" s="342"/>
      <c r="D627" s="343"/>
      <c r="E627" s="342"/>
      <c r="F627" s="342"/>
      <c r="G627" s="344"/>
      <c r="H627" s="344"/>
      <c r="I627" s="344"/>
      <c r="J627" s="334"/>
      <c r="K627" s="335"/>
      <c r="L627" s="336"/>
      <c r="M627" s="336"/>
      <c r="N627" s="337"/>
      <c r="O627" s="337"/>
      <c r="P627" s="315"/>
      <c r="Q627" s="314"/>
      <c r="R627" s="317"/>
      <c r="S627" s="315"/>
      <c r="T627" s="315"/>
      <c r="U627" s="315"/>
      <c r="V627" s="258"/>
      <c r="W627" s="322"/>
      <c r="X627" s="318"/>
      <c r="Y627" s="315"/>
      <c r="Z627" s="318"/>
      <c r="AA627" s="314"/>
      <c r="AB627" s="336"/>
      <c r="AC627" s="314"/>
      <c r="AD627" s="316"/>
      <c r="AE627" s="315"/>
      <c r="AF627" s="315"/>
      <c r="AG627" s="315"/>
      <c r="AH627" s="315"/>
      <c r="AI627" s="377"/>
      <c r="AJ627" s="407"/>
      <c r="AK627" s="377"/>
      <c r="AL627" s="314"/>
      <c r="AM627" s="314"/>
      <c r="AN627" s="314"/>
      <c r="AO627" s="315"/>
      <c r="AP627" s="257"/>
      <c r="AQ627" s="257"/>
      <c r="AR627" s="257"/>
      <c r="AS627" s="315"/>
      <c r="AT627" s="257"/>
      <c r="AU627" s="257"/>
      <c r="AV627" s="316"/>
      <c r="AW627" s="314"/>
      <c r="AX627" s="315"/>
      <c r="AY627" s="315"/>
      <c r="AZ627" s="315"/>
      <c r="BA627" s="315"/>
      <c r="BB627" s="315"/>
      <c r="BC627" s="315"/>
      <c r="BD627" s="319"/>
      <c r="BE627" s="319"/>
      <c r="BF627" s="319"/>
      <c r="BG627" s="319"/>
      <c r="BH627" s="319"/>
      <c r="BI627" s="319"/>
      <c r="BJ627" s="319"/>
      <c r="BK627" s="315"/>
      <c r="BL627" s="316"/>
      <c r="BM627" s="314"/>
      <c r="BN627" s="319"/>
      <c r="BO627" s="315"/>
      <c r="BP627" s="314"/>
      <c r="BQ627" s="316"/>
      <c r="BR627" s="314"/>
      <c r="BS627" s="262"/>
      <c r="BT627" s="262"/>
    </row>
    <row r="628" spans="1:72" ht="45.75" customHeight="1">
      <c r="A628" s="342"/>
      <c r="B628" s="342"/>
      <c r="C628" s="342"/>
      <c r="D628" s="343"/>
      <c r="E628" s="342"/>
      <c r="F628" s="342"/>
      <c r="G628" s="344"/>
      <c r="H628" s="344"/>
      <c r="I628" s="344"/>
      <c r="J628" s="334"/>
      <c r="K628" s="335"/>
      <c r="L628" s="336"/>
      <c r="M628" s="336"/>
      <c r="N628" s="337"/>
      <c r="O628" s="337"/>
      <c r="P628" s="315"/>
      <c r="Q628" s="314"/>
      <c r="R628" s="317"/>
      <c r="S628" s="315"/>
      <c r="T628" s="315"/>
      <c r="U628" s="315"/>
      <c r="V628" s="258"/>
      <c r="W628" s="322"/>
      <c r="X628" s="318"/>
      <c r="Y628" s="315"/>
      <c r="Z628" s="318"/>
      <c r="AA628" s="314"/>
      <c r="AB628" s="336"/>
      <c r="AC628" s="314"/>
      <c r="AD628" s="316"/>
      <c r="AE628" s="315"/>
      <c r="AF628" s="315"/>
      <c r="AG628" s="315"/>
      <c r="AH628" s="315"/>
      <c r="AI628" s="377"/>
      <c r="AJ628" s="407"/>
      <c r="AK628" s="377"/>
      <c r="AL628" s="314"/>
      <c r="AM628" s="314"/>
      <c r="AN628" s="314"/>
      <c r="AO628" s="315"/>
      <c r="AP628" s="257"/>
      <c r="AQ628" s="257"/>
      <c r="AR628" s="257"/>
      <c r="AS628" s="315"/>
      <c r="AT628" s="257"/>
      <c r="AU628" s="257"/>
      <c r="AV628" s="316"/>
      <c r="AW628" s="314"/>
      <c r="AX628" s="315"/>
      <c r="AY628" s="315"/>
      <c r="AZ628" s="315"/>
      <c r="BA628" s="315"/>
      <c r="BB628" s="315"/>
      <c r="BC628" s="315"/>
      <c r="BD628" s="319"/>
      <c r="BE628" s="319"/>
      <c r="BF628" s="319"/>
      <c r="BG628" s="319"/>
      <c r="BH628" s="319"/>
      <c r="BI628" s="319"/>
      <c r="BJ628" s="319"/>
      <c r="BK628" s="315"/>
      <c r="BL628" s="316"/>
      <c r="BM628" s="314"/>
      <c r="BN628" s="319"/>
      <c r="BO628" s="315"/>
      <c r="BP628" s="314"/>
      <c r="BQ628" s="316"/>
      <c r="BR628" s="314"/>
      <c r="BS628" s="262"/>
      <c r="BT628" s="262"/>
    </row>
    <row r="629" spans="1:72" ht="45.75" customHeight="1">
      <c r="A629" s="342"/>
      <c r="B629" s="342"/>
      <c r="C629" s="342"/>
      <c r="D629" s="343"/>
      <c r="E629" s="342"/>
      <c r="F629" s="342"/>
      <c r="G629" s="344"/>
      <c r="H629" s="344"/>
      <c r="I629" s="344"/>
      <c r="J629" s="334"/>
      <c r="K629" s="335"/>
      <c r="L629" s="336"/>
      <c r="M629" s="336"/>
      <c r="N629" s="337"/>
      <c r="O629" s="337"/>
      <c r="P629" s="315"/>
      <c r="Q629" s="314"/>
      <c r="R629" s="317"/>
      <c r="S629" s="315"/>
      <c r="T629" s="315"/>
      <c r="U629" s="315"/>
      <c r="V629" s="258"/>
      <c r="W629" s="322"/>
      <c r="X629" s="318"/>
      <c r="Y629" s="315"/>
      <c r="Z629" s="318"/>
      <c r="AA629" s="314"/>
      <c r="AB629" s="336"/>
      <c r="AC629" s="314"/>
      <c r="AD629" s="316"/>
      <c r="AE629" s="315"/>
      <c r="AF629" s="315"/>
      <c r="AG629" s="315"/>
      <c r="AH629" s="315"/>
      <c r="AI629" s="377"/>
      <c r="AJ629" s="407"/>
      <c r="AK629" s="377"/>
      <c r="AL629" s="314"/>
      <c r="AM629" s="314"/>
      <c r="AN629" s="314"/>
      <c r="AO629" s="315"/>
      <c r="AP629" s="257"/>
      <c r="AQ629" s="257"/>
      <c r="AR629" s="257"/>
      <c r="AS629" s="315"/>
      <c r="AT629" s="257"/>
      <c r="AU629" s="257"/>
      <c r="AV629" s="316"/>
      <c r="AW629" s="314"/>
      <c r="AX629" s="315"/>
      <c r="AY629" s="315"/>
      <c r="AZ629" s="315"/>
      <c r="BA629" s="315"/>
      <c r="BB629" s="315"/>
      <c r="BC629" s="315"/>
      <c r="BD629" s="319"/>
      <c r="BE629" s="319"/>
      <c r="BF629" s="319"/>
      <c r="BG629" s="319"/>
      <c r="BH629" s="319"/>
      <c r="BI629" s="319"/>
      <c r="BJ629" s="319"/>
      <c r="BK629" s="315"/>
      <c r="BL629" s="316"/>
      <c r="BM629" s="314"/>
      <c r="BN629" s="319"/>
      <c r="BO629" s="315"/>
      <c r="BP629" s="314"/>
      <c r="BQ629" s="316"/>
      <c r="BR629" s="314"/>
      <c r="BS629" s="262"/>
      <c r="BT629" s="262"/>
    </row>
    <row r="630" spans="1:72" ht="45.75" customHeight="1">
      <c r="A630" s="342"/>
      <c r="B630" s="342"/>
      <c r="C630" s="342"/>
      <c r="D630" s="343"/>
      <c r="E630" s="342"/>
      <c r="F630" s="342"/>
      <c r="G630" s="344"/>
      <c r="H630" s="344"/>
      <c r="I630" s="344"/>
      <c r="J630" s="334"/>
      <c r="K630" s="335"/>
      <c r="L630" s="336"/>
      <c r="M630" s="336"/>
      <c r="N630" s="337"/>
      <c r="O630" s="337"/>
      <c r="P630" s="315"/>
      <c r="Q630" s="314"/>
      <c r="R630" s="317"/>
      <c r="S630" s="315"/>
      <c r="T630" s="315"/>
      <c r="U630" s="315"/>
      <c r="V630" s="258"/>
      <c r="W630" s="322"/>
      <c r="X630" s="318"/>
      <c r="Y630" s="315"/>
      <c r="Z630" s="318"/>
      <c r="AA630" s="314"/>
      <c r="AB630" s="336"/>
      <c r="AC630" s="314"/>
      <c r="AD630" s="316"/>
      <c r="AE630" s="315"/>
      <c r="AF630" s="315"/>
      <c r="AG630" s="315"/>
      <c r="AH630" s="315"/>
      <c r="AI630" s="377"/>
      <c r="AJ630" s="407"/>
      <c r="AK630" s="377"/>
      <c r="AL630" s="314"/>
      <c r="AM630" s="314"/>
      <c r="AN630" s="314"/>
      <c r="AO630" s="315"/>
      <c r="AP630" s="257"/>
      <c r="AQ630" s="257"/>
      <c r="AR630" s="257"/>
      <c r="AS630" s="315"/>
      <c r="AT630" s="257"/>
      <c r="AU630" s="257"/>
      <c r="AV630" s="316"/>
      <c r="AW630" s="314"/>
      <c r="AX630" s="315"/>
      <c r="AY630" s="315"/>
      <c r="AZ630" s="315"/>
      <c r="BA630" s="315"/>
      <c r="BB630" s="315"/>
      <c r="BC630" s="315"/>
      <c r="BD630" s="319"/>
      <c r="BE630" s="319"/>
      <c r="BF630" s="319"/>
      <c r="BG630" s="319"/>
      <c r="BH630" s="319"/>
      <c r="BI630" s="319"/>
      <c r="BJ630" s="319"/>
      <c r="BK630" s="315"/>
      <c r="BL630" s="316"/>
      <c r="BM630" s="314"/>
      <c r="BN630" s="319"/>
      <c r="BO630" s="315"/>
      <c r="BP630" s="314"/>
      <c r="BQ630" s="316"/>
      <c r="BR630" s="314"/>
      <c r="BS630" s="262"/>
      <c r="BT630" s="262"/>
    </row>
    <row r="631" spans="1:72" ht="45.75" customHeight="1">
      <c r="A631" s="342"/>
      <c r="B631" s="342"/>
      <c r="C631" s="342"/>
      <c r="D631" s="343"/>
      <c r="E631" s="342"/>
      <c r="F631" s="342"/>
      <c r="G631" s="344"/>
      <c r="H631" s="344"/>
      <c r="I631" s="344"/>
      <c r="J631" s="334"/>
      <c r="K631" s="335"/>
      <c r="L631" s="336"/>
      <c r="M631" s="336"/>
      <c r="N631" s="337"/>
      <c r="O631" s="337"/>
      <c r="P631" s="315"/>
      <c r="Q631" s="314"/>
      <c r="R631" s="317"/>
      <c r="S631" s="315"/>
      <c r="T631" s="315"/>
      <c r="U631" s="315"/>
      <c r="V631" s="258"/>
      <c r="W631" s="322"/>
      <c r="X631" s="318"/>
      <c r="Y631" s="315"/>
      <c r="Z631" s="318"/>
      <c r="AA631" s="314"/>
      <c r="AB631" s="336"/>
      <c r="AC631" s="314"/>
      <c r="AD631" s="316"/>
      <c r="AE631" s="315"/>
      <c r="AF631" s="315"/>
      <c r="AG631" s="315"/>
      <c r="AH631" s="315"/>
      <c r="AI631" s="377"/>
      <c r="AJ631" s="407"/>
      <c r="AK631" s="377"/>
      <c r="AL631" s="314"/>
      <c r="AM631" s="314"/>
      <c r="AN631" s="314"/>
      <c r="AO631" s="315"/>
      <c r="AP631" s="257"/>
      <c r="AQ631" s="257"/>
      <c r="AR631" s="257"/>
      <c r="AS631" s="315"/>
      <c r="AT631" s="257"/>
      <c r="AU631" s="257"/>
      <c r="AV631" s="316"/>
      <c r="AW631" s="314"/>
      <c r="AX631" s="315"/>
      <c r="AY631" s="315"/>
      <c r="AZ631" s="315"/>
      <c r="BA631" s="315"/>
      <c r="BB631" s="315"/>
      <c r="BC631" s="315"/>
      <c r="BD631" s="319"/>
      <c r="BE631" s="319"/>
      <c r="BF631" s="319"/>
      <c r="BG631" s="319"/>
      <c r="BH631" s="319"/>
      <c r="BI631" s="319"/>
      <c r="BJ631" s="319"/>
      <c r="BK631" s="315"/>
      <c r="BL631" s="316"/>
      <c r="BM631" s="314"/>
      <c r="BN631" s="319"/>
      <c r="BO631" s="315"/>
      <c r="BP631" s="314"/>
      <c r="BQ631" s="316"/>
      <c r="BR631" s="314"/>
      <c r="BS631" s="262"/>
      <c r="BT631" s="262"/>
    </row>
    <row r="632" spans="1:72" ht="45.75" customHeight="1">
      <c r="A632" s="342"/>
      <c r="B632" s="342"/>
      <c r="C632" s="342"/>
      <c r="D632" s="343"/>
      <c r="E632" s="342"/>
      <c r="F632" s="342"/>
      <c r="G632" s="344"/>
      <c r="H632" s="344"/>
      <c r="I632" s="344"/>
      <c r="J632" s="334"/>
      <c r="K632" s="335"/>
      <c r="L632" s="336"/>
      <c r="M632" s="336"/>
      <c r="N632" s="337"/>
      <c r="O632" s="337"/>
      <c r="P632" s="315"/>
      <c r="Q632" s="314"/>
      <c r="R632" s="317"/>
      <c r="S632" s="315"/>
      <c r="T632" s="315"/>
      <c r="U632" s="315"/>
      <c r="V632" s="258"/>
      <c r="W632" s="322"/>
      <c r="X632" s="318"/>
      <c r="Y632" s="315"/>
      <c r="Z632" s="318"/>
      <c r="AA632" s="314"/>
      <c r="AB632" s="336"/>
      <c r="AC632" s="314"/>
      <c r="AD632" s="316"/>
      <c r="AE632" s="315"/>
      <c r="AF632" s="315"/>
      <c r="AG632" s="315"/>
      <c r="AH632" s="315"/>
      <c r="AI632" s="377"/>
      <c r="AJ632" s="407"/>
      <c r="AK632" s="377"/>
      <c r="AL632" s="314"/>
      <c r="AM632" s="314"/>
      <c r="AN632" s="314"/>
      <c r="AO632" s="315"/>
      <c r="AP632" s="257"/>
      <c r="AQ632" s="257"/>
      <c r="AR632" s="257"/>
      <c r="AS632" s="315"/>
      <c r="AT632" s="257"/>
      <c r="AU632" s="257"/>
      <c r="AV632" s="316"/>
      <c r="AW632" s="314"/>
      <c r="AX632" s="315"/>
      <c r="AY632" s="315"/>
      <c r="AZ632" s="315"/>
      <c r="BA632" s="315"/>
      <c r="BB632" s="315"/>
      <c r="BC632" s="315"/>
      <c r="BD632" s="319"/>
      <c r="BE632" s="319"/>
      <c r="BF632" s="319"/>
      <c r="BG632" s="319"/>
      <c r="BH632" s="319"/>
      <c r="BI632" s="319"/>
      <c r="BJ632" s="319"/>
      <c r="BK632" s="315"/>
      <c r="BL632" s="316"/>
      <c r="BM632" s="314"/>
      <c r="BN632" s="319"/>
      <c r="BO632" s="315"/>
      <c r="BP632" s="314"/>
      <c r="BQ632" s="316"/>
      <c r="BR632" s="314"/>
      <c r="BS632" s="262"/>
      <c r="BT632" s="262"/>
    </row>
    <row r="633" spans="1:72" ht="45.75" customHeight="1">
      <c r="A633" s="342"/>
      <c r="B633" s="342"/>
      <c r="C633" s="342"/>
      <c r="D633" s="343"/>
      <c r="E633" s="342"/>
      <c r="F633" s="342"/>
      <c r="G633" s="344"/>
      <c r="H633" s="344"/>
      <c r="I633" s="344"/>
      <c r="J633" s="334"/>
      <c r="K633" s="335"/>
      <c r="L633" s="336"/>
      <c r="M633" s="336"/>
      <c r="N633" s="337"/>
      <c r="O633" s="337"/>
      <c r="P633" s="315"/>
      <c r="Q633" s="314"/>
      <c r="R633" s="317"/>
      <c r="S633" s="315"/>
      <c r="T633" s="315"/>
      <c r="U633" s="315"/>
      <c r="V633" s="258"/>
      <c r="W633" s="322"/>
      <c r="X633" s="318"/>
      <c r="Y633" s="315"/>
      <c r="Z633" s="318"/>
      <c r="AA633" s="314"/>
      <c r="AB633" s="336"/>
      <c r="AC633" s="314"/>
      <c r="AD633" s="316"/>
      <c r="AE633" s="315"/>
      <c r="AF633" s="315"/>
      <c r="AG633" s="315"/>
      <c r="AH633" s="315"/>
      <c r="AI633" s="377"/>
      <c r="AJ633" s="407"/>
      <c r="AK633" s="377"/>
      <c r="AL633" s="314"/>
      <c r="AM633" s="314"/>
      <c r="AN633" s="314"/>
      <c r="AO633" s="315"/>
      <c r="AP633" s="257"/>
      <c r="AQ633" s="257"/>
      <c r="AR633" s="257"/>
      <c r="AS633" s="315"/>
      <c r="AT633" s="257"/>
      <c r="AU633" s="257"/>
      <c r="AV633" s="316"/>
      <c r="AW633" s="314"/>
      <c r="AX633" s="315"/>
      <c r="AY633" s="315"/>
      <c r="AZ633" s="315"/>
      <c r="BA633" s="315"/>
      <c r="BB633" s="315"/>
      <c r="BC633" s="315"/>
      <c r="BD633" s="319"/>
      <c r="BE633" s="319"/>
      <c r="BF633" s="319"/>
      <c r="BG633" s="319"/>
      <c r="BH633" s="319"/>
      <c r="BI633" s="319"/>
      <c r="BJ633" s="319"/>
      <c r="BK633" s="315"/>
      <c r="BL633" s="316"/>
      <c r="BM633" s="314"/>
      <c r="BN633" s="319"/>
      <c r="BO633" s="315"/>
      <c r="BP633" s="314"/>
      <c r="BQ633" s="316"/>
      <c r="BR633" s="314"/>
      <c r="BS633" s="262"/>
      <c r="BT633" s="262"/>
    </row>
    <row r="634" spans="1:72" ht="45.75" customHeight="1">
      <c r="A634" s="342"/>
      <c r="B634" s="342"/>
      <c r="C634" s="342"/>
      <c r="D634" s="343"/>
      <c r="E634" s="342"/>
      <c r="F634" s="342"/>
      <c r="G634" s="344"/>
      <c r="H634" s="344"/>
      <c r="I634" s="344"/>
      <c r="J634" s="334"/>
      <c r="K634" s="335"/>
      <c r="L634" s="336"/>
      <c r="M634" s="336"/>
      <c r="N634" s="337"/>
      <c r="O634" s="337"/>
      <c r="P634" s="315"/>
      <c r="Q634" s="314"/>
      <c r="R634" s="317"/>
      <c r="S634" s="315"/>
      <c r="T634" s="315"/>
      <c r="U634" s="315"/>
      <c r="V634" s="258"/>
      <c r="W634" s="322"/>
      <c r="X634" s="318"/>
      <c r="Y634" s="315"/>
      <c r="Z634" s="318"/>
      <c r="AA634" s="314"/>
      <c r="AB634" s="336"/>
      <c r="AC634" s="314"/>
      <c r="AD634" s="316"/>
      <c r="AE634" s="315"/>
      <c r="AF634" s="315"/>
      <c r="AG634" s="315"/>
      <c r="AH634" s="315"/>
      <c r="AI634" s="377"/>
      <c r="AJ634" s="407"/>
      <c r="AK634" s="377"/>
      <c r="AL634" s="314"/>
      <c r="AM634" s="314"/>
      <c r="AN634" s="314"/>
      <c r="AO634" s="315"/>
      <c r="AP634" s="257"/>
      <c r="AQ634" s="257"/>
      <c r="AR634" s="257"/>
      <c r="AS634" s="315"/>
      <c r="AT634" s="257"/>
      <c r="AU634" s="257"/>
      <c r="AV634" s="316"/>
      <c r="AW634" s="314"/>
      <c r="AX634" s="315"/>
      <c r="AY634" s="315"/>
      <c r="AZ634" s="315"/>
      <c r="BA634" s="315"/>
      <c r="BB634" s="315"/>
      <c r="BC634" s="315"/>
      <c r="BD634" s="319"/>
      <c r="BE634" s="319"/>
      <c r="BF634" s="319"/>
      <c r="BG634" s="319"/>
      <c r="BH634" s="319"/>
      <c r="BI634" s="319"/>
      <c r="BJ634" s="319"/>
      <c r="BK634" s="315"/>
      <c r="BL634" s="316"/>
      <c r="BM634" s="314"/>
      <c r="BN634" s="319"/>
      <c r="BO634" s="315"/>
      <c r="BP634" s="314"/>
      <c r="BQ634" s="316"/>
      <c r="BR634" s="314"/>
      <c r="BS634" s="262"/>
      <c r="BT634" s="262"/>
    </row>
    <row r="635" spans="1:72" ht="45.75" customHeight="1">
      <c r="A635" s="342"/>
      <c r="B635" s="342"/>
      <c r="C635" s="342"/>
      <c r="D635" s="343"/>
      <c r="E635" s="342"/>
      <c r="F635" s="342"/>
      <c r="G635" s="344"/>
      <c r="H635" s="344"/>
      <c r="I635" s="344"/>
      <c r="J635" s="334"/>
      <c r="K635" s="335"/>
      <c r="L635" s="336"/>
      <c r="M635" s="336"/>
      <c r="N635" s="337"/>
      <c r="O635" s="337"/>
      <c r="P635" s="315"/>
      <c r="Q635" s="314"/>
      <c r="R635" s="317"/>
      <c r="S635" s="315"/>
      <c r="T635" s="315"/>
      <c r="U635" s="315"/>
      <c r="V635" s="258"/>
      <c r="W635" s="322"/>
      <c r="X635" s="318"/>
      <c r="Y635" s="315"/>
      <c r="Z635" s="318"/>
      <c r="AA635" s="314"/>
      <c r="AB635" s="336"/>
      <c r="AC635" s="314"/>
      <c r="AD635" s="316"/>
      <c r="AE635" s="315"/>
      <c r="AF635" s="315"/>
      <c r="AG635" s="315"/>
      <c r="AH635" s="315"/>
      <c r="AI635" s="377"/>
      <c r="AJ635" s="407"/>
      <c r="AK635" s="377"/>
      <c r="AL635" s="314"/>
      <c r="AM635" s="314"/>
      <c r="AN635" s="314"/>
      <c r="AO635" s="315"/>
      <c r="AP635" s="257"/>
      <c r="AQ635" s="257"/>
      <c r="AR635" s="257"/>
      <c r="AS635" s="315"/>
      <c r="AT635" s="257"/>
      <c r="AU635" s="257"/>
      <c r="AV635" s="316"/>
      <c r="AW635" s="314"/>
      <c r="AX635" s="315"/>
      <c r="AY635" s="315"/>
      <c r="AZ635" s="315"/>
      <c r="BA635" s="315"/>
      <c r="BB635" s="315"/>
      <c r="BC635" s="315"/>
      <c r="BD635" s="319"/>
      <c r="BE635" s="319"/>
      <c r="BF635" s="319"/>
      <c r="BG635" s="319"/>
      <c r="BH635" s="319"/>
      <c r="BI635" s="319"/>
      <c r="BJ635" s="319"/>
      <c r="BK635" s="315"/>
      <c r="BL635" s="316"/>
      <c r="BM635" s="314"/>
      <c r="BN635" s="319"/>
      <c r="BO635" s="315"/>
      <c r="BP635" s="314"/>
      <c r="BQ635" s="316"/>
      <c r="BR635" s="314"/>
      <c r="BS635" s="262"/>
      <c r="BT635" s="262"/>
    </row>
    <row r="636" spans="1:72" ht="45.75" customHeight="1">
      <c r="A636" s="342"/>
      <c r="B636" s="342"/>
      <c r="C636" s="342"/>
      <c r="D636" s="343"/>
      <c r="E636" s="342"/>
      <c r="F636" s="342"/>
      <c r="G636" s="344"/>
      <c r="H636" s="344"/>
      <c r="I636" s="344"/>
      <c r="J636" s="334"/>
      <c r="K636" s="335"/>
      <c r="L636" s="336"/>
      <c r="M636" s="336"/>
      <c r="N636" s="337"/>
      <c r="O636" s="337"/>
      <c r="P636" s="315"/>
      <c r="Q636" s="314"/>
      <c r="R636" s="317"/>
      <c r="S636" s="315"/>
      <c r="T636" s="315"/>
      <c r="U636" s="315"/>
      <c r="V636" s="258"/>
      <c r="W636" s="322"/>
      <c r="X636" s="318"/>
      <c r="Y636" s="315"/>
      <c r="Z636" s="318"/>
      <c r="AA636" s="314"/>
      <c r="AB636" s="336"/>
      <c r="AC636" s="314"/>
      <c r="AD636" s="316"/>
      <c r="AE636" s="315"/>
      <c r="AF636" s="315"/>
      <c r="AG636" s="315"/>
      <c r="AH636" s="315"/>
      <c r="AI636" s="377"/>
      <c r="AJ636" s="407"/>
      <c r="AK636" s="377"/>
      <c r="AL636" s="314"/>
      <c r="AM636" s="314"/>
      <c r="AN636" s="314"/>
      <c r="AO636" s="315"/>
      <c r="AP636" s="257"/>
      <c r="AQ636" s="257"/>
      <c r="AR636" s="257"/>
      <c r="AS636" s="315"/>
      <c r="AT636" s="257"/>
      <c r="AU636" s="257"/>
      <c r="AV636" s="316"/>
      <c r="AW636" s="314"/>
      <c r="AX636" s="315"/>
      <c r="AY636" s="315"/>
      <c r="AZ636" s="315"/>
      <c r="BA636" s="315"/>
      <c r="BB636" s="315"/>
      <c r="BC636" s="315"/>
      <c r="BD636" s="319"/>
      <c r="BE636" s="319"/>
      <c r="BF636" s="319"/>
      <c r="BG636" s="319"/>
      <c r="BH636" s="319"/>
      <c r="BI636" s="319"/>
      <c r="BJ636" s="319"/>
      <c r="BK636" s="315"/>
      <c r="BL636" s="316"/>
      <c r="BM636" s="314"/>
      <c r="BN636" s="319"/>
      <c r="BO636" s="315"/>
      <c r="BP636" s="314"/>
      <c r="BQ636" s="316"/>
      <c r="BR636" s="314"/>
      <c r="BS636" s="262"/>
      <c r="BT636" s="262"/>
    </row>
    <row r="637" spans="1:72" ht="45.75" customHeight="1">
      <c r="A637" s="342"/>
      <c r="B637" s="342"/>
      <c r="C637" s="342"/>
      <c r="D637" s="343"/>
      <c r="E637" s="342"/>
      <c r="F637" s="342"/>
      <c r="G637" s="344"/>
      <c r="H637" s="344"/>
      <c r="I637" s="344"/>
      <c r="J637" s="334"/>
      <c r="K637" s="335"/>
      <c r="L637" s="336"/>
      <c r="M637" s="336"/>
      <c r="N637" s="337"/>
      <c r="O637" s="337"/>
      <c r="P637" s="315"/>
      <c r="Q637" s="314"/>
      <c r="R637" s="317"/>
      <c r="S637" s="315"/>
      <c r="T637" s="315"/>
      <c r="U637" s="315"/>
      <c r="V637" s="258"/>
      <c r="W637" s="322"/>
      <c r="X637" s="318"/>
      <c r="Y637" s="315"/>
      <c r="Z637" s="318"/>
      <c r="AA637" s="314"/>
      <c r="AB637" s="336"/>
      <c r="AC637" s="314"/>
      <c r="AD637" s="316"/>
      <c r="AE637" s="315"/>
      <c r="AF637" s="315"/>
      <c r="AG637" s="315"/>
      <c r="AH637" s="315"/>
      <c r="AI637" s="377"/>
      <c r="AJ637" s="407"/>
      <c r="AK637" s="377"/>
      <c r="AL637" s="314"/>
      <c r="AM637" s="314"/>
      <c r="AN637" s="314"/>
      <c r="AO637" s="315"/>
      <c r="AP637" s="257"/>
      <c r="AQ637" s="257"/>
      <c r="AR637" s="257"/>
      <c r="AS637" s="315"/>
      <c r="AT637" s="257"/>
      <c r="AU637" s="257"/>
      <c r="AV637" s="316"/>
      <c r="AW637" s="314"/>
      <c r="AX637" s="315"/>
      <c r="AY637" s="315"/>
      <c r="AZ637" s="315"/>
      <c r="BA637" s="315"/>
      <c r="BB637" s="315"/>
      <c r="BC637" s="315"/>
      <c r="BD637" s="319"/>
      <c r="BE637" s="319"/>
      <c r="BF637" s="319"/>
      <c r="BG637" s="319"/>
      <c r="BH637" s="319"/>
      <c r="BI637" s="319"/>
      <c r="BJ637" s="319"/>
      <c r="BK637" s="315"/>
      <c r="BL637" s="316"/>
      <c r="BM637" s="314"/>
      <c r="BN637" s="319"/>
      <c r="BO637" s="315"/>
      <c r="BP637" s="314"/>
      <c r="BQ637" s="316"/>
      <c r="BR637" s="314"/>
      <c r="BS637" s="262"/>
      <c r="BT637" s="262"/>
    </row>
    <row r="638" spans="1:72" ht="45.75" customHeight="1">
      <c r="A638" s="342"/>
      <c r="B638" s="342"/>
      <c r="C638" s="342"/>
      <c r="D638" s="343"/>
      <c r="E638" s="342"/>
      <c r="F638" s="342"/>
      <c r="G638" s="344"/>
      <c r="H638" s="344"/>
      <c r="I638" s="344"/>
      <c r="J638" s="334"/>
      <c r="K638" s="335"/>
      <c r="L638" s="336"/>
      <c r="M638" s="336"/>
      <c r="N638" s="337"/>
      <c r="O638" s="337"/>
      <c r="P638" s="315"/>
      <c r="Q638" s="314"/>
      <c r="R638" s="317"/>
      <c r="S638" s="315"/>
      <c r="T638" s="315"/>
      <c r="U638" s="315"/>
      <c r="V638" s="258"/>
      <c r="W638" s="322"/>
      <c r="X638" s="318"/>
      <c r="Y638" s="315"/>
      <c r="Z638" s="318"/>
      <c r="AA638" s="314"/>
      <c r="AB638" s="336"/>
      <c r="AC638" s="314"/>
      <c r="AD638" s="316"/>
      <c r="AE638" s="315"/>
      <c r="AF638" s="315"/>
      <c r="AG638" s="315"/>
      <c r="AH638" s="315"/>
      <c r="AI638" s="377"/>
      <c r="AJ638" s="407"/>
      <c r="AK638" s="377"/>
      <c r="AL638" s="314"/>
      <c r="AM638" s="314"/>
      <c r="AN638" s="314"/>
      <c r="AO638" s="315"/>
      <c r="AP638" s="257"/>
      <c r="AQ638" s="257"/>
      <c r="AR638" s="257"/>
      <c r="AS638" s="315"/>
      <c r="AT638" s="257"/>
      <c r="AU638" s="257"/>
      <c r="AV638" s="316"/>
      <c r="AW638" s="314"/>
      <c r="AX638" s="315"/>
      <c r="AY638" s="315"/>
      <c r="AZ638" s="315"/>
      <c r="BA638" s="315"/>
      <c r="BB638" s="315"/>
      <c r="BC638" s="315"/>
      <c r="BD638" s="319"/>
      <c r="BE638" s="319"/>
      <c r="BF638" s="319"/>
      <c r="BG638" s="319"/>
      <c r="BH638" s="319"/>
      <c r="BI638" s="319"/>
      <c r="BJ638" s="319"/>
      <c r="BK638" s="315"/>
      <c r="BL638" s="316"/>
      <c r="BM638" s="314"/>
      <c r="BN638" s="319"/>
      <c r="BO638" s="315"/>
      <c r="BP638" s="314"/>
      <c r="BQ638" s="316"/>
      <c r="BR638" s="314"/>
      <c r="BS638" s="262"/>
      <c r="BT638" s="262"/>
    </row>
    <row r="639" spans="1:72" ht="45.75" customHeight="1">
      <c r="A639" s="342"/>
      <c r="B639" s="342"/>
      <c r="C639" s="342"/>
      <c r="D639" s="343"/>
      <c r="E639" s="342"/>
      <c r="F639" s="342"/>
      <c r="G639" s="344"/>
      <c r="H639" s="344"/>
      <c r="I639" s="344"/>
      <c r="J639" s="334"/>
      <c r="K639" s="335"/>
      <c r="L639" s="336"/>
      <c r="M639" s="336"/>
      <c r="N639" s="337"/>
      <c r="O639" s="337"/>
      <c r="P639" s="315"/>
      <c r="Q639" s="314"/>
      <c r="R639" s="317"/>
      <c r="S639" s="315"/>
      <c r="T639" s="315"/>
      <c r="U639" s="315"/>
      <c r="V639" s="258"/>
      <c r="W639" s="322"/>
      <c r="X639" s="318"/>
      <c r="Y639" s="315"/>
      <c r="Z639" s="318"/>
      <c r="AA639" s="314"/>
      <c r="AB639" s="336"/>
      <c r="AC639" s="314"/>
      <c r="AD639" s="316"/>
      <c r="AE639" s="315"/>
      <c r="AF639" s="315"/>
      <c r="AG639" s="315"/>
      <c r="AH639" s="315"/>
      <c r="AI639" s="377"/>
      <c r="AJ639" s="407"/>
      <c r="AK639" s="377"/>
      <c r="AL639" s="314"/>
      <c r="AM639" s="314"/>
      <c r="AN639" s="314"/>
      <c r="AO639" s="315"/>
      <c r="AP639" s="257"/>
      <c r="AQ639" s="257"/>
      <c r="AR639" s="257"/>
      <c r="AS639" s="315"/>
      <c r="AT639" s="257"/>
      <c r="AU639" s="257"/>
      <c r="AV639" s="316"/>
      <c r="AW639" s="314"/>
      <c r="AX639" s="315"/>
      <c r="AY639" s="315"/>
      <c r="AZ639" s="315"/>
      <c r="BA639" s="315"/>
      <c r="BB639" s="315"/>
      <c r="BC639" s="315"/>
      <c r="BD639" s="319"/>
      <c r="BE639" s="319"/>
      <c r="BF639" s="319"/>
      <c r="BG639" s="319"/>
      <c r="BH639" s="319"/>
      <c r="BI639" s="319"/>
      <c r="BJ639" s="319"/>
      <c r="BK639" s="315"/>
      <c r="BL639" s="316"/>
      <c r="BM639" s="314"/>
      <c r="BN639" s="319"/>
      <c r="BO639" s="315"/>
      <c r="BP639" s="314"/>
      <c r="BQ639" s="316"/>
      <c r="BR639" s="314"/>
      <c r="BS639" s="262"/>
      <c r="BT639" s="262"/>
    </row>
    <row r="640" spans="1:72" ht="45.75" customHeight="1">
      <c r="A640" s="342"/>
      <c r="B640" s="342"/>
      <c r="C640" s="342"/>
      <c r="D640" s="343"/>
      <c r="E640" s="342"/>
      <c r="F640" s="342"/>
      <c r="G640" s="344"/>
      <c r="H640" s="344"/>
      <c r="I640" s="344"/>
      <c r="J640" s="334"/>
      <c r="K640" s="335"/>
      <c r="L640" s="336"/>
      <c r="M640" s="336"/>
      <c r="N640" s="337"/>
      <c r="O640" s="337"/>
      <c r="P640" s="315"/>
      <c r="Q640" s="314"/>
      <c r="R640" s="317"/>
      <c r="S640" s="315"/>
      <c r="T640" s="315"/>
      <c r="U640" s="315"/>
      <c r="V640" s="258"/>
      <c r="W640" s="322"/>
      <c r="X640" s="318"/>
      <c r="Y640" s="315"/>
      <c r="Z640" s="318"/>
      <c r="AA640" s="314"/>
      <c r="AB640" s="336"/>
      <c r="AC640" s="314"/>
      <c r="AD640" s="316"/>
      <c r="AE640" s="315"/>
      <c r="AF640" s="315"/>
      <c r="AG640" s="315"/>
      <c r="AH640" s="315"/>
      <c r="AI640" s="377"/>
      <c r="AJ640" s="407"/>
      <c r="AK640" s="377"/>
      <c r="AL640" s="314"/>
      <c r="AM640" s="314"/>
      <c r="AN640" s="314"/>
      <c r="AO640" s="315"/>
      <c r="AP640" s="257"/>
      <c r="AQ640" s="257"/>
      <c r="AR640" s="257"/>
      <c r="AS640" s="315"/>
      <c r="AT640" s="257"/>
      <c r="AU640" s="257"/>
      <c r="AV640" s="316"/>
      <c r="AW640" s="314"/>
      <c r="AX640" s="315"/>
      <c r="AY640" s="315"/>
      <c r="AZ640" s="315"/>
      <c r="BA640" s="315"/>
      <c r="BB640" s="315"/>
      <c r="BC640" s="315"/>
      <c r="BD640" s="319"/>
      <c r="BE640" s="319"/>
      <c r="BF640" s="319"/>
      <c r="BG640" s="319"/>
      <c r="BH640" s="319"/>
      <c r="BI640" s="319"/>
      <c r="BJ640" s="319"/>
      <c r="BK640" s="315"/>
      <c r="BL640" s="316"/>
      <c r="BM640" s="314"/>
      <c r="BN640" s="319"/>
      <c r="BO640" s="315"/>
      <c r="BP640" s="314"/>
      <c r="BQ640" s="316"/>
      <c r="BR640" s="314"/>
      <c r="BS640" s="262"/>
      <c r="BT640" s="262"/>
    </row>
    <row r="641" spans="1:72" ht="45.75" customHeight="1">
      <c r="A641" s="342"/>
      <c r="B641" s="342"/>
      <c r="C641" s="342"/>
      <c r="D641" s="343"/>
      <c r="E641" s="342"/>
      <c r="F641" s="342"/>
      <c r="G641" s="344"/>
      <c r="H641" s="344"/>
      <c r="I641" s="344"/>
      <c r="J641" s="334"/>
      <c r="K641" s="335"/>
      <c r="L641" s="336"/>
      <c r="M641" s="336"/>
      <c r="N641" s="337"/>
      <c r="O641" s="337"/>
      <c r="P641" s="315"/>
      <c r="Q641" s="314"/>
      <c r="R641" s="317"/>
      <c r="S641" s="315"/>
      <c r="T641" s="315"/>
      <c r="U641" s="315"/>
      <c r="V641" s="258"/>
      <c r="W641" s="322"/>
      <c r="X641" s="318"/>
      <c r="Y641" s="315"/>
      <c r="Z641" s="318"/>
      <c r="AA641" s="314"/>
      <c r="AB641" s="336"/>
      <c r="AC641" s="314"/>
      <c r="AD641" s="316"/>
      <c r="AE641" s="315"/>
      <c r="AF641" s="315"/>
      <c r="AG641" s="315"/>
      <c r="AH641" s="315"/>
      <c r="AI641" s="377"/>
      <c r="AJ641" s="407"/>
      <c r="AK641" s="377"/>
      <c r="AL641" s="314"/>
      <c r="AM641" s="314"/>
      <c r="AN641" s="314"/>
      <c r="AO641" s="315"/>
      <c r="AP641" s="257"/>
      <c r="AQ641" s="257"/>
      <c r="AR641" s="257"/>
      <c r="AS641" s="315"/>
      <c r="AT641" s="257"/>
      <c r="AU641" s="257"/>
      <c r="AV641" s="316"/>
      <c r="AW641" s="314"/>
      <c r="AX641" s="315"/>
      <c r="AY641" s="315"/>
      <c r="AZ641" s="315"/>
      <c r="BA641" s="315"/>
      <c r="BB641" s="315"/>
      <c r="BC641" s="315"/>
      <c r="BD641" s="319"/>
      <c r="BE641" s="319"/>
      <c r="BF641" s="319"/>
      <c r="BG641" s="319"/>
      <c r="BH641" s="319"/>
      <c r="BI641" s="319"/>
      <c r="BJ641" s="319"/>
      <c r="BK641" s="315"/>
      <c r="BL641" s="316"/>
      <c r="BM641" s="314"/>
      <c r="BN641" s="319"/>
      <c r="BO641" s="315"/>
      <c r="BP641" s="314"/>
      <c r="BQ641" s="316"/>
      <c r="BR641" s="314"/>
      <c r="BS641" s="262"/>
      <c r="BT641" s="262"/>
    </row>
    <row r="642" spans="1:72" ht="45.75" customHeight="1">
      <c r="A642" s="342"/>
      <c r="B642" s="342"/>
      <c r="C642" s="342"/>
      <c r="D642" s="343"/>
      <c r="E642" s="342"/>
      <c r="F642" s="342"/>
      <c r="G642" s="344"/>
      <c r="H642" s="344"/>
      <c r="I642" s="344"/>
      <c r="J642" s="334"/>
      <c r="K642" s="335"/>
      <c r="L642" s="336"/>
      <c r="M642" s="336"/>
      <c r="N642" s="337"/>
      <c r="O642" s="337"/>
      <c r="P642" s="315"/>
      <c r="Q642" s="314"/>
      <c r="R642" s="317"/>
      <c r="S642" s="315"/>
      <c r="T642" s="315"/>
      <c r="U642" s="315"/>
      <c r="V642" s="258"/>
      <c r="W642" s="322"/>
      <c r="X642" s="318"/>
      <c r="Y642" s="315"/>
      <c r="Z642" s="318"/>
      <c r="AA642" s="314"/>
      <c r="AB642" s="336"/>
      <c r="AC642" s="314"/>
      <c r="AD642" s="316"/>
      <c r="AE642" s="315"/>
      <c r="AF642" s="315"/>
      <c r="AG642" s="315"/>
      <c r="AH642" s="315"/>
      <c r="AI642" s="377"/>
      <c r="AJ642" s="407"/>
      <c r="AK642" s="377"/>
      <c r="AL642" s="314"/>
      <c r="AM642" s="314"/>
      <c r="AN642" s="314"/>
      <c r="AO642" s="315"/>
      <c r="AP642" s="257"/>
      <c r="AQ642" s="257"/>
      <c r="AR642" s="257"/>
      <c r="AS642" s="315"/>
      <c r="AT642" s="257"/>
      <c r="AU642" s="257"/>
      <c r="AV642" s="316"/>
      <c r="AW642" s="314"/>
      <c r="AX642" s="315"/>
      <c r="AY642" s="315"/>
      <c r="AZ642" s="315"/>
      <c r="BA642" s="315"/>
      <c r="BB642" s="315"/>
      <c r="BC642" s="315"/>
      <c r="BD642" s="319"/>
      <c r="BE642" s="319"/>
      <c r="BF642" s="319"/>
      <c r="BG642" s="319"/>
      <c r="BH642" s="319"/>
      <c r="BI642" s="319"/>
      <c r="BJ642" s="319"/>
      <c r="BK642" s="315"/>
      <c r="BL642" s="316"/>
      <c r="BM642" s="314"/>
      <c r="BN642" s="319"/>
      <c r="BO642" s="315"/>
      <c r="BP642" s="314"/>
      <c r="BQ642" s="316"/>
      <c r="BR642" s="314"/>
      <c r="BS642" s="262"/>
      <c r="BT642" s="262"/>
    </row>
    <row r="643" spans="1:72" ht="45.75" customHeight="1">
      <c r="A643" s="342"/>
      <c r="B643" s="342"/>
      <c r="C643" s="342"/>
      <c r="D643" s="343"/>
      <c r="E643" s="342"/>
      <c r="F643" s="342"/>
      <c r="G643" s="344"/>
      <c r="H643" s="344"/>
      <c r="I643" s="344"/>
      <c r="J643" s="334"/>
      <c r="K643" s="335"/>
      <c r="L643" s="336"/>
      <c r="M643" s="336"/>
      <c r="N643" s="337"/>
      <c r="O643" s="337"/>
      <c r="P643" s="315"/>
      <c r="Q643" s="314"/>
      <c r="R643" s="317"/>
      <c r="S643" s="315"/>
      <c r="T643" s="315"/>
      <c r="U643" s="315"/>
      <c r="V643" s="258"/>
      <c r="W643" s="322"/>
      <c r="X643" s="318"/>
      <c r="Y643" s="315"/>
      <c r="Z643" s="318"/>
      <c r="AA643" s="314"/>
      <c r="AB643" s="336"/>
      <c r="AC643" s="314"/>
      <c r="AD643" s="316"/>
      <c r="AE643" s="315"/>
      <c r="AF643" s="315"/>
      <c r="AG643" s="315"/>
      <c r="AH643" s="315"/>
      <c r="AI643" s="377"/>
      <c r="AJ643" s="407"/>
      <c r="AK643" s="377"/>
      <c r="AL643" s="314"/>
      <c r="AM643" s="314"/>
      <c r="AN643" s="314"/>
      <c r="AO643" s="315"/>
      <c r="AP643" s="257"/>
      <c r="AQ643" s="257"/>
      <c r="AR643" s="257"/>
      <c r="AS643" s="315"/>
      <c r="AT643" s="257"/>
      <c r="AU643" s="257"/>
      <c r="AV643" s="316"/>
      <c r="AW643" s="314"/>
      <c r="AX643" s="315"/>
      <c r="AY643" s="315"/>
      <c r="AZ643" s="315"/>
      <c r="BA643" s="315"/>
      <c r="BB643" s="315"/>
      <c r="BC643" s="315"/>
      <c r="BD643" s="319"/>
      <c r="BE643" s="319"/>
      <c r="BF643" s="319"/>
      <c r="BG643" s="319"/>
      <c r="BH643" s="319"/>
      <c r="BI643" s="319"/>
      <c r="BJ643" s="319"/>
      <c r="BK643" s="315"/>
      <c r="BL643" s="316"/>
      <c r="BM643" s="314"/>
      <c r="BN643" s="319"/>
      <c r="BO643" s="315"/>
      <c r="BP643" s="314"/>
      <c r="BQ643" s="316"/>
      <c r="BR643" s="314"/>
      <c r="BS643" s="262"/>
      <c r="BT643" s="262"/>
    </row>
    <row r="644" spans="1:72" ht="45.75" customHeight="1">
      <c r="A644" s="342"/>
      <c r="B644" s="342"/>
      <c r="C644" s="342"/>
      <c r="D644" s="343"/>
      <c r="E644" s="342"/>
      <c r="F644" s="342"/>
      <c r="G644" s="344"/>
      <c r="H644" s="344"/>
      <c r="I644" s="344"/>
      <c r="J644" s="334"/>
      <c r="K644" s="335"/>
      <c r="L644" s="336"/>
      <c r="M644" s="336"/>
      <c r="N644" s="337"/>
      <c r="O644" s="337"/>
      <c r="P644" s="315"/>
      <c r="Q644" s="314"/>
      <c r="R644" s="317"/>
      <c r="S644" s="315"/>
      <c r="T644" s="315"/>
      <c r="U644" s="315"/>
      <c r="V644" s="258"/>
      <c r="W644" s="322"/>
      <c r="X644" s="318"/>
      <c r="Y644" s="315"/>
      <c r="Z644" s="318"/>
      <c r="AA644" s="314"/>
      <c r="AB644" s="336"/>
      <c r="AC644" s="314"/>
      <c r="AD644" s="316"/>
      <c r="AE644" s="315"/>
      <c r="AF644" s="315"/>
      <c r="AG644" s="315"/>
      <c r="AH644" s="315"/>
      <c r="AI644" s="377"/>
      <c r="AJ644" s="407"/>
      <c r="AK644" s="377"/>
      <c r="AL644" s="314"/>
      <c r="AM644" s="314"/>
      <c r="AN644" s="314"/>
      <c r="AO644" s="315"/>
      <c r="AP644" s="257"/>
      <c r="AQ644" s="257"/>
      <c r="AR644" s="257"/>
      <c r="AS644" s="315"/>
      <c r="AT644" s="257"/>
      <c r="AU644" s="257"/>
      <c r="AV644" s="316"/>
      <c r="AW644" s="314"/>
      <c r="AX644" s="315"/>
      <c r="AY644" s="315"/>
      <c r="AZ644" s="315"/>
      <c r="BA644" s="315"/>
      <c r="BB644" s="315"/>
      <c r="BC644" s="315"/>
      <c r="BD644" s="319"/>
      <c r="BE644" s="319"/>
      <c r="BF644" s="319"/>
      <c r="BG644" s="319"/>
      <c r="BH644" s="319"/>
      <c r="BI644" s="319"/>
      <c r="BJ644" s="319"/>
      <c r="BK644" s="315"/>
      <c r="BL644" s="316"/>
      <c r="BM644" s="314"/>
      <c r="BN644" s="319"/>
      <c r="BO644" s="315"/>
      <c r="BP644" s="314"/>
      <c r="BQ644" s="316"/>
      <c r="BR644" s="314"/>
      <c r="BS644" s="262"/>
      <c r="BT644" s="262"/>
    </row>
    <row r="645" spans="1:72" ht="45.75" customHeight="1">
      <c r="A645" s="342"/>
      <c r="B645" s="342"/>
      <c r="C645" s="342"/>
      <c r="D645" s="343"/>
      <c r="E645" s="342"/>
      <c r="F645" s="342"/>
      <c r="G645" s="344"/>
      <c r="H645" s="344"/>
      <c r="I645" s="344"/>
      <c r="J645" s="334"/>
      <c r="K645" s="335"/>
      <c r="L645" s="336"/>
      <c r="M645" s="336"/>
      <c r="N645" s="337"/>
      <c r="O645" s="337"/>
      <c r="P645" s="315"/>
      <c r="Q645" s="314"/>
      <c r="R645" s="317"/>
      <c r="S645" s="315"/>
      <c r="T645" s="315"/>
      <c r="U645" s="315"/>
      <c r="V645" s="258"/>
      <c r="W645" s="322"/>
      <c r="X645" s="318"/>
      <c r="Y645" s="315"/>
      <c r="Z645" s="318"/>
      <c r="AA645" s="314"/>
      <c r="AB645" s="336"/>
      <c r="AC645" s="314"/>
      <c r="AD645" s="316"/>
      <c r="AE645" s="315"/>
      <c r="AF645" s="315"/>
      <c r="AG645" s="315"/>
      <c r="AH645" s="315"/>
      <c r="AI645" s="377"/>
      <c r="AJ645" s="407"/>
      <c r="AK645" s="377"/>
      <c r="AL645" s="314"/>
      <c r="AM645" s="314"/>
      <c r="AN645" s="314"/>
      <c r="AO645" s="315"/>
      <c r="AP645" s="257"/>
      <c r="AQ645" s="257"/>
      <c r="AR645" s="257"/>
      <c r="AS645" s="315"/>
      <c r="AT645" s="257"/>
      <c r="AU645" s="257"/>
      <c r="AV645" s="316"/>
      <c r="AW645" s="314"/>
      <c r="AX645" s="315"/>
      <c r="AY645" s="315"/>
      <c r="AZ645" s="315"/>
      <c r="BA645" s="315"/>
      <c r="BB645" s="315"/>
      <c r="BC645" s="315"/>
      <c r="BD645" s="319"/>
      <c r="BE645" s="319"/>
      <c r="BF645" s="319"/>
      <c r="BG645" s="319"/>
      <c r="BH645" s="319"/>
      <c r="BI645" s="319"/>
      <c r="BJ645" s="319"/>
      <c r="BK645" s="315"/>
      <c r="BL645" s="316"/>
      <c r="BM645" s="314"/>
      <c r="BN645" s="319"/>
      <c r="BO645" s="315"/>
      <c r="BP645" s="314"/>
      <c r="BQ645" s="316"/>
      <c r="BR645" s="314"/>
      <c r="BS645" s="262"/>
      <c r="BT645" s="262"/>
    </row>
    <row r="646" spans="1:72" ht="45.75" customHeight="1">
      <c r="A646" s="342"/>
      <c r="B646" s="342"/>
      <c r="C646" s="342"/>
      <c r="D646" s="343"/>
      <c r="E646" s="342"/>
      <c r="F646" s="342"/>
      <c r="G646" s="344"/>
      <c r="H646" s="344"/>
      <c r="I646" s="344"/>
      <c r="J646" s="334"/>
      <c r="K646" s="335"/>
      <c r="L646" s="336"/>
      <c r="M646" s="336"/>
      <c r="N646" s="337"/>
      <c r="O646" s="337"/>
      <c r="P646" s="315"/>
      <c r="Q646" s="314"/>
      <c r="R646" s="317"/>
      <c r="S646" s="315"/>
      <c r="T646" s="315"/>
      <c r="U646" s="315"/>
      <c r="V646" s="258"/>
      <c r="W646" s="322"/>
      <c r="X646" s="318"/>
      <c r="Y646" s="315"/>
      <c r="Z646" s="318"/>
      <c r="AA646" s="314"/>
      <c r="AB646" s="336"/>
      <c r="AC646" s="314"/>
      <c r="AD646" s="316"/>
      <c r="AE646" s="315"/>
      <c r="AF646" s="315"/>
      <c r="AG646" s="315"/>
      <c r="AH646" s="315"/>
      <c r="AI646" s="377"/>
      <c r="AJ646" s="407"/>
      <c r="AK646" s="377"/>
      <c r="AL646" s="314"/>
      <c r="AM646" s="314"/>
      <c r="AN646" s="314"/>
      <c r="AO646" s="315"/>
      <c r="AP646" s="257"/>
      <c r="AQ646" s="257"/>
      <c r="AR646" s="257"/>
      <c r="AS646" s="315"/>
      <c r="AT646" s="257"/>
      <c r="AU646" s="257"/>
      <c r="AV646" s="316"/>
      <c r="AW646" s="314"/>
      <c r="AX646" s="315"/>
      <c r="AY646" s="315"/>
      <c r="AZ646" s="315"/>
      <c r="BA646" s="315"/>
      <c r="BB646" s="315"/>
      <c r="BC646" s="315"/>
      <c r="BD646" s="319"/>
      <c r="BE646" s="319"/>
      <c r="BF646" s="319"/>
      <c r="BG646" s="319"/>
      <c r="BH646" s="319"/>
      <c r="BI646" s="319"/>
      <c r="BJ646" s="319"/>
      <c r="BK646" s="315"/>
      <c r="BL646" s="316"/>
      <c r="BM646" s="314"/>
      <c r="BN646" s="319"/>
      <c r="BO646" s="315"/>
      <c r="BP646" s="314"/>
      <c r="BQ646" s="316"/>
      <c r="BR646" s="314"/>
      <c r="BS646" s="262"/>
      <c r="BT646" s="262"/>
    </row>
    <row r="647" spans="1:72" ht="45.75" customHeight="1">
      <c r="A647" s="342"/>
      <c r="B647" s="342"/>
      <c r="C647" s="342"/>
      <c r="D647" s="343"/>
      <c r="E647" s="342"/>
      <c r="F647" s="342"/>
      <c r="G647" s="344"/>
      <c r="H647" s="344"/>
      <c r="I647" s="344"/>
      <c r="J647" s="334"/>
      <c r="K647" s="335"/>
      <c r="L647" s="336"/>
      <c r="M647" s="336"/>
      <c r="N647" s="337"/>
      <c r="O647" s="337"/>
      <c r="P647" s="315"/>
      <c r="Q647" s="314"/>
      <c r="R647" s="317"/>
      <c r="S647" s="315"/>
      <c r="T647" s="315"/>
      <c r="U647" s="315"/>
      <c r="V647" s="258"/>
      <c r="W647" s="322"/>
      <c r="X647" s="318"/>
      <c r="Y647" s="315"/>
      <c r="Z647" s="318"/>
      <c r="AA647" s="314"/>
      <c r="AB647" s="336"/>
      <c r="AC647" s="314"/>
      <c r="AD647" s="316"/>
      <c r="AE647" s="315"/>
      <c r="AF647" s="315"/>
      <c r="AG647" s="315"/>
      <c r="AH647" s="315"/>
      <c r="AI647" s="377"/>
      <c r="AJ647" s="407"/>
      <c r="AK647" s="377"/>
      <c r="AL647" s="314"/>
      <c r="AM647" s="314"/>
      <c r="AN647" s="314"/>
      <c r="AO647" s="315"/>
      <c r="AP647" s="257"/>
      <c r="AQ647" s="257"/>
      <c r="AR647" s="257"/>
      <c r="AS647" s="315"/>
      <c r="AT647" s="257"/>
      <c r="AU647" s="257"/>
      <c r="AV647" s="316"/>
      <c r="AW647" s="314"/>
      <c r="AX647" s="315"/>
      <c r="AY647" s="315"/>
      <c r="AZ647" s="315"/>
      <c r="BA647" s="315"/>
      <c r="BB647" s="315"/>
      <c r="BC647" s="315"/>
      <c r="BD647" s="319"/>
      <c r="BE647" s="319"/>
      <c r="BF647" s="319"/>
      <c r="BG647" s="319"/>
      <c r="BH647" s="319"/>
      <c r="BI647" s="319"/>
      <c r="BJ647" s="319"/>
      <c r="BK647" s="315"/>
      <c r="BL647" s="316"/>
      <c r="BM647" s="314"/>
      <c r="BN647" s="319"/>
      <c r="BO647" s="315"/>
      <c r="BP647" s="314"/>
      <c r="BQ647" s="316"/>
      <c r="BR647" s="314"/>
      <c r="BS647" s="262"/>
      <c r="BT647" s="262"/>
    </row>
    <row r="648" spans="1:72" ht="45.75" customHeight="1">
      <c r="A648" s="342"/>
      <c r="B648" s="342"/>
      <c r="C648" s="342"/>
      <c r="D648" s="343"/>
      <c r="E648" s="342"/>
      <c r="F648" s="342"/>
      <c r="G648" s="344"/>
      <c r="H648" s="344"/>
      <c r="I648" s="344"/>
      <c r="J648" s="334"/>
      <c r="K648" s="335"/>
      <c r="L648" s="336"/>
      <c r="M648" s="336"/>
      <c r="N648" s="337"/>
      <c r="O648" s="337"/>
      <c r="P648" s="315"/>
      <c r="Q648" s="314"/>
      <c r="R648" s="317"/>
      <c r="S648" s="315"/>
      <c r="T648" s="315"/>
      <c r="U648" s="315"/>
      <c r="V648" s="258"/>
      <c r="W648" s="322"/>
      <c r="X648" s="318"/>
      <c r="Y648" s="315"/>
      <c r="Z648" s="318"/>
      <c r="AA648" s="314"/>
      <c r="AB648" s="336"/>
      <c r="AC648" s="314"/>
      <c r="AD648" s="316"/>
      <c r="AE648" s="315"/>
      <c r="AF648" s="315"/>
      <c r="AG648" s="315"/>
      <c r="AH648" s="315"/>
      <c r="AI648" s="377"/>
      <c r="AJ648" s="407"/>
      <c r="AK648" s="377"/>
      <c r="AL648" s="314"/>
      <c r="AM648" s="314"/>
      <c r="AN648" s="314"/>
      <c r="AO648" s="315"/>
      <c r="AP648" s="257"/>
      <c r="AQ648" s="257"/>
      <c r="AR648" s="257"/>
      <c r="AS648" s="315"/>
      <c r="AT648" s="257"/>
      <c r="AU648" s="257"/>
      <c r="AV648" s="316"/>
      <c r="AW648" s="314"/>
      <c r="AX648" s="315"/>
      <c r="AY648" s="315"/>
      <c r="AZ648" s="315"/>
      <c r="BA648" s="315"/>
      <c r="BB648" s="315"/>
      <c r="BC648" s="315"/>
      <c r="BD648" s="319"/>
      <c r="BE648" s="319"/>
      <c r="BF648" s="319"/>
      <c r="BG648" s="319"/>
      <c r="BH648" s="319"/>
      <c r="BI648" s="319"/>
      <c r="BJ648" s="319"/>
      <c r="BK648" s="315"/>
      <c r="BL648" s="316"/>
      <c r="BM648" s="314"/>
      <c r="BN648" s="319"/>
      <c r="BO648" s="315"/>
      <c r="BP648" s="314"/>
      <c r="BQ648" s="316"/>
      <c r="BR648" s="314"/>
      <c r="BS648" s="262"/>
      <c r="BT648" s="262"/>
    </row>
    <row r="649" spans="1:72" ht="45.75" customHeight="1">
      <c r="A649" s="342"/>
      <c r="B649" s="342"/>
      <c r="C649" s="342"/>
      <c r="D649" s="343"/>
      <c r="E649" s="342"/>
      <c r="F649" s="342"/>
      <c r="G649" s="344"/>
      <c r="H649" s="344"/>
      <c r="I649" s="344"/>
      <c r="J649" s="334"/>
      <c r="K649" s="335"/>
      <c r="L649" s="336"/>
      <c r="M649" s="336"/>
      <c r="N649" s="337"/>
      <c r="O649" s="337"/>
      <c r="P649" s="315"/>
      <c r="Q649" s="314"/>
      <c r="R649" s="317"/>
      <c r="S649" s="315"/>
      <c r="T649" s="315"/>
      <c r="U649" s="315"/>
      <c r="V649" s="258"/>
      <c r="W649" s="322"/>
      <c r="X649" s="318"/>
      <c r="Y649" s="315"/>
      <c r="Z649" s="318"/>
      <c r="AA649" s="314"/>
      <c r="AB649" s="336"/>
      <c r="AC649" s="314"/>
      <c r="AD649" s="316"/>
      <c r="AE649" s="315"/>
      <c r="AF649" s="315"/>
      <c r="AG649" s="315"/>
      <c r="AH649" s="315"/>
      <c r="AI649" s="377"/>
      <c r="AJ649" s="407"/>
      <c r="AK649" s="377"/>
      <c r="AL649" s="314"/>
      <c r="AM649" s="314"/>
      <c r="AN649" s="314"/>
      <c r="AO649" s="315"/>
      <c r="AP649" s="257"/>
      <c r="AQ649" s="257"/>
      <c r="AR649" s="257"/>
      <c r="AS649" s="315"/>
      <c r="AT649" s="257"/>
      <c r="AU649" s="257"/>
      <c r="AV649" s="316"/>
      <c r="AW649" s="314"/>
      <c r="AX649" s="315"/>
      <c r="AY649" s="315"/>
      <c r="AZ649" s="315"/>
      <c r="BA649" s="315"/>
      <c r="BB649" s="315"/>
      <c r="BC649" s="315"/>
      <c r="BD649" s="319"/>
      <c r="BE649" s="319"/>
      <c r="BF649" s="319"/>
      <c r="BG649" s="319"/>
      <c r="BH649" s="319"/>
      <c r="BI649" s="319"/>
      <c r="BJ649" s="319"/>
      <c r="BK649" s="315"/>
      <c r="BL649" s="316"/>
      <c r="BM649" s="314"/>
      <c r="BN649" s="319"/>
      <c r="BO649" s="315"/>
      <c r="BP649" s="314"/>
      <c r="BQ649" s="316"/>
      <c r="BR649" s="314"/>
      <c r="BS649" s="262"/>
      <c r="BT649" s="262"/>
    </row>
    <row r="650" spans="1:72" ht="45.75" customHeight="1">
      <c r="A650" s="342"/>
      <c r="B650" s="342"/>
      <c r="C650" s="342"/>
      <c r="D650" s="343"/>
      <c r="E650" s="342"/>
      <c r="F650" s="342"/>
      <c r="G650" s="344"/>
      <c r="H650" s="344"/>
      <c r="I650" s="344"/>
      <c r="J650" s="334"/>
      <c r="K650" s="335"/>
      <c r="L650" s="336"/>
      <c r="M650" s="336"/>
      <c r="N650" s="337"/>
      <c r="O650" s="337"/>
      <c r="P650" s="315"/>
      <c r="Q650" s="314"/>
      <c r="R650" s="317"/>
      <c r="S650" s="315"/>
      <c r="T650" s="315"/>
      <c r="U650" s="315"/>
      <c r="V650" s="258"/>
      <c r="W650" s="322"/>
      <c r="X650" s="318"/>
      <c r="Y650" s="315"/>
      <c r="Z650" s="318"/>
      <c r="AA650" s="314"/>
      <c r="AB650" s="336"/>
      <c r="AC650" s="314"/>
      <c r="AD650" s="316"/>
      <c r="AE650" s="315"/>
      <c r="AF650" s="315"/>
      <c r="AG650" s="315"/>
      <c r="AH650" s="315"/>
      <c r="AI650" s="377"/>
      <c r="AJ650" s="407"/>
      <c r="AK650" s="377"/>
      <c r="AL650" s="314"/>
      <c r="AM650" s="314"/>
      <c r="AN650" s="314"/>
      <c r="AO650" s="315"/>
      <c r="AP650" s="257"/>
      <c r="AQ650" s="257"/>
      <c r="AR650" s="257"/>
      <c r="AS650" s="315"/>
      <c r="AT650" s="257"/>
      <c r="AU650" s="257"/>
      <c r="AV650" s="316"/>
      <c r="AW650" s="314"/>
      <c r="AX650" s="315"/>
      <c r="AY650" s="315"/>
      <c r="AZ650" s="315"/>
      <c r="BA650" s="315"/>
      <c r="BB650" s="315"/>
      <c r="BC650" s="315"/>
      <c r="BD650" s="319"/>
      <c r="BE650" s="319"/>
      <c r="BF650" s="319"/>
      <c r="BG650" s="319"/>
      <c r="BH650" s="319"/>
      <c r="BI650" s="319"/>
      <c r="BJ650" s="319"/>
      <c r="BK650" s="315"/>
      <c r="BL650" s="316"/>
      <c r="BM650" s="314"/>
      <c r="BN650" s="319"/>
      <c r="BO650" s="315"/>
      <c r="BP650" s="314"/>
      <c r="BQ650" s="316"/>
      <c r="BR650" s="314"/>
      <c r="BS650" s="262"/>
      <c r="BT650" s="262"/>
    </row>
    <row r="651" spans="1:72" ht="45.75" customHeight="1">
      <c r="A651" s="342"/>
      <c r="B651" s="342"/>
      <c r="C651" s="342"/>
      <c r="D651" s="343"/>
      <c r="E651" s="342"/>
      <c r="F651" s="342"/>
      <c r="G651" s="344"/>
      <c r="H651" s="344"/>
      <c r="I651" s="344"/>
      <c r="J651" s="334"/>
      <c r="K651" s="335"/>
      <c r="L651" s="336"/>
      <c r="M651" s="336"/>
      <c r="N651" s="337"/>
      <c r="O651" s="337"/>
      <c r="P651" s="315"/>
      <c r="Q651" s="314"/>
      <c r="R651" s="317"/>
      <c r="S651" s="315"/>
      <c r="T651" s="315"/>
      <c r="U651" s="315"/>
      <c r="V651" s="258"/>
      <c r="W651" s="322"/>
      <c r="X651" s="318"/>
      <c r="Y651" s="315"/>
      <c r="Z651" s="318"/>
      <c r="AA651" s="314"/>
      <c r="AB651" s="336"/>
      <c r="AC651" s="314"/>
      <c r="AD651" s="316"/>
      <c r="AE651" s="315"/>
      <c r="AF651" s="315"/>
      <c r="AG651" s="315"/>
      <c r="AH651" s="315"/>
      <c r="AI651" s="377"/>
      <c r="AJ651" s="407"/>
      <c r="AK651" s="377"/>
      <c r="AL651" s="314"/>
      <c r="AM651" s="314"/>
      <c r="AN651" s="314"/>
      <c r="AO651" s="315"/>
      <c r="AP651" s="257"/>
      <c r="AQ651" s="257"/>
      <c r="AR651" s="257"/>
      <c r="AS651" s="315"/>
      <c r="AT651" s="257"/>
      <c r="AU651" s="257"/>
      <c r="AV651" s="316"/>
      <c r="AW651" s="314"/>
      <c r="AX651" s="315"/>
      <c r="AY651" s="315"/>
      <c r="AZ651" s="315"/>
      <c r="BA651" s="315"/>
      <c r="BB651" s="315"/>
      <c r="BC651" s="315"/>
      <c r="BD651" s="319"/>
      <c r="BE651" s="319"/>
      <c r="BF651" s="319"/>
      <c r="BG651" s="319"/>
      <c r="BH651" s="319"/>
      <c r="BI651" s="319"/>
      <c r="BJ651" s="319"/>
      <c r="BK651" s="315"/>
      <c r="BL651" s="316"/>
      <c r="BM651" s="314"/>
      <c r="BN651" s="319"/>
      <c r="BO651" s="315"/>
      <c r="BP651" s="314"/>
      <c r="BQ651" s="316"/>
      <c r="BR651" s="314"/>
      <c r="BS651" s="262"/>
      <c r="BT651" s="262"/>
    </row>
    <row r="652" spans="1:72" ht="45.75" customHeight="1">
      <c r="A652" s="342"/>
      <c r="B652" s="342"/>
      <c r="C652" s="342"/>
      <c r="D652" s="343"/>
      <c r="E652" s="342"/>
      <c r="F652" s="342"/>
      <c r="G652" s="344"/>
      <c r="H652" s="344"/>
      <c r="I652" s="344"/>
      <c r="J652" s="334"/>
      <c r="K652" s="335"/>
      <c r="L652" s="336"/>
      <c r="M652" s="336"/>
      <c r="N652" s="337"/>
      <c r="O652" s="337"/>
      <c r="P652" s="315"/>
      <c r="Q652" s="314"/>
      <c r="R652" s="317"/>
      <c r="S652" s="315"/>
      <c r="T652" s="315"/>
      <c r="U652" s="315"/>
      <c r="V652" s="258"/>
      <c r="W652" s="322"/>
      <c r="X652" s="318"/>
      <c r="Y652" s="315"/>
      <c r="Z652" s="318"/>
      <c r="AA652" s="314"/>
      <c r="AB652" s="336"/>
      <c r="AC652" s="314"/>
      <c r="AD652" s="316"/>
      <c r="AE652" s="315"/>
      <c r="AF652" s="315"/>
      <c r="AG652" s="315"/>
      <c r="AH652" s="315"/>
      <c r="AI652" s="377"/>
      <c r="AJ652" s="407"/>
      <c r="AK652" s="377"/>
      <c r="AL652" s="314"/>
      <c r="AM652" s="314"/>
      <c r="AN652" s="314"/>
      <c r="AO652" s="315"/>
      <c r="AP652" s="257"/>
      <c r="AQ652" s="257"/>
      <c r="AR652" s="257"/>
      <c r="AS652" s="315"/>
      <c r="AT652" s="257"/>
      <c r="AU652" s="257"/>
      <c r="AV652" s="316"/>
      <c r="AW652" s="314"/>
      <c r="AX652" s="315"/>
      <c r="AY652" s="315"/>
      <c r="AZ652" s="315"/>
      <c r="BA652" s="315"/>
      <c r="BB652" s="315"/>
      <c r="BC652" s="315"/>
      <c r="BD652" s="319"/>
      <c r="BE652" s="319"/>
      <c r="BF652" s="319"/>
      <c r="BG652" s="319"/>
      <c r="BH652" s="319"/>
      <c r="BI652" s="319"/>
      <c r="BJ652" s="319"/>
      <c r="BK652" s="315"/>
      <c r="BL652" s="316"/>
      <c r="BM652" s="314"/>
      <c r="BN652" s="319"/>
      <c r="BO652" s="315"/>
      <c r="BP652" s="314"/>
      <c r="BQ652" s="316"/>
      <c r="BR652" s="314"/>
      <c r="BS652" s="262"/>
      <c r="BT652" s="262"/>
    </row>
    <row r="653" spans="1:72" ht="45.75" customHeight="1">
      <c r="A653" s="342"/>
      <c r="B653" s="342"/>
      <c r="C653" s="342"/>
      <c r="D653" s="343"/>
      <c r="E653" s="342"/>
      <c r="F653" s="342"/>
      <c r="G653" s="344"/>
      <c r="H653" s="344"/>
      <c r="I653" s="344"/>
      <c r="J653" s="334"/>
      <c r="K653" s="335"/>
      <c r="L653" s="336"/>
      <c r="M653" s="336"/>
      <c r="N653" s="337"/>
      <c r="O653" s="337"/>
      <c r="P653" s="315"/>
      <c r="Q653" s="314"/>
      <c r="R653" s="317"/>
      <c r="S653" s="315"/>
      <c r="T653" s="315"/>
      <c r="U653" s="315"/>
      <c r="V653" s="258"/>
      <c r="W653" s="322"/>
      <c r="X653" s="318"/>
      <c r="Y653" s="315"/>
      <c r="Z653" s="318"/>
      <c r="AA653" s="314"/>
      <c r="AB653" s="336"/>
      <c r="AC653" s="314"/>
      <c r="AD653" s="316"/>
      <c r="AE653" s="315"/>
      <c r="AF653" s="315"/>
      <c r="AG653" s="315"/>
      <c r="AH653" s="315"/>
      <c r="AI653" s="377"/>
      <c r="AJ653" s="407"/>
      <c r="AK653" s="377"/>
      <c r="AL653" s="314"/>
      <c r="AM653" s="314"/>
      <c r="AN653" s="314"/>
      <c r="AO653" s="315"/>
      <c r="AP653" s="257"/>
      <c r="AQ653" s="257"/>
      <c r="AR653" s="257"/>
      <c r="AS653" s="315"/>
      <c r="AT653" s="257"/>
      <c r="AU653" s="257"/>
      <c r="AV653" s="316"/>
      <c r="AW653" s="314"/>
      <c r="AX653" s="315"/>
      <c r="AY653" s="315"/>
      <c r="AZ653" s="315"/>
      <c r="BA653" s="315"/>
      <c r="BB653" s="315"/>
      <c r="BC653" s="315"/>
      <c r="BD653" s="319"/>
      <c r="BE653" s="319"/>
      <c r="BF653" s="319"/>
      <c r="BG653" s="319"/>
      <c r="BH653" s="319"/>
      <c r="BI653" s="319"/>
      <c r="BJ653" s="319"/>
      <c r="BK653" s="315"/>
      <c r="BL653" s="316"/>
      <c r="BM653" s="314"/>
      <c r="BN653" s="319"/>
      <c r="BO653" s="315"/>
      <c r="BP653" s="314"/>
      <c r="BQ653" s="316"/>
      <c r="BR653" s="314"/>
      <c r="BS653" s="262"/>
      <c r="BT653" s="262"/>
    </row>
    <row r="654" spans="1:72" ht="45.75" customHeight="1">
      <c r="A654" s="342"/>
      <c r="B654" s="342"/>
      <c r="C654" s="342"/>
      <c r="D654" s="343"/>
      <c r="E654" s="342"/>
      <c r="F654" s="342"/>
      <c r="G654" s="344"/>
      <c r="H654" s="344"/>
      <c r="I654" s="344"/>
      <c r="J654" s="334"/>
      <c r="K654" s="335"/>
      <c r="L654" s="336"/>
      <c r="M654" s="336"/>
      <c r="N654" s="337"/>
      <c r="O654" s="337"/>
      <c r="P654" s="315"/>
      <c r="Q654" s="314"/>
      <c r="R654" s="317"/>
      <c r="S654" s="315"/>
      <c r="T654" s="315"/>
      <c r="U654" s="315"/>
      <c r="V654" s="258"/>
      <c r="W654" s="322"/>
      <c r="X654" s="318"/>
      <c r="Y654" s="315"/>
      <c r="Z654" s="318"/>
      <c r="AA654" s="314"/>
      <c r="AB654" s="336"/>
      <c r="AC654" s="314"/>
      <c r="AD654" s="316"/>
      <c r="AE654" s="315"/>
      <c r="AF654" s="315"/>
      <c r="AG654" s="315"/>
      <c r="AH654" s="315"/>
      <c r="AI654" s="377"/>
      <c r="AJ654" s="407"/>
      <c r="AK654" s="377"/>
      <c r="AL654" s="314"/>
      <c r="AM654" s="314"/>
      <c r="AN654" s="314"/>
      <c r="AO654" s="315"/>
      <c r="AP654" s="257"/>
      <c r="AQ654" s="257"/>
      <c r="AR654" s="257"/>
      <c r="AS654" s="315"/>
      <c r="AT654" s="257"/>
      <c r="AU654" s="257"/>
      <c r="AV654" s="316"/>
      <c r="AW654" s="314"/>
      <c r="AX654" s="315"/>
      <c r="AY654" s="315"/>
      <c r="AZ654" s="315"/>
      <c r="BA654" s="315"/>
      <c r="BB654" s="315"/>
      <c r="BC654" s="315"/>
      <c r="BD654" s="319"/>
      <c r="BE654" s="319"/>
      <c r="BF654" s="319"/>
      <c r="BG654" s="319"/>
      <c r="BH654" s="319"/>
      <c r="BI654" s="319"/>
      <c r="BJ654" s="319"/>
      <c r="BK654" s="315"/>
      <c r="BL654" s="316"/>
      <c r="BM654" s="314"/>
      <c r="BN654" s="319"/>
      <c r="BO654" s="315"/>
      <c r="BP654" s="314"/>
      <c r="BQ654" s="316"/>
      <c r="BR654" s="314"/>
      <c r="BS654" s="262"/>
      <c r="BT654" s="262"/>
    </row>
    <row r="655" spans="1:72" ht="45.75" customHeight="1">
      <c r="A655" s="342"/>
      <c r="B655" s="342"/>
      <c r="C655" s="342"/>
      <c r="D655" s="343"/>
      <c r="E655" s="342"/>
      <c r="F655" s="342"/>
      <c r="G655" s="344"/>
      <c r="H655" s="344"/>
      <c r="I655" s="344"/>
      <c r="J655" s="334"/>
      <c r="K655" s="335"/>
      <c r="L655" s="336"/>
      <c r="M655" s="336"/>
      <c r="N655" s="337"/>
      <c r="O655" s="337"/>
      <c r="P655" s="315"/>
      <c r="Q655" s="314"/>
      <c r="R655" s="317"/>
      <c r="S655" s="315"/>
      <c r="T655" s="315"/>
      <c r="U655" s="315"/>
      <c r="V655" s="258"/>
      <c r="W655" s="322"/>
      <c r="X655" s="318"/>
      <c r="Y655" s="315"/>
      <c r="Z655" s="318"/>
      <c r="AA655" s="314"/>
      <c r="AB655" s="336"/>
      <c r="AC655" s="314"/>
      <c r="AD655" s="316"/>
      <c r="AE655" s="315"/>
      <c r="AF655" s="315"/>
      <c r="AG655" s="315"/>
      <c r="AH655" s="315"/>
      <c r="AI655" s="377"/>
      <c r="AJ655" s="407"/>
      <c r="AK655" s="377"/>
      <c r="AL655" s="314"/>
      <c r="AM655" s="314"/>
      <c r="AN655" s="314"/>
      <c r="AO655" s="315"/>
      <c r="AP655" s="257"/>
      <c r="AQ655" s="257"/>
      <c r="AR655" s="257"/>
      <c r="AS655" s="315"/>
      <c r="AT655" s="257"/>
      <c r="AU655" s="257"/>
      <c r="AV655" s="316"/>
      <c r="AW655" s="314"/>
      <c r="AX655" s="315"/>
      <c r="AY655" s="315"/>
      <c r="AZ655" s="315"/>
      <c r="BA655" s="315"/>
      <c r="BB655" s="315"/>
      <c r="BC655" s="315"/>
      <c r="BD655" s="319"/>
      <c r="BE655" s="319"/>
      <c r="BF655" s="319"/>
      <c r="BG655" s="319"/>
      <c r="BH655" s="319"/>
      <c r="BI655" s="319"/>
      <c r="BJ655" s="319"/>
      <c r="BK655" s="315"/>
      <c r="BL655" s="316"/>
      <c r="BM655" s="314"/>
      <c r="BN655" s="319"/>
      <c r="BO655" s="315"/>
      <c r="BP655" s="314"/>
      <c r="BQ655" s="316"/>
      <c r="BR655" s="314"/>
      <c r="BS655" s="262"/>
      <c r="BT655" s="262"/>
    </row>
    <row r="656" spans="1:72" ht="45.75" customHeight="1">
      <c r="A656" s="342"/>
      <c r="B656" s="342"/>
      <c r="C656" s="342"/>
      <c r="D656" s="343"/>
      <c r="E656" s="342"/>
      <c r="F656" s="342"/>
      <c r="G656" s="344"/>
      <c r="H656" s="344"/>
      <c r="I656" s="344"/>
      <c r="J656" s="334"/>
      <c r="K656" s="335"/>
      <c r="L656" s="336"/>
      <c r="M656" s="336"/>
      <c r="N656" s="337"/>
      <c r="O656" s="337"/>
      <c r="P656" s="315"/>
      <c r="Q656" s="314"/>
      <c r="R656" s="317"/>
      <c r="S656" s="315"/>
      <c r="T656" s="315"/>
      <c r="U656" s="315"/>
      <c r="V656" s="258"/>
      <c r="W656" s="322"/>
      <c r="X656" s="318"/>
      <c r="Y656" s="315"/>
      <c r="Z656" s="318"/>
      <c r="AA656" s="314"/>
      <c r="AB656" s="336"/>
      <c r="AC656" s="314"/>
      <c r="AD656" s="316"/>
      <c r="AE656" s="315"/>
      <c r="AF656" s="315"/>
      <c r="AG656" s="315"/>
      <c r="AH656" s="315"/>
      <c r="AI656" s="377"/>
      <c r="AJ656" s="407"/>
      <c r="AK656" s="377"/>
      <c r="AL656" s="314"/>
      <c r="AM656" s="314"/>
      <c r="AN656" s="314"/>
      <c r="AO656" s="315"/>
      <c r="AP656" s="257"/>
      <c r="AQ656" s="257"/>
      <c r="AR656" s="257"/>
      <c r="AS656" s="315"/>
      <c r="AT656" s="257"/>
      <c r="AU656" s="257"/>
      <c r="AV656" s="316"/>
      <c r="AW656" s="314"/>
      <c r="AX656" s="315"/>
      <c r="AY656" s="315"/>
      <c r="AZ656" s="315"/>
      <c r="BA656" s="315"/>
      <c r="BB656" s="315"/>
      <c r="BC656" s="315"/>
      <c r="BD656" s="319"/>
      <c r="BE656" s="319"/>
      <c r="BF656" s="319"/>
      <c r="BG656" s="319"/>
      <c r="BH656" s="319"/>
      <c r="BI656" s="319"/>
      <c r="BJ656" s="319"/>
      <c r="BK656" s="315"/>
      <c r="BL656" s="316"/>
      <c r="BM656" s="314"/>
      <c r="BN656" s="319"/>
      <c r="BO656" s="315"/>
      <c r="BP656" s="314"/>
      <c r="BQ656" s="316"/>
      <c r="BR656" s="314"/>
      <c r="BS656" s="262"/>
      <c r="BT656" s="262"/>
    </row>
    <row r="657" spans="1:72" ht="45.75" customHeight="1">
      <c r="A657" s="342"/>
      <c r="B657" s="342"/>
      <c r="C657" s="342"/>
      <c r="D657" s="343"/>
      <c r="E657" s="342"/>
      <c r="F657" s="342"/>
      <c r="G657" s="344"/>
      <c r="H657" s="344"/>
      <c r="I657" s="344"/>
      <c r="J657" s="334"/>
      <c r="K657" s="335"/>
      <c r="L657" s="336"/>
      <c r="M657" s="336"/>
      <c r="N657" s="337"/>
      <c r="O657" s="337"/>
      <c r="P657" s="315"/>
      <c r="Q657" s="314"/>
      <c r="R657" s="317"/>
      <c r="S657" s="315"/>
      <c r="T657" s="315"/>
      <c r="U657" s="315"/>
      <c r="V657" s="258"/>
      <c r="W657" s="322"/>
      <c r="X657" s="318"/>
      <c r="Y657" s="315"/>
      <c r="Z657" s="318"/>
      <c r="AA657" s="314"/>
      <c r="AB657" s="336"/>
      <c r="AC657" s="314"/>
      <c r="AD657" s="316"/>
      <c r="AE657" s="315"/>
      <c r="AF657" s="315"/>
      <c r="AG657" s="315"/>
      <c r="AH657" s="315"/>
      <c r="AI657" s="377"/>
      <c r="AJ657" s="407"/>
      <c r="AK657" s="377"/>
      <c r="AL657" s="314"/>
      <c r="AM657" s="314"/>
      <c r="AN657" s="314"/>
      <c r="AO657" s="315"/>
      <c r="AP657" s="257"/>
      <c r="AQ657" s="257"/>
      <c r="AR657" s="257"/>
      <c r="AS657" s="315"/>
      <c r="AT657" s="257"/>
      <c r="AU657" s="257"/>
      <c r="AV657" s="316"/>
      <c r="AW657" s="314"/>
      <c r="AX657" s="315"/>
      <c r="AY657" s="315"/>
      <c r="AZ657" s="315"/>
      <c r="BA657" s="315"/>
      <c r="BB657" s="315"/>
      <c r="BC657" s="315"/>
      <c r="BD657" s="319"/>
      <c r="BE657" s="319"/>
      <c r="BF657" s="319"/>
      <c r="BG657" s="319"/>
      <c r="BH657" s="319"/>
      <c r="BI657" s="319"/>
      <c r="BJ657" s="319"/>
      <c r="BK657" s="315"/>
      <c r="BL657" s="316"/>
      <c r="BM657" s="314"/>
      <c r="BN657" s="319"/>
      <c r="BO657" s="315"/>
      <c r="BP657" s="314"/>
      <c r="BQ657" s="316"/>
      <c r="BR657" s="314"/>
      <c r="BS657" s="262"/>
      <c r="BT657" s="262"/>
    </row>
    <row r="658" spans="1:72" ht="45.75" customHeight="1">
      <c r="A658" s="342"/>
      <c r="B658" s="342"/>
      <c r="C658" s="342"/>
      <c r="D658" s="343"/>
      <c r="E658" s="342"/>
      <c r="F658" s="342"/>
      <c r="G658" s="344"/>
      <c r="H658" s="344"/>
      <c r="I658" s="344"/>
      <c r="J658" s="334"/>
      <c r="K658" s="335"/>
      <c r="L658" s="336"/>
      <c r="M658" s="336"/>
      <c r="N658" s="337"/>
      <c r="O658" s="337"/>
      <c r="P658" s="315"/>
      <c r="Q658" s="314"/>
      <c r="R658" s="317"/>
      <c r="S658" s="315"/>
      <c r="T658" s="315"/>
      <c r="U658" s="315"/>
      <c r="V658" s="258"/>
      <c r="W658" s="322"/>
      <c r="X658" s="318"/>
      <c r="Y658" s="315"/>
      <c r="Z658" s="318"/>
      <c r="AA658" s="314"/>
      <c r="AB658" s="336"/>
      <c r="AC658" s="314"/>
      <c r="AD658" s="316"/>
      <c r="AE658" s="315"/>
      <c r="AF658" s="315"/>
      <c r="AG658" s="315"/>
      <c r="AH658" s="315"/>
      <c r="AI658" s="377"/>
      <c r="AJ658" s="407"/>
      <c r="AK658" s="377"/>
      <c r="AL658" s="314"/>
      <c r="AM658" s="314"/>
      <c r="AN658" s="314"/>
      <c r="AO658" s="315"/>
      <c r="AP658" s="257"/>
      <c r="AQ658" s="257"/>
      <c r="AR658" s="257"/>
      <c r="AS658" s="315"/>
      <c r="AT658" s="257"/>
      <c r="AU658" s="257"/>
      <c r="AV658" s="316"/>
      <c r="AW658" s="314"/>
      <c r="AX658" s="315"/>
      <c r="AY658" s="315"/>
      <c r="AZ658" s="315"/>
      <c r="BA658" s="315"/>
      <c r="BB658" s="315"/>
      <c r="BC658" s="315"/>
      <c r="BD658" s="319"/>
      <c r="BE658" s="319"/>
      <c r="BF658" s="319"/>
      <c r="BG658" s="319"/>
      <c r="BH658" s="319"/>
      <c r="BI658" s="319"/>
      <c r="BJ658" s="319"/>
      <c r="BK658" s="315"/>
      <c r="BL658" s="316"/>
      <c r="BM658" s="314"/>
      <c r="BN658" s="319"/>
      <c r="BO658" s="315"/>
      <c r="BP658" s="314"/>
      <c r="BQ658" s="316"/>
      <c r="BR658" s="314"/>
      <c r="BS658" s="262"/>
      <c r="BT658" s="262"/>
    </row>
    <row r="659" spans="1:72" ht="45.75" customHeight="1">
      <c r="A659" s="342"/>
      <c r="B659" s="342"/>
      <c r="C659" s="342"/>
      <c r="D659" s="343"/>
      <c r="E659" s="342"/>
      <c r="F659" s="342"/>
      <c r="G659" s="344"/>
      <c r="H659" s="344"/>
      <c r="I659" s="344"/>
      <c r="J659" s="334"/>
      <c r="K659" s="335"/>
      <c r="L659" s="336"/>
      <c r="M659" s="336"/>
      <c r="N659" s="337"/>
      <c r="O659" s="337"/>
      <c r="P659" s="315"/>
      <c r="Q659" s="314"/>
      <c r="R659" s="317"/>
      <c r="S659" s="315"/>
      <c r="T659" s="315"/>
      <c r="U659" s="315"/>
      <c r="V659" s="258"/>
      <c r="W659" s="322"/>
      <c r="X659" s="318"/>
      <c r="Y659" s="315"/>
      <c r="Z659" s="318"/>
      <c r="AA659" s="314"/>
      <c r="AB659" s="336"/>
      <c r="AC659" s="314"/>
      <c r="AD659" s="316"/>
      <c r="AE659" s="315"/>
      <c r="AF659" s="315"/>
      <c r="AG659" s="315"/>
      <c r="AH659" s="315"/>
      <c r="AI659" s="377"/>
      <c r="AJ659" s="407"/>
      <c r="AK659" s="377"/>
      <c r="AL659" s="314"/>
      <c r="AM659" s="314"/>
      <c r="AN659" s="314"/>
      <c r="AO659" s="315"/>
      <c r="AP659" s="257"/>
      <c r="AQ659" s="257"/>
      <c r="AR659" s="257"/>
      <c r="AS659" s="315"/>
      <c r="AT659" s="257"/>
      <c r="AU659" s="257"/>
      <c r="AV659" s="316"/>
      <c r="AW659" s="314"/>
      <c r="AX659" s="315"/>
      <c r="AY659" s="315"/>
      <c r="AZ659" s="315"/>
      <c r="BA659" s="315"/>
      <c r="BB659" s="315"/>
      <c r="BC659" s="315"/>
      <c r="BD659" s="319"/>
      <c r="BE659" s="319"/>
      <c r="BF659" s="319"/>
      <c r="BG659" s="319"/>
      <c r="BH659" s="319"/>
      <c r="BI659" s="319"/>
      <c r="BJ659" s="319"/>
      <c r="BK659" s="315"/>
      <c r="BL659" s="316"/>
      <c r="BM659" s="314"/>
      <c r="BN659" s="319"/>
      <c r="BO659" s="315"/>
      <c r="BP659" s="314"/>
      <c r="BQ659" s="316"/>
      <c r="BR659" s="314"/>
      <c r="BS659" s="262"/>
      <c r="BT659" s="262"/>
    </row>
    <row r="660" spans="1:72" ht="45.75" customHeight="1">
      <c r="A660" s="342"/>
      <c r="B660" s="342"/>
      <c r="C660" s="342"/>
      <c r="D660" s="343"/>
      <c r="E660" s="342"/>
      <c r="F660" s="342"/>
      <c r="G660" s="344"/>
      <c r="H660" s="344"/>
      <c r="I660" s="344"/>
      <c r="J660" s="334"/>
      <c r="K660" s="335"/>
      <c r="L660" s="336"/>
      <c r="M660" s="336"/>
      <c r="N660" s="337"/>
      <c r="O660" s="337"/>
      <c r="P660" s="315"/>
      <c r="Q660" s="314"/>
      <c r="R660" s="317"/>
      <c r="S660" s="315"/>
      <c r="T660" s="315"/>
      <c r="U660" s="315"/>
      <c r="V660" s="258"/>
      <c r="W660" s="322"/>
      <c r="X660" s="318"/>
      <c r="Y660" s="315"/>
      <c r="Z660" s="318"/>
      <c r="AA660" s="314"/>
      <c r="AB660" s="336"/>
      <c r="AC660" s="314"/>
      <c r="AD660" s="316"/>
      <c r="AE660" s="315"/>
      <c r="AF660" s="315"/>
      <c r="AG660" s="315"/>
      <c r="AH660" s="315"/>
      <c r="AI660" s="377"/>
      <c r="AJ660" s="407"/>
      <c r="AK660" s="377"/>
      <c r="AL660" s="314"/>
      <c r="AM660" s="314"/>
      <c r="AN660" s="314"/>
      <c r="AO660" s="315"/>
      <c r="AP660" s="257"/>
      <c r="AQ660" s="257"/>
      <c r="AR660" s="257"/>
      <c r="AS660" s="315"/>
      <c r="AT660" s="257"/>
      <c r="AU660" s="257"/>
      <c r="AV660" s="316"/>
      <c r="AW660" s="314"/>
      <c r="AX660" s="315"/>
      <c r="AY660" s="315"/>
      <c r="AZ660" s="315"/>
      <c r="BA660" s="315"/>
      <c r="BB660" s="315"/>
      <c r="BC660" s="315"/>
      <c r="BD660" s="319"/>
      <c r="BE660" s="319"/>
      <c r="BF660" s="319"/>
      <c r="BG660" s="319"/>
      <c r="BH660" s="319"/>
      <c r="BI660" s="319"/>
      <c r="BJ660" s="319"/>
      <c r="BK660" s="315"/>
      <c r="BL660" s="316"/>
      <c r="BM660" s="314"/>
      <c r="BN660" s="319"/>
      <c r="BO660" s="315"/>
      <c r="BP660" s="314"/>
      <c r="BQ660" s="316"/>
      <c r="BR660" s="314"/>
      <c r="BS660" s="262"/>
      <c r="BT660" s="262"/>
    </row>
    <row r="661" spans="1:72" ht="45.75" customHeight="1">
      <c r="A661" s="342"/>
      <c r="B661" s="342"/>
      <c r="C661" s="342"/>
      <c r="D661" s="343"/>
      <c r="E661" s="342"/>
      <c r="F661" s="342"/>
      <c r="G661" s="344"/>
      <c r="H661" s="344"/>
      <c r="I661" s="344"/>
      <c r="J661" s="334"/>
      <c r="K661" s="335"/>
      <c r="L661" s="336"/>
      <c r="M661" s="336"/>
      <c r="N661" s="337"/>
      <c r="O661" s="337"/>
      <c r="P661" s="315"/>
      <c r="Q661" s="314"/>
      <c r="R661" s="317"/>
      <c r="S661" s="315"/>
      <c r="T661" s="315"/>
      <c r="U661" s="315"/>
      <c r="V661" s="258"/>
      <c r="W661" s="322"/>
      <c r="X661" s="318"/>
      <c r="Y661" s="315"/>
      <c r="Z661" s="318"/>
      <c r="AA661" s="314"/>
      <c r="AB661" s="336"/>
      <c r="AC661" s="314"/>
      <c r="AD661" s="316"/>
      <c r="AE661" s="315"/>
      <c r="AF661" s="315"/>
      <c r="AG661" s="315"/>
      <c r="AH661" s="315"/>
      <c r="AI661" s="377"/>
      <c r="AJ661" s="407"/>
      <c r="AK661" s="377"/>
      <c r="AL661" s="314"/>
      <c r="AM661" s="314"/>
      <c r="AN661" s="314"/>
      <c r="AO661" s="315"/>
      <c r="AP661" s="257"/>
      <c r="AQ661" s="257"/>
      <c r="AR661" s="257"/>
      <c r="AS661" s="315"/>
      <c r="AT661" s="257"/>
      <c r="AU661" s="257"/>
      <c r="AV661" s="316"/>
      <c r="AW661" s="314"/>
      <c r="AX661" s="315"/>
      <c r="AY661" s="315"/>
      <c r="AZ661" s="315"/>
      <c r="BA661" s="315"/>
      <c r="BB661" s="315"/>
      <c r="BC661" s="315"/>
      <c r="BD661" s="319"/>
      <c r="BE661" s="319"/>
      <c r="BF661" s="319"/>
      <c r="BG661" s="319"/>
      <c r="BH661" s="319"/>
      <c r="BI661" s="319"/>
      <c r="BJ661" s="319"/>
      <c r="BK661" s="315"/>
      <c r="BL661" s="316"/>
      <c r="BM661" s="314"/>
      <c r="BN661" s="319"/>
      <c r="BO661" s="315"/>
      <c r="BP661" s="314"/>
      <c r="BQ661" s="316"/>
      <c r="BR661" s="314"/>
      <c r="BS661" s="262"/>
      <c r="BT661" s="262"/>
    </row>
    <row r="662" spans="1:72" ht="45.75" customHeight="1">
      <c r="A662" s="342"/>
      <c r="B662" s="342"/>
      <c r="C662" s="342"/>
      <c r="D662" s="343"/>
      <c r="E662" s="342"/>
      <c r="F662" s="342"/>
      <c r="G662" s="344"/>
      <c r="H662" s="344"/>
      <c r="I662" s="344"/>
      <c r="J662" s="334"/>
      <c r="K662" s="335"/>
      <c r="L662" s="336"/>
      <c r="M662" s="336"/>
      <c r="N662" s="337"/>
      <c r="O662" s="337"/>
      <c r="P662" s="315"/>
      <c r="Q662" s="314"/>
      <c r="R662" s="317"/>
      <c r="S662" s="315"/>
      <c r="T662" s="315"/>
      <c r="U662" s="315"/>
      <c r="V662" s="258"/>
      <c r="W662" s="322"/>
      <c r="X662" s="318"/>
      <c r="Y662" s="315"/>
      <c r="Z662" s="318"/>
      <c r="AA662" s="314"/>
      <c r="AB662" s="336"/>
      <c r="AC662" s="314"/>
      <c r="AD662" s="316"/>
      <c r="AE662" s="315"/>
      <c r="AF662" s="315"/>
      <c r="AG662" s="315"/>
      <c r="AH662" s="315"/>
      <c r="AI662" s="377"/>
      <c r="AJ662" s="407"/>
      <c r="AK662" s="377"/>
      <c r="AL662" s="314"/>
      <c r="AM662" s="314"/>
      <c r="AN662" s="314"/>
      <c r="AO662" s="315"/>
      <c r="AP662" s="257"/>
      <c r="AQ662" s="257"/>
      <c r="AR662" s="257"/>
      <c r="AS662" s="315"/>
      <c r="AT662" s="257"/>
      <c r="AU662" s="257"/>
      <c r="AV662" s="316"/>
      <c r="AW662" s="314"/>
      <c r="AX662" s="315"/>
      <c r="AY662" s="315"/>
      <c r="AZ662" s="315"/>
      <c r="BA662" s="315"/>
      <c r="BB662" s="315"/>
      <c r="BC662" s="315"/>
      <c r="BD662" s="319"/>
      <c r="BE662" s="319"/>
      <c r="BF662" s="319"/>
      <c r="BG662" s="319"/>
      <c r="BH662" s="319"/>
      <c r="BI662" s="319"/>
      <c r="BJ662" s="319"/>
      <c r="BK662" s="315"/>
      <c r="BL662" s="316"/>
      <c r="BM662" s="314"/>
      <c r="BN662" s="319"/>
      <c r="BO662" s="315"/>
      <c r="BP662" s="314"/>
      <c r="BQ662" s="316"/>
      <c r="BR662" s="314"/>
      <c r="BS662" s="262"/>
      <c r="BT662" s="262"/>
    </row>
    <row r="663" spans="1:72" ht="45.75" customHeight="1">
      <c r="A663" s="342"/>
      <c r="B663" s="342"/>
      <c r="C663" s="342"/>
      <c r="D663" s="343"/>
      <c r="E663" s="342"/>
      <c r="F663" s="342"/>
      <c r="G663" s="344"/>
      <c r="H663" s="344"/>
      <c r="I663" s="344"/>
      <c r="J663" s="334"/>
      <c r="K663" s="335"/>
      <c r="L663" s="336"/>
      <c r="M663" s="336"/>
      <c r="N663" s="337"/>
      <c r="O663" s="337"/>
      <c r="P663" s="315"/>
      <c r="Q663" s="314"/>
      <c r="R663" s="317"/>
      <c r="S663" s="315"/>
      <c r="T663" s="315"/>
      <c r="U663" s="315"/>
      <c r="V663" s="258"/>
      <c r="W663" s="322"/>
      <c r="X663" s="318"/>
      <c r="Y663" s="315"/>
      <c r="Z663" s="318"/>
      <c r="AA663" s="314"/>
      <c r="AB663" s="336"/>
      <c r="AC663" s="314"/>
      <c r="AD663" s="316"/>
      <c r="AE663" s="315"/>
      <c r="AF663" s="315"/>
      <c r="AG663" s="315"/>
      <c r="AH663" s="315"/>
      <c r="AI663" s="377"/>
      <c r="AJ663" s="407"/>
      <c r="AK663" s="377"/>
      <c r="AL663" s="314"/>
      <c r="AM663" s="314"/>
      <c r="AN663" s="314"/>
      <c r="AO663" s="315"/>
      <c r="AP663" s="257"/>
      <c r="AQ663" s="257"/>
      <c r="AR663" s="257"/>
      <c r="AS663" s="315"/>
      <c r="AT663" s="257"/>
      <c r="AU663" s="257"/>
      <c r="AV663" s="316"/>
      <c r="AW663" s="314"/>
      <c r="AX663" s="315"/>
      <c r="AY663" s="315"/>
      <c r="AZ663" s="315"/>
      <c r="BA663" s="315"/>
      <c r="BB663" s="315"/>
      <c r="BC663" s="315"/>
      <c r="BD663" s="319"/>
      <c r="BE663" s="319"/>
      <c r="BF663" s="319"/>
      <c r="BG663" s="319"/>
      <c r="BH663" s="319"/>
      <c r="BI663" s="319"/>
      <c r="BJ663" s="319"/>
      <c r="BK663" s="315"/>
      <c r="BL663" s="316"/>
      <c r="BM663" s="314"/>
      <c r="BN663" s="319"/>
      <c r="BO663" s="315"/>
      <c r="BP663" s="314"/>
      <c r="BQ663" s="316"/>
      <c r="BR663" s="314"/>
      <c r="BS663" s="262"/>
      <c r="BT663" s="262"/>
    </row>
    <row r="664" spans="1:72" ht="45.75" customHeight="1">
      <c r="A664" s="342"/>
      <c r="B664" s="342"/>
      <c r="C664" s="342"/>
      <c r="D664" s="343"/>
      <c r="E664" s="342"/>
      <c r="F664" s="342"/>
      <c r="G664" s="344"/>
      <c r="H664" s="344"/>
      <c r="I664" s="344"/>
      <c r="J664" s="334"/>
      <c r="K664" s="335"/>
      <c r="L664" s="336"/>
      <c r="M664" s="336"/>
      <c r="N664" s="337"/>
      <c r="O664" s="337"/>
      <c r="P664" s="315"/>
      <c r="Q664" s="314"/>
      <c r="R664" s="317"/>
      <c r="S664" s="315"/>
      <c r="T664" s="315"/>
      <c r="U664" s="315"/>
      <c r="V664" s="258"/>
      <c r="W664" s="322"/>
      <c r="X664" s="318"/>
      <c r="Y664" s="315"/>
      <c r="Z664" s="318"/>
      <c r="AA664" s="314"/>
      <c r="AB664" s="336"/>
      <c r="AC664" s="314"/>
      <c r="AD664" s="316"/>
      <c r="AE664" s="315"/>
      <c r="AF664" s="315"/>
      <c r="AG664" s="315"/>
      <c r="AH664" s="315"/>
      <c r="AI664" s="377"/>
      <c r="AJ664" s="407"/>
      <c r="AK664" s="377"/>
      <c r="AL664" s="314"/>
      <c r="AM664" s="314"/>
      <c r="AN664" s="314"/>
      <c r="AO664" s="315"/>
      <c r="AP664" s="257"/>
      <c r="AQ664" s="257"/>
      <c r="AR664" s="257"/>
      <c r="AS664" s="315"/>
      <c r="AT664" s="257"/>
      <c r="AU664" s="257"/>
      <c r="AV664" s="316"/>
      <c r="AW664" s="314"/>
      <c r="AX664" s="315"/>
      <c r="AY664" s="315"/>
      <c r="AZ664" s="315"/>
      <c r="BA664" s="315"/>
      <c r="BB664" s="315"/>
      <c r="BC664" s="315"/>
      <c r="BD664" s="319"/>
      <c r="BE664" s="319"/>
      <c r="BF664" s="319"/>
      <c r="BG664" s="319"/>
      <c r="BH664" s="319"/>
      <c r="BI664" s="319"/>
      <c r="BJ664" s="319"/>
      <c r="BK664" s="315"/>
      <c r="BL664" s="316"/>
      <c r="BM664" s="314"/>
      <c r="BN664" s="319"/>
      <c r="BO664" s="315"/>
      <c r="BP664" s="314"/>
      <c r="BQ664" s="316"/>
      <c r="BR664" s="314"/>
      <c r="BS664" s="262"/>
      <c r="BT664" s="262"/>
    </row>
    <row r="665" spans="1:72" ht="45.75" customHeight="1">
      <c r="A665" s="342"/>
      <c r="B665" s="342"/>
      <c r="C665" s="342"/>
      <c r="D665" s="343"/>
      <c r="E665" s="342"/>
      <c r="F665" s="342"/>
      <c r="G665" s="344"/>
      <c r="H665" s="344"/>
      <c r="I665" s="344"/>
      <c r="J665" s="334"/>
      <c r="K665" s="335"/>
      <c r="L665" s="336"/>
      <c r="M665" s="336"/>
      <c r="N665" s="337"/>
      <c r="O665" s="337"/>
      <c r="P665" s="315"/>
      <c r="Q665" s="314"/>
      <c r="R665" s="317"/>
      <c r="S665" s="315"/>
      <c r="T665" s="315"/>
      <c r="U665" s="315"/>
      <c r="V665" s="258"/>
      <c r="W665" s="322"/>
      <c r="X665" s="318"/>
      <c r="Y665" s="315"/>
      <c r="Z665" s="318"/>
      <c r="AA665" s="314"/>
      <c r="AB665" s="336"/>
      <c r="AC665" s="314"/>
      <c r="AD665" s="316"/>
      <c r="AE665" s="315"/>
      <c r="AF665" s="315"/>
      <c r="AG665" s="315"/>
      <c r="AH665" s="315"/>
      <c r="AI665" s="377"/>
      <c r="AJ665" s="407"/>
      <c r="AK665" s="377"/>
      <c r="AL665" s="314"/>
      <c r="AM665" s="314"/>
      <c r="AN665" s="314"/>
      <c r="AO665" s="315"/>
      <c r="AP665" s="257"/>
      <c r="AQ665" s="257"/>
      <c r="AR665" s="257"/>
      <c r="AS665" s="315"/>
      <c r="AT665" s="257"/>
      <c r="AU665" s="257"/>
      <c r="AV665" s="316"/>
      <c r="AW665" s="314"/>
      <c r="AX665" s="315"/>
      <c r="AY665" s="315"/>
      <c r="AZ665" s="315"/>
      <c r="BA665" s="315"/>
      <c r="BB665" s="315"/>
      <c r="BC665" s="315"/>
      <c r="BD665" s="319"/>
      <c r="BE665" s="319"/>
      <c r="BF665" s="319"/>
      <c r="BG665" s="319"/>
      <c r="BH665" s="319"/>
      <c r="BI665" s="319"/>
      <c r="BJ665" s="319"/>
      <c r="BK665" s="315"/>
      <c r="BL665" s="316"/>
      <c r="BM665" s="314"/>
      <c r="BN665" s="319"/>
      <c r="BO665" s="315"/>
      <c r="BP665" s="314"/>
      <c r="BQ665" s="316"/>
      <c r="BR665" s="314"/>
      <c r="BS665" s="262"/>
      <c r="BT665" s="262"/>
    </row>
    <row r="666" spans="1:72" ht="45.75" customHeight="1">
      <c r="A666" s="342"/>
      <c r="B666" s="342"/>
      <c r="C666" s="342"/>
      <c r="D666" s="343"/>
      <c r="E666" s="342"/>
      <c r="F666" s="342"/>
      <c r="G666" s="344"/>
      <c r="H666" s="344"/>
      <c r="I666" s="344"/>
      <c r="J666" s="334"/>
      <c r="K666" s="335"/>
      <c r="L666" s="336"/>
      <c r="M666" s="336"/>
      <c r="N666" s="337"/>
      <c r="O666" s="337"/>
      <c r="P666" s="315"/>
      <c r="Q666" s="314"/>
      <c r="R666" s="317"/>
      <c r="S666" s="315"/>
      <c r="T666" s="315"/>
      <c r="U666" s="315"/>
      <c r="V666" s="258"/>
      <c r="W666" s="322"/>
      <c r="X666" s="318"/>
      <c r="Y666" s="315"/>
      <c r="Z666" s="318"/>
      <c r="AA666" s="314"/>
      <c r="AB666" s="336"/>
      <c r="AC666" s="314"/>
      <c r="AD666" s="316"/>
      <c r="AE666" s="315"/>
      <c r="AF666" s="315"/>
      <c r="AG666" s="315"/>
      <c r="AH666" s="315"/>
      <c r="AI666" s="377"/>
      <c r="AJ666" s="407"/>
      <c r="AK666" s="377"/>
      <c r="AL666" s="314"/>
      <c r="AM666" s="314"/>
      <c r="AN666" s="314"/>
      <c r="AO666" s="315"/>
      <c r="AP666" s="257"/>
      <c r="AQ666" s="257"/>
      <c r="AR666" s="257"/>
      <c r="AS666" s="315"/>
      <c r="AT666" s="257"/>
      <c r="AU666" s="257"/>
      <c r="AV666" s="316"/>
      <c r="AW666" s="314"/>
      <c r="AX666" s="315"/>
      <c r="AY666" s="315"/>
      <c r="AZ666" s="315"/>
      <c r="BA666" s="315"/>
      <c r="BB666" s="315"/>
      <c r="BC666" s="315"/>
      <c r="BD666" s="319"/>
      <c r="BE666" s="319"/>
      <c r="BF666" s="319"/>
      <c r="BG666" s="319"/>
      <c r="BH666" s="319"/>
      <c r="BI666" s="319"/>
      <c r="BJ666" s="319"/>
      <c r="BK666" s="315"/>
      <c r="BL666" s="316"/>
      <c r="BM666" s="314"/>
      <c r="BN666" s="319"/>
      <c r="BO666" s="315"/>
      <c r="BP666" s="314"/>
      <c r="BQ666" s="316"/>
      <c r="BR666" s="314"/>
      <c r="BS666" s="262"/>
      <c r="BT666" s="262"/>
    </row>
    <row r="667" spans="1:72" ht="45.75" customHeight="1">
      <c r="A667" s="342"/>
      <c r="B667" s="342"/>
      <c r="C667" s="342"/>
      <c r="D667" s="343"/>
      <c r="E667" s="342"/>
      <c r="F667" s="342"/>
      <c r="G667" s="344"/>
      <c r="H667" s="344"/>
      <c r="I667" s="344"/>
      <c r="J667" s="334"/>
      <c r="K667" s="335"/>
      <c r="L667" s="336"/>
      <c r="M667" s="336"/>
      <c r="N667" s="337"/>
      <c r="O667" s="337"/>
      <c r="P667" s="315"/>
      <c r="Q667" s="314"/>
      <c r="R667" s="317"/>
      <c r="S667" s="315"/>
      <c r="T667" s="315"/>
      <c r="U667" s="315"/>
      <c r="V667" s="258"/>
      <c r="W667" s="322"/>
      <c r="X667" s="318"/>
      <c r="Y667" s="315"/>
      <c r="Z667" s="318"/>
      <c r="AA667" s="314"/>
      <c r="AB667" s="336"/>
      <c r="AC667" s="314"/>
      <c r="AD667" s="316"/>
      <c r="AE667" s="315"/>
      <c r="AF667" s="315"/>
      <c r="AG667" s="315"/>
      <c r="AH667" s="315"/>
      <c r="AI667" s="377"/>
      <c r="AJ667" s="407"/>
      <c r="AK667" s="377"/>
      <c r="AL667" s="314"/>
      <c r="AM667" s="314"/>
      <c r="AN667" s="314"/>
      <c r="AO667" s="315"/>
      <c r="AP667" s="257"/>
      <c r="AQ667" s="257"/>
      <c r="AR667" s="257"/>
      <c r="AS667" s="315"/>
      <c r="AT667" s="257"/>
      <c r="AU667" s="257"/>
      <c r="AV667" s="316"/>
      <c r="AW667" s="314"/>
      <c r="AX667" s="315"/>
      <c r="AY667" s="315"/>
      <c r="AZ667" s="315"/>
      <c r="BA667" s="315"/>
      <c r="BB667" s="315"/>
      <c r="BC667" s="315"/>
      <c r="BD667" s="319"/>
      <c r="BE667" s="319"/>
      <c r="BF667" s="319"/>
      <c r="BG667" s="319"/>
      <c r="BH667" s="319"/>
      <c r="BI667" s="319"/>
      <c r="BJ667" s="319"/>
      <c r="BK667" s="315"/>
      <c r="BL667" s="316"/>
      <c r="BM667" s="314"/>
      <c r="BN667" s="319"/>
      <c r="BO667" s="315"/>
      <c r="BP667" s="314"/>
      <c r="BQ667" s="316"/>
      <c r="BR667" s="314"/>
      <c r="BS667" s="262"/>
      <c r="BT667" s="262"/>
    </row>
    <row r="668" spans="1:72" ht="45.75" customHeight="1">
      <c r="A668" s="342"/>
      <c r="B668" s="342"/>
      <c r="C668" s="342"/>
      <c r="D668" s="343"/>
      <c r="E668" s="342"/>
      <c r="F668" s="342"/>
      <c r="G668" s="344"/>
      <c r="H668" s="344"/>
      <c r="I668" s="344"/>
      <c r="J668" s="334"/>
      <c r="K668" s="335"/>
      <c r="L668" s="336"/>
      <c r="M668" s="336"/>
      <c r="N668" s="337"/>
      <c r="O668" s="337"/>
      <c r="P668" s="315"/>
      <c r="Q668" s="314"/>
      <c r="R668" s="317"/>
      <c r="S668" s="315"/>
      <c r="T668" s="315"/>
      <c r="U668" s="315"/>
      <c r="V668" s="258"/>
      <c r="W668" s="322"/>
      <c r="X668" s="318"/>
      <c r="Y668" s="315"/>
      <c r="Z668" s="318"/>
      <c r="AA668" s="314"/>
      <c r="AB668" s="336"/>
      <c r="AC668" s="314"/>
      <c r="AD668" s="316"/>
      <c r="AE668" s="315"/>
      <c r="AF668" s="315"/>
      <c r="AG668" s="315"/>
      <c r="AH668" s="315"/>
      <c r="AI668" s="377"/>
      <c r="AJ668" s="407"/>
      <c r="AK668" s="377"/>
      <c r="AL668" s="314"/>
      <c r="AM668" s="314"/>
      <c r="AN668" s="314"/>
      <c r="AO668" s="315"/>
      <c r="AP668" s="257"/>
      <c r="AQ668" s="257"/>
      <c r="AR668" s="257"/>
      <c r="AS668" s="315"/>
      <c r="AT668" s="257"/>
      <c r="AU668" s="257"/>
      <c r="AV668" s="316"/>
      <c r="AW668" s="314"/>
      <c r="AX668" s="315"/>
      <c r="AY668" s="315"/>
      <c r="AZ668" s="315"/>
      <c r="BA668" s="315"/>
      <c r="BB668" s="315"/>
      <c r="BC668" s="315"/>
      <c r="BD668" s="319"/>
      <c r="BE668" s="319"/>
      <c r="BF668" s="319"/>
      <c r="BG668" s="319"/>
      <c r="BH668" s="319"/>
      <c r="BI668" s="319"/>
      <c r="BJ668" s="319"/>
      <c r="BK668" s="315"/>
      <c r="BL668" s="316"/>
      <c r="BM668" s="314"/>
      <c r="BN668" s="319"/>
      <c r="BO668" s="315"/>
      <c r="BP668" s="314"/>
      <c r="BQ668" s="316"/>
      <c r="BR668" s="314"/>
      <c r="BS668" s="262"/>
      <c r="BT668" s="262"/>
    </row>
    <row r="669" spans="1:72" ht="45.75" customHeight="1">
      <c r="A669" s="342"/>
      <c r="B669" s="342"/>
      <c r="C669" s="342"/>
      <c r="D669" s="343"/>
      <c r="E669" s="342"/>
      <c r="F669" s="342"/>
      <c r="G669" s="344"/>
      <c r="H669" s="344"/>
      <c r="I669" s="344"/>
      <c r="J669" s="334"/>
      <c r="K669" s="335"/>
      <c r="L669" s="336"/>
      <c r="M669" s="336"/>
      <c r="N669" s="337"/>
      <c r="O669" s="337"/>
      <c r="P669" s="315"/>
      <c r="Q669" s="314"/>
      <c r="R669" s="317"/>
      <c r="S669" s="315"/>
      <c r="T669" s="315"/>
      <c r="U669" s="315"/>
      <c r="V669" s="258"/>
      <c r="W669" s="322"/>
      <c r="X669" s="318"/>
      <c r="Y669" s="315"/>
      <c r="Z669" s="318"/>
      <c r="AA669" s="314"/>
      <c r="AB669" s="336"/>
      <c r="AC669" s="314"/>
      <c r="AD669" s="316"/>
      <c r="AE669" s="315"/>
      <c r="AF669" s="315"/>
      <c r="AG669" s="315"/>
      <c r="AH669" s="315"/>
      <c r="AI669" s="377"/>
      <c r="AJ669" s="407"/>
      <c r="AK669" s="377"/>
      <c r="AL669" s="314"/>
      <c r="AM669" s="314"/>
      <c r="AN669" s="314"/>
      <c r="AO669" s="315"/>
      <c r="AP669" s="257"/>
      <c r="AQ669" s="257"/>
      <c r="AR669" s="257"/>
      <c r="AS669" s="315"/>
      <c r="AT669" s="257"/>
      <c r="AU669" s="257"/>
      <c r="AV669" s="316"/>
      <c r="AW669" s="314"/>
      <c r="AX669" s="315"/>
      <c r="AY669" s="315"/>
      <c r="AZ669" s="315"/>
      <c r="BA669" s="315"/>
      <c r="BB669" s="315"/>
      <c r="BC669" s="315"/>
      <c r="BD669" s="319"/>
      <c r="BE669" s="319"/>
      <c r="BF669" s="319"/>
      <c r="BG669" s="319"/>
      <c r="BH669" s="319"/>
      <c r="BI669" s="319"/>
      <c r="BJ669" s="319"/>
      <c r="BK669" s="315"/>
      <c r="BL669" s="316"/>
      <c r="BM669" s="314"/>
      <c r="BN669" s="319"/>
      <c r="BO669" s="315"/>
      <c r="BP669" s="314"/>
      <c r="BQ669" s="316"/>
      <c r="BR669" s="314"/>
      <c r="BS669" s="262"/>
      <c r="BT669" s="262"/>
    </row>
    <row r="670" spans="1:72" ht="45.75" customHeight="1">
      <c r="A670" s="342"/>
      <c r="B670" s="342"/>
      <c r="C670" s="342"/>
      <c r="D670" s="343"/>
      <c r="E670" s="342"/>
      <c r="F670" s="342"/>
      <c r="G670" s="344"/>
      <c r="H670" s="344"/>
      <c r="I670" s="344"/>
      <c r="J670" s="334"/>
      <c r="K670" s="335"/>
      <c r="L670" s="336"/>
      <c r="M670" s="336"/>
      <c r="N670" s="337"/>
      <c r="O670" s="337"/>
      <c r="P670" s="315"/>
      <c r="Q670" s="314"/>
      <c r="R670" s="317"/>
      <c r="S670" s="315"/>
      <c r="T670" s="315"/>
      <c r="U670" s="315"/>
      <c r="V670" s="258"/>
      <c r="W670" s="322"/>
      <c r="X670" s="318"/>
      <c r="Y670" s="315"/>
      <c r="Z670" s="318"/>
      <c r="AA670" s="314"/>
      <c r="AB670" s="336"/>
      <c r="AC670" s="314"/>
      <c r="AD670" s="316"/>
      <c r="AE670" s="315"/>
      <c r="AF670" s="315"/>
      <c r="AG670" s="315"/>
      <c r="AH670" s="315"/>
      <c r="AI670" s="377"/>
      <c r="AJ670" s="407"/>
      <c r="AK670" s="377"/>
      <c r="AL670" s="314"/>
      <c r="AM670" s="314"/>
      <c r="AN670" s="314"/>
      <c r="AO670" s="315"/>
      <c r="AP670" s="257"/>
      <c r="AQ670" s="257"/>
      <c r="AR670" s="257"/>
      <c r="AS670" s="315"/>
      <c r="AT670" s="257"/>
      <c r="AU670" s="257"/>
      <c r="AV670" s="316"/>
      <c r="AW670" s="314"/>
      <c r="AX670" s="315"/>
      <c r="AY670" s="315"/>
      <c r="AZ670" s="315"/>
      <c r="BA670" s="315"/>
      <c r="BB670" s="315"/>
      <c r="BC670" s="315"/>
      <c r="BD670" s="319"/>
      <c r="BE670" s="319"/>
      <c r="BF670" s="319"/>
      <c r="BG670" s="319"/>
      <c r="BH670" s="319"/>
      <c r="BI670" s="319"/>
      <c r="BJ670" s="319"/>
      <c r="BK670" s="315"/>
      <c r="BL670" s="316"/>
      <c r="BM670" s="314"/>
      <c r="BN670" s="319"/>
      <c r="BO670" s="315"/>
      <c r="BP670" s="314"/>
      <c r="BQ670" s="316"/>
      <c r="BR670" s="314"/>
      <c r="BS670" s="262"/>
      <c r="BT670" s="262"/>
    </row>
    <row r="671" spans="1:72" ht="45.75" customHeight="1">
      <c r="A671" s="342"/>
      <c r="B671" s="342"/>
      <c r="C671" s="342"/>
      <c r="D671" s="343"/>
      <c r="E671" s="342"/>
      <c r="F671" s="342"/>
      <c r="G671" s="344"/>
      <c r="H671" s="344"/>
      <c r="I671" s="344"/>
      <c r="J671" s="334"/>
      <c r="K671" s="335"/>
      <c r="L671" s="336"/>
      <c r="M671" s="336"/>
      <c r="N671" s="337"/>
      <c r="O671" s="337"/>
      <c r="P671" s="315"/>
      <c r="Q671" s="314"/>
      <c r="R671" s="317"/>
      <c r="S671" s="315"/>
      <c r="T671" s="315"/>
      <c r="U671" s="315"/>
      <c r="V671" s="258"/>
      <c r="W671" s="322"/>
      <c r="X671" s="318"/>
      <c r="Y671" s="315"/>
      <c r="Z671" s="318"/>
      <c r="AA671" s="314"/>
      <c r="AB671" s="336"/>
      <c r="AC671" s="314"/>
      <c r="AD671" s="316"/>
      <c r="AE671" s="315"/>
      <c r="AF671" s="315"/>
      <c r="AG671" s="315"/>
      <c r="AH671" s="315"/>
      <c r="AI671" s="377"/>
      <c r="AJ671" s="407"/>
      <c r="AK671" s="377"/>
      <c r="AL671" s="314"/>
      <c r="AM671" s="314"/>
      <c r="AN671" s="314"/>
      <c r="AO671" s="315"/>
      <c r="AP671" s="257"/>
      <c r="AQ671" s="257"/>
      <c r="AR671" s="257"/>
      <c r="AS671" s="315"/>
      <c r="AT671" s="257"/>
      <c r="AU671" s="257"/>
      <c r="AV671" s="316"/>
      <c r="AW671" s="314"/>
      <c r="AX671" s="315"/>
      <c r="AY671" s="315"/>
      <c r="AZ671" s="315"/>
      <c r="BA671" s="315"/>
      <c r="BB671" s="315"/>
      <c r="BC671" s="315"/>
      <c r="BD671" s="319"/>
      <c r="BE671" s="319"/>
      <c r="BF671" s="319"/>
      <c r="BG671" s="319"/>
      <c r="BH671" s="319"/>
      <c r="BI671" s="319"/>
      <c r="BJ671" s="319"/>
      <c r="BK671" s="315"/>
      <c r="BL671" s="316"/>
      <c r="BM671" s="314"/>
      <c r="BN671" s="319"/>
      <c r="BO671" s="315"/>
      <c r="BP671" s="314"/>
      <c r="BQ671" s="316"/>
      <c r="BR671" s="314"/>
      <c r="BS671" s="262"/>
      <c r="BT671" s="262"/>
    </row>
    <row r="672" spans="1:72" ht="45.75" customHeight="1">
      <c r="A672" s="342"/>
      <c r="B672" s="342"/>
      <c r="C672" s="342"/>
      <c r="D672" s="343"/>
      <c r="E672" s="342"/>
      <c r="F672" s="342"/>
      <c r="G672" s="344"/>
      <c r="H672" s="344"/>
      <c r="I672" s="344"/>
      <c r="J672" s="334"/>
      <c r="K672" s="335"/>
      <c r="L672" s="336"/>
      <c r="M672" s="336"/>
      <c r="N672" s="337"/>
      <c r="O672" s="337"/>
      <c r="P672" s="315"/>
      <c r="Q672" s="314"/>
      <c r="R672" s="317"/>
      <c r="S672" s="315"/>
      <c r="T672" s="315"/>
      <c r="U672" s="315"/>
      <c r="V672" s="258"/>
      <c r="W672" s="322"/>
      <c r="X672" s="318"/>
      <c r="Y672" s="315"/>
      <c r="Z672" s="318"/>
      <c r="AA672" s="314"/>
      <c r="AB672" s="336"/>
      <c r="AC672" s="314"/>
      <c r="AD672" s="316"/>
      <c r="AE672" s="315"/>
      <c r="AF672" s="315"/>
      <c r="AG672" s="315"/>
      <c r="AH672" s="315"/>
      <c r="AI672" s="377"/>
      <c r="AJ672" s="407"/>
      <c r="AK672" s="377"/>
      <c r="AL672" s="314"/>
      <c r="AM672" s="314"/>
      <c r="AN672" s="314"/>
      <c r="AO672" s="315"/>
      <c r="AP672" s="257"/>
      <c r="AQ672" s="257"/>
      <c r="AR672" s="257"/>
      <c r="AS672" s="315"/>
      <c r="AT672" s="257"/>
      <c r="AU672" s="257"/>
      <c r="AV672" s="316"/>
      <c r="AW672" s="314"/>
      <c r="AX672" s="315"/>
      <c r="AY672" s="315"/>
      <c r="AZ672" s="315"/>
      <c r="BA672" s="315"/>
      <c r="BB672" s="315"/>
      <c r="BC672" s="315"/>
      <c r="BD672" s="319"/>
      <c r="BE672" s="319"/>
      <c r="BF672" s="319"/>
      <c r="BG672" s="319"/>
      <c r="BH672" s="319"/>
      <c r="BI672" s="319"/>
      <c r="BJ672" s="319"/>
      <c r="BK672" s="315"/>
      <c r="BL672" s="316"/>
      <c r="BM672" s="314"/>
      <c r="BN672" s="319"/>
      <c r="BO672" s="315"/>
      <c r="BP672" s="314"/>
      <c r="BQ672" s="316"/>
      <c r="BR672" s="314"/>
      <c r="BS672" s="262"/>
      <c r="BT672" s="262"/>
    </row>
    <row r="673" spans="1:72" ht="45.75" customHeight="1">
      <c r="A673" s="342"/>
      <c r="B673" s="342"/>
      <c r="C673" s="342"/>
      <c r="D673" s="343"/>
      <c r="E673" s="342"/>
      <c r="F673" s="342"/>
      <c r="G673" s="344"/>
      <c r="H673" s="344"/>
      <c r="I673" s="344"/>
      <c r="J673" s="334"/>
      <c r="K673" s="335"/>
      <c r="L673" s="336"/>
      <c r="M673" s="336"/>
      <c r="N673" s="337"/>
      <c r="O673" s="337"/>
      <c r="P673" s="315"/>
      <c r="Q673" s="314"/>
      <c r="R673" s="317"/>
      <c r="S673" s="315"/>
      <c r="T673" s="315"/>
      <c r="U673" s="315"/>
      <c r="V673" s="258"/>
      <c r="W673" s="322"/>
      <c r="X673" s="318"/>
      <c r="Y673" s="315"/>
      <c r="Z673" s="318"/>
      <c r="AA673" s="314"/>
      <c r="AB673" s="336"/>
      <c r="AC673" s="314"/>
      <c r="AD673" s="316"/>
      <c r="AE673" s="315"/>
      <c r="AF673" s="315"/>
      <c r="AG673" s="315"/>
      <c r="AH673" s="315"/>
      <c r="AI673" s="377"/>
      <c r="AJ673" s="407"/>
      <c r="AK673" s="377"/>
      <c r="AL673" s="314"/>
      <c r="AM673" s="314"/>
      <c r="AN673" s="314"/>
      <c r="AO673" s="315"/>
      <c r="AP673" s="257"/>
      <c r="AQ673" s="257"/>
      <c r="AR673" s="257"/>
      <c r="AS673" s="315"/>
      <c r="AT673" s="257"/>
      <c r="AU673" s="257"/>
      <c r="AV673" s="316"/>
      <c r="AW673" s="314"/>
      <c r="AX673" s="315"/>
      <c r="AY673" s="315"/>
      <c r="AZ673" s="315"/>
      <c r="BA673" s="315"/>
      <c r="BB673" s="315"/>
      <c r="BC673" s="315"/>
      <c r="BD673" s="319"/>
      <c r="BE673" s="319"/>
      <c r="BF673" s="319"/>
      <c r="BG673" s="319"/>
      <c r="BH673" s="319"/>
      <c r="BI673" s="319"/>
      <c r="BJ673" s="319"/>
      <c r="BK673" s="315"/>
      <c r="BL673" s="316"/>
      <c r="BM673" s="314"/>
      <c r="BN673" s="319"/>
      <c r="BO673" s="315"/>
      <c r="BP673" s="314"/>
      <c r="BQ673" s="316"/>
      <c r="BR673" s="314"/>
      <c r="BS673" s="262"/>
      <c r="BT673" s="262"/>
    </row>
    <row r="674" spans="1:72" ht="45.75" customHeight="1">
      <c r="A674" s="342"/>
      <c r="B674" s="342"/>
      <c r="C674" s="342"/>
      <c r="D674" s="343"/>
      <c r="E674" s="342"/>
      <c r="F674" s="342"/>
      <c r="G674" s="344"/>
      <c r="H674" s="344"/>
      <c r="I674" s="344"/>
      <c r="J674" s="334"/>
      <c r="K674" s="335"/>
      <c r="L674" s="336"/>
      <c r="M674" s="336"/>
      <c r="N674" s="337"/>
      <c r="O674" s="337"/>
      <c r="P674" s="315"/>
      <c r="Q674" s="314"/>
      <c r="R674" s="317"/>
      <c r="S674" s="315"/>
      <c r="T674" s="315"/>
      <c r="U674" s="315"/>
      <c r="V674" s="258"/>
      <c r="W674" s="322"/>
      <c r="X674" s="318"/>
      <c r="Y674" s="315"/>
      <c r="Z674" s="318"/>
      <c r="AA674" s="314"/>
      <c r="AB674" s="336"/>
      <c r="AC674" s="314"/>
      <c r="AD674" s="316"/>
      <c r="AE674" s="315"/>
      <c r="AF674" s="315"/>
      <c r="AG674" s="315"/>
      <c r="AH674" s="315"/>
      <c r="AI674" s="377"/>
      <c r="AJ674" s="407"/>
      <c r="AK674" s="377"/>
      <c r="AL674" s="314"/>
      <c r="AM674" s="314"/>
      <c r="AN674" s="314"/>
      <c r="AO674" s="315"/>
      <c r="AP674" s="257"/>
      <c r="AQ674" s="257"/>
      <c r="AR674" s="257"/>
      <c r="AS674" s="315"/>
      <c r="AT674" s="257"/>
      <c r="AU674" s="257"/>
      <c r="AV674" s="316"/>
      <c r="AW674" s="314"/>
      <c r="AX674" s="315"/>
      <c r="AY674" s="315"/>
      <c r="AZ674" s="315"/>
      <c r="BA674" s="315"/>
      <c r="BB674" s="315"/>
      <c r="BC674" s="315"/>
      <c r="BD674" s="319"/>
      <c r="BE674" s="319"/>
      <c r="BF674" s="319"/>
      <c r="BG674" s="319"/>
      <c r="BH674" s="319"/>
      <c r="BI674" s="319"/>
      <c r="BJ674" s="319"/>
      <c r="BK674" s="315"/>
      <c r="BL674" s="316"/>
      <c r="BM674" s="314"/>
      <c r="BN674" s="319"/>
      <c r="BO674" s="315"/>
      <c r="BP674" s="314"/>
      <c r="BQ674" s="316"/>
      <c r="BR674" s="314"/>
      <c r="BS674" s="262"/>
      <c r="BT674" s="262"/>
    </row>
    <row r="675" spans="1:72" ht="45.75" customHeight="1">
      <c r="A675" s="342"/>
      <c r="B675" s="342"/>
      <c r="C675" s="342"/>
      <c r="D675" s="343"/>
      <c r="E675" s="342"/>
      <c r="F675" s="342"/>
      <c r="G675" s="344"/>
      <c r="H675" s="344"/>
      <c r="I675" s="344"/>
      <c r="J675" s="334"/>
      <c r="K675" s="335"/>
      <c r="L675" s="336"/>
      <c r="M675" s="336"/>
      <c r="N675" s="337"/>
      <c r="O675" s="337"/>
      <c r="P675" s="315"/>
      <c r="Q675" s="314"/>
      <c r="R675" s="317"/>
      <c r="S675" s="315"/>
      <c r="T675" s="315"/>
      <c r="U675" s="315"/>
      <c r="V675" s="258"/>
      <c r="W675" s="322"/>
      <c r="X675" s="318"/>
      <c r="Y675" s="315"/>
      <c r="Z675" s="318"/>
      <c r="AA675" s="314"/>
      <c r="AB675" s="336"/>
      <c r="AC675" s="314"/>
      <c r="AD675" s="316"/>
      <c r="AE675" s="315"/>
      <c r="AF675" s="315"/>
      <c r="AG675" s="315"/>
      <c r="AH675" s="315"/>
      <c r="AI675" s="377"/>
      <c r="AJ675" s="407"/>
      <c r="AK675" s="377"/>
      <c r="AL675" s="314"/>
      <c r="AM675" s="314"/>
      <c r="AN675" s="314"/>
      <c r="AO675" s="315"/>
      <c r="AP675" s="257"/>
      <c r="AQ675" s="257"/>
      <c r="AR675" s="257"/>
      <c r="AS675" s="315"/>
      <c r="AT675" s="257"/>
      <c r="AU675" s="257"/>
      <c r="AV675" s="316"/>
      <c r="AW675" s="314"/>
      <c r="AX675" s="315"/>
      <c r="AY675" s="315"/>
      <c r="AZ675" s="315"/>
      <c r="BA675" s="315"/>
      <c r="BB675" s="315"/>
      <c r="BC675" s="315"/>
      <c r="BD675" s="319"/>
      <c r="BE675" s="319"/>
      <c r="BF675" s="319"/>
      <c r="BG675" s="319"/>
      <c r="BH675" s="319"/>
      <c r="BI675" s="319"/>
      <c r="BJ675" s="319"/>
      <c r="BK675" s="315"/>
      <c r="BL675" s="316"/>
      <c r="BM675" s="314"/>
      <c r="BN675" s="319"/>
      <c r="BO675" s="315"/>
      <c r="BP675" s="314"/>
      <c r="BQ675" s="316"/>
      <c r="BR675" s="314"/>
      <c r="BS675" s="262"/>
      <c r="BT675" s="262"/>
    </row>
    <row r="676" spans="1:72" ht="45.75" customHeight="1">
      <c r="A676" s="342"/>
      <c r="B676" s="342"/>
      <c r="C676" s="342"/>
      <c r="D676" s="343"/>
      <c r="E676" s="342"/>
      <c r="F676" s="342"/>
      <c r="G676" s="344"/>
      <c r="H676" s="344"/>
      <c r="I676" s="344"/>
      <c r="J676" s="334"/>
      <c r="K676" s="335"/>
      <c r="L676" s="336"/>
      <c r="M676" s="336"/>
      <c r="N676" s="337"/>
      <c r="O676" s="337"/>
      <c r="P676" s="315"/>
      <c r="Q676" s="314"/>
      <c r="R676" s="317"/>
      <c r="S676" s="315"/>
      <c r="T676" s="315"/>
      <c r="U676" s="315"/>
      <c r="V676" s="258"/>
      <c r="W676" s="322"/>
      <c r="X676" s="318"/>
      <c r="Y676" s="315"/>
      <c r="Z676" s="318"/>
      <c r="AA676" s="314"/>
      <c r="AB676" s="336"/>
      <c r="AC676" s="314"/>
      <c r="AD676" s="316"/>
      <c r="AE676" s="315"/>
      <c r="AF676" s="315"/>
      <c r="AG676" s="315"/>
      <c r="AH676" s="315"/>
      <c r="AI676" s="377"/>
      <c r="AJ676" s="407"/>
      <c r="AK676" s="377"/>
      <c r="AL676" s="314"/>
      <c r="AM676" s="314"/>
      <c r="AN676" s="314"/>
      <c r="AO676" s="315"/>
      <c r="AP676" s="257"/>
      <c r="AQ676" s="257"/>
      <c r="AR676" s="257"/>
      <c r="AS676" s="315"/>
      <c r="AT676" s="257"/>
      <c r="AU676" s="257"/>
      <c r="AV676" s="316"/>
      <c r="AW676" s="314"/>
      <c r="AX676" s="315"/>
      <c r="AY676" s="315"/>
      <c r="AZ676" s="315"/>
      <c r="BA676" s="315"/>
      <c r="BB676" s="315"/>
      <c r="BC676" s="315"/>
      <c r="BD676" s="319"/>
      <c r="BE676" s="319"/>
      <c r="BF676" s="319"/>
      <c r="BG676" s="319"/>
      <c r="BH676" s="319"/>
      <c r="BI676" s="319"/>
      <c r="BJ676" s="319"/>
      <c r="BK676" s="315"/>
      <c r="BL676" s="316"/>
      <c r="BM676" s="314"/>
      <c r="BN676" s="319"/>
      <c r="BO676" s="315"/>
      <c r="BP676" s="314"/>
      <c r="BQ676" s="316"/>
      <c r="BR676" s="314"/>
      <c r="BS676" s="262"/>
      <c r="BT676" s="262"/>
    </row>
    <row r="677" spans="1:72" ht="45.75" customHeight="1">
      <c r="A677" s="342"/>
      <c r="B677" s="342"/>
      <c r="C677" s="342"/>
      <c r="D677" s="343"/>
      <c r="E677" s="342"/>
      <c r="F677" s="342"/>
      <c r="G677" s="344"/>
      <c r="H677" s="344"/>
      <c r="I677" s="344"/>
      <c r="J677" s="334"/>
      <c r="K677" s="335"/>
      <c r="L677" s="336"/>
      <c r="M677" s="336"/>
      <c r="N677" s="337"/>
      <c r="O677" s="337"/>
      <c r="P677" s="315"/>
      <c r="Q677" s="314"/>
      <c r="R677" s="317"/>
      <c r="S677" s="315"/>
      <c r="T677" s="315"/>
      <c r="U677" s="315"/>
      <c r="V677" s="258"/>
      <c r="W677" s="322"/>
      <c r="X677" s="318"/>
      <c r="Y677" s="315"/>
      <c r="Z677" s="318"/>
      <c r="AA677" s="314"/>
      <c r="AB677" s="336"/>
      <c r="AC677" s="314"/>
      <c r="AD677" s="316"/>
      <c r="AE677" s="315"/>
      <c r="AF677" s="315"/>
      <c r="AG677" s="315"/>
      <c r="AH677" s="315"/>
      <c r="AI677" s="377"/>
      <c r="AJ677" s="407"/>
      <c r="AK677" s="377"/>
      <c r="AL677" s="314"/>
      <c r="AM677" s="314"/>
      <c r="AN677" s="314"/>
      <c r="AO677" s="315"/>
      <c r="AP677" s="257"/>
      <c r="AQ677" s="257"/>
      <c r="AR677" s="257"/>
      <c r="AS677" s="315"/>
      <c r="AT677" s="257"/>
      <c r="AU677" s="257"/>
      <c r="AV677" s="316"/>
      <c r="AW677" s="314"/>
      <c r="AX677" s="315"/>
      <c r="AY677" s="315"/>
      <c r="AZ677" s="315"/>
      <c r="BA677" s="315"/>
      <c r="BB677" s="315"/>
      <c r="BC677" s="315"/>
      <c r="BD677" s="319"/>
      <c r="BE677" s="319"/>
      <c r="BF677" s="319"/>
      <c r="BG677" s="319"/>
      <c r="BH677" s="319"/>
      <c r="BI677" s="319"/>
      <c r="BJ677" s="319"/>
      <c r="BK677" s="315"/>
      <c r="BL677" s="316"/>
      <c r="BM677" s="314"/>
      <c r="BN677" s="319"/>
      <c r="BO677" s="315"/>
      <c r="BP677" s="314"/>
      <c r="BQ677" s="316"/>
      <c r="BR677" s="314"/>
      <c r="BS677" s="262"/>
      <c r="BT677" s="262"/>
    </row>
    <row r="678" spans="1:72" ht="45.75" customHeight="1">
      <c r="A678" s="342"/>
      <c r="B678" s="342"/>
      <c r="C678" s="342"/>
      <c r="D678" s="343"/>
      <c r="E678" s="342"/>
      <c r="F678" s="342"/>
      <c r="G678" s="344"/>
      <c r="H678" s="344"/>
      <c r="I678" s="344"/>
      <c r="J678" s="334"/>
      <c r="K678" s="335"/>
      <c r="L678" s="336"/>
      <c r="M678" s="336"/>
      <c r="N678" s="337"/>
      <c r="O678" s="337"/>
      <c r="P678" s="315"/>
      <c r="Q678" s="314"/>
      <c r="R678" s="317"/>
      <c r="S678" s="315"/>
      <c r="T678" s="315"/>
      <c r="U678" s="315"/>
      <c r="V678" s="258"/>
      <c r="W678" s="322"/>
      <c r="X678" s="318"/>
      <c r="Y678" s="315"/>
      <c r="Z678" s="318"/>
      <c r="AA678" s="314"/>
      <c r="AB678" s="336"/>
      <c r="AC678" s="314"/>
      <c r="AD678" s="316"/>
      <c r="AE678" s="315"/>
      <c r="AF678" s="315"/>
      <c r="AG678" s="315"/>
      <c r="AH678" s="315"/>
      <c r="AI678" s="377"/>
      <c r="AJ678" s="407"/>
      <c r="AK678" s="377"/>
      <c r="AL678" s="314"/>
      <c r="AM678" s="314"/>
      <c r="AN678" s="314"/>
      <c r="AO678" s="315"/>
      <c r="AP678" s="257"/>
      <c r="AQ678" s="257"/>
      <c r="AR678" s="257"/>
      <c r="AS678" s="315"/>
      <c r="AT678" s="257"/>
      <c r="AU678" s="257"/>
      <c r="AV678" s="316"/>
      <c r="AW678" s="314"/>
      <c r="AX678" s="315"/>
      <c r="AY678" s="315"/>
      <c r="AZ678" s="315"/>
      <c r="BA678" s="315"/>
      <c r="BB678" s="315"/>
      <c r="BC678" s="315"/>
      <c r="BD678" s="319"/>
      <c r="BE678" s="319"/>
      <c r="BF678" s="319"/>
      <c r="BG678" s="319"/>
      <c r="BH678" s="319"/>
      <c r="BI678" s="319"/>
      <c r="BJ678" s="319"/>
      <c r="BK678" s="315"/>
      <c r="BL678" s="316"/>
      <c r="BM678" s="314"/>
      <c r="BN678" s="319"/>
      <c r="BO678" s="315"/>
      <c r="BP678" s="314"/>
      <c r="BQ678" s="316"/>
      <c r="BR678" s="314"/>
      <c r="BS678" s="262"/>
      <c r="BT678" s="262"/>
    </row>
    <row r="679" spans="1:72" ht="45.75" customHeight="1">
      <c r="A679" s="342"/>
      <c r="B679" s="342"/>
      <c r="C679" s="342"/>
      <c r="D679" s="343"/>
      <c r="E679" s="342"/>
      <c r="F679" s="342"/>
      <c r="G679" s="344"/>
      <c r="H679" s="344"/>
      <c r="I679" s="344"/>
      <c r="J679" s="334"/>
      <c r="K679" s="335"/>
      <c r="L679" s="336"/>
      <c r="M679" s="336"/>
      <c r="N679" s="337"/>
      <c r="O679" s="337"/>
      <c r="P679" s="315"/>
      <c r="Q679" s="314"/>
      <c r="R679" s="317"/>
      <c r="S679" s="315"/>
      <c r="T679" s="315"/>
      <c r="U679" s="315"/>
      <c r="V679" s="258"/>
      <c r="W679" s="322"/>
      <c r="X679" s="318"/>
      <c r="Y679" s="315"/>
      <c r="Z679" s="318"/>
      <c r="AA679" s="314"/>
      <c r="AB679" s="336"/>
      <c r="AC679" s="314"/>
      <c r="AD679" s="316"/>
      <c r="AE679" s="315"/>
      <c r="AF679" s="315"/>
      <c r="AG679" s="315"/>
      <c r="AH679" s="315"/>
      <c r="AI679" s="377"/>
      <c r="AJ679" s="407"/>
      <c r="AK679" s="377"/>
      <c r="AL679" s="314"/>
      <c r="AM679" s="314"/>
      <c r="AN679" s="314"/>
      <c r="AO679" s="315"/>
      <c r="AP679" s="257"/>
      <c r="AQ679" s="257"/>
      <c r="AR679" s="257"/>
      <c r="AS679" s="315"/>
      <c r="AT679" s="257"/>
      <c r="AU679" s="257"/>
      <c r="AV679" s="316"/>
      <c r="AW679" s="314"/>
      <c r="AX679" s="315"/>
      <c r="AY679" s="315"/>
      <c r="AZ679" s="315"/>
      <c r="BA679" s="315"/>
      <c r="BB679" s="315"/>
      <c r="BC679" s="315"/>
      <c r="BD679" s="319"/>
      <c r="BE679" s="319"/>
      <c r="BF679" s="319"/>
      <c r="BG679" s="319"/>
      <c r="BH679" s="319"/>
      <c r="BI679" s="319"/>
      <c r="BJ679" s="319"/>
      <c r="BK679" s="315"/>
      <c r="BL679" s="316"/>
      <c r="BM679" s="314"/>
      <c r="BN679" s="319"/>
      <c r="BO679" s="315"/>
      <c r="BP679" s="314"/>
      <c r="BQ679" s="316"/>
      <c r="BR679" s="314"/>
      <c r="BS679" s="262"/>
      <c r="BT679" s="262"/>
    </row>
    <row r="680" spans="1:72" ht="45.75" customHeight="1">
      <c r="A680" s="342"/>
      <c r="B680" s="342"/>
      <c r="C680" s="342"/>
      <c r="D680" s="343"/>
      <c r="E680" s="342"/>
      <c r="F680" s="342"/>
      <c r="G680" s="344"/>
      <c r="H680" s="344"/>
      <c r="I680" s="344"/>
      <c r="J680" s="334"/>
      <c r="K680" s="335"/>
      <c r="L680" s="336"/>
      <c r="M680" s="336"/>
      <c r="N680" s="337"/>
      <c r="O680" s="337"/>
      <c r="P680" s="315"/>
      <c r="Q680" s="314"/>
      <c r="R680" s="317"/>
      <c r="S680" s="315"/>
      <c r="T680" s="315"/>
      <c r="U680" s="315"/>
      <c r="V680" s="258"/>
      <c r="W680" s="322"/>
      <c r="X680" s="318"/>
      <c r="Y680" s="315"/>
      <c r="Z680" s="318"/>
      <c r="AA680" s="314"/>
      <c r="AB680" s="336"/>
      <c r="AC680" s="314"/>
      <c r="AD680" s="316"/>
      <c r="AE680" s="315"/>
      <c r="AF680" s="315"/>
      <c r="AG680" s="315"/>
      <c r="AH680" s="315"/>
      <c r="AI680" s="377"/>
      <c r="AJ680" s="407"/>
      <c r="AK680" s="377"/>
      <c r="AL680" s="314"/>
      <c r="AM680" s="314"/>
      <c r="AN680" s="314"/>
      <c r="AO680" s="315"/>
      <c r="AP680" s="257"/>
      <c r="AQ680" s="257"/>
      <c r="AR680" s="257"/>
      <c r="AS680" s="315"/>
      <c r="AT680" s="257"/>
      <c r="AU680" s="257"/>
      <c r="AV680" s="316"/>
      <c r="AW680" s="314"/>
      <c r="AX680" s="315"/>
      <c r="AY680" s="315"/>
      <c r="AZ680" s="315"/>
      <c r="BA680" s="315"/>
      <c r="BB680" s="315"/>
      <c r="BC680" s="315"/>
      <c r="BD680" s="319"/>
      <c r="BE680" s="319"/>
      <c r="BF680" s="319"/>
      <c r="BG680" s="319"/>
      <c r="BH680" s="319"/>
      <c r="BI680" s="319"/>
      <c r="BJ680" s="319"/>
      <c r="BK680" s="315"/>
      <c r="BL680" s="316"/>
      <c r="BM680" s="314"/>
      <c r="BN680" s="319"/>
      <c r="BO680" s="315"/>
      <c r="BP680" s="314"/>
      <c r="BQ680" s="316"/>
      <c r="BR680" s="314"/>
      <c r="BS680" s="262"/>
      <c r="BT680" s="262"/>
    </row>
    <row r="681" spans="1:72" ht="45.75" customHeight="1">
      <c r="A681" s="342"/>
      <c r="B681" s="342"/>
      <c r="C681" s="342"/>
      <c r="D681" s="343"/>
      <c r="E681" s="342"/>
      <c r="F681" s="342"/>
      <c r="G681" s="344"/>
      <c r="H681" s="344"/>
      <c r="I681" s="344"/>
      <c r="J681" s="334"/>
      <c r="K681" s="335"/>
      <c r="L681" s="336"/>
      <c r="M681" s="336"/>
      <c r="N681" s="337"/>
      <c r="O681" s="337"/>
      <c r="P681" s="315"/>
      <c r="Q681" s="314"/>
      <c r="R681" s="317"/>
      <c r="S681" s="315"/>
      <c r="T681" s="315"/>
      <c r="U681" s="315"/>
      <c r="V681" s="258"/>
      <c r="W681" s="322"/>
      <c r="X681" s="318"/>
      <c r="Y681" s="315"/>
      <c r="Z681" s="318"/>
      <c r="AA681" s="314"/>
      <c r="AB681" s="336"/>
      <c r="AC681" s="314"/>
      <c r="AD681" s="316"/>
      <c r="AE681" s="315"/>
      <c r="AF681" s="315"/>
      <c r="AG681" s="315"/>
      <c r="AH681" s="315"/>
      <c r="AI681" s="377"/>
      <c r="AJ681" s="407"/>
      <c r="AK681" s="377"/>
      <c r="AL681" s="314"/>
      <c r="AM681" s="314"/>
      <c r="AN681" s="314"/>
      <c r="AO681" s="315"/>
      <c r="AP681" s="257"/>
      <c r="AQ681" s="257"/>
      <c r="AR681" s="257"/>
      <c r="AS681" s="315"/>
      <c r="AT681" s="257"/>
      <c r="AU681" s="257"/>
      <c r="AV681" s="316"/>
      <c r="AW681" s="314"/>
      <c r="AX681" s="315"/>
      <c r="AY681" s="315"/>
      <c r="AZ681" s="315"/>
      <c r="BA681" s="315"/>
      <c r="BB681" s="315"/>
      <c r="BC681" s="315"/>
      <c r="BD681" s="319"/>
      <c r="BE681" s="319"/>
      <c r="BF681" s="319"/>
      <c r="BG681" s="319"/>
      <c r="BH681" s="319"/>
      <c r="BI681" s="319"/>
      <c r="BJ681" s="319"/>
      <c r="BK681" s="315"/>
      <c r="BL681" s="316"/>
      <c r="BM681" s="314"/>
      <c r="BN681" s="319"/>
      <c r="BO681" s="315"/>
      <c r="BP681" s="314"/>
      <c r="BQ681" s="316"/>
      <c r="BR681" s="314"/>
      <c r="BS681" s="262"/>
      <c r="BT681" s="262"/>
    </row>
    <row r="682" spans="1:72" ht="45.75" customHeight="1">
      <c r="A682" s="342"/>
      <c r="B682" s="342"/>
      <c r="C682" s="342"/>
      <c r="D682" s="343"/>
      <c r="E682" s="342"/>
      <c r="F682" s="342"/>
      <c r="G682" s="344"/>
      <c r="H682" s="344"/>
      <c r="I682" s="344"/>
      <c r="J682" s="334"/>
      <c r="K682" s="335"/>
      <c r="L682" s="336"/>
      <c r="M682" s="336"/>
      <c r="N682" s="337"/>
      <c r="O682" s="337"/>
      <c r="P682" s="315"/>
      <c r="Q682" s="314"/>
      <c r="R682" s="317"/>
      <c r="S682" s="315"/>
      <c r="T682" s="315"/>
      <c r="U682" s="315"/>
      <c r="V682" s="258"/>
      <c r="W682" s="322"/>
      <c r="X682" s="318"/>
      <c r="Y682" s="315"/>
      <c r="Z682" s="318"/>
      <c r="AA682" s="314"/>
      <c r="AB682" s="336"/>
      <c r="AC682" s="314"/>
      <c r="AD682" s="316"/>
      <c r="AE682" s="315"/>
      <c r="AF682" s="315"/>
      <c r="AG682" s="315"/>
      <c r="AH682" s="315"/>
      <c r="AI682" s="377"/>
      <c r="AJ682" s="407"/>
      <c r="AK682" s="377"/>
      <c r="AL682" s="314"/>
      <c r="AM682" s="314"/>
      <c r="AN682" s="314"/>
      <c r="AO682" s="315"/>
      <c r="AP682" s="257"/>
      <c r="AQ682" s="257"/>
      <c r="AR682" s="257"/>
      <c r="AS682" s="315"/>
      <c r="AT682" s="257"/>
      <c r="AU682" s="257"/>
      <c r="AV682" s="316"/>
      <c r="AW682" s="314"/>
      <c r="AX682" s="315"/>
      <c r="AY682" s="315"/>
      <c r="AZ682" s="315"/>
      <c r="BA682" s="315"/>
      <c r="BB682" s="315"/>
      <c r="BC682" s="315"/>
      <c r="BD682" s="319"/>
      <c r="BE682" s="319"/>
      <c r="BF682" s="319"/>
      <c r="BG682" s="319"/>
      <c r="BH682" s="319"/>
      <c r="BI682" s="319"/>
      <c r="BJ682" s="319"/>
      <c r="BK682" s="315"/>
      <c r="BL682" s="316"/>
      <c r="BM682" s="314"/>
      <c r="BN682" s="319"/>
      <c r="BO682" s="315"/>
      <c r="BP682" s="314"/>
      <c r="BQ682" s="316"/>
      <c r="BR682" s="314"/>
      <c r="BS682" s="262"/>
      <c r="BT682" s="262"/>
    </row>
    <row r="683" spans="1:72" ht="45.75" customHeight="1">
      <c r="A683" s="342"/>
      <c r="B683" s="342"/>
      <c r="C683" s="342"/>
      <c r="D683" s="343"/>
      <c r="E683" s="342"/>
      <c r="F683" s="342"/>
      <c r="G683" s="344"/>
      <c r="H683" s="344"/>
      <c r="I683" s="344"/>
      <c r="J683" s="334"/>
      <c r="K683" s="335"/>
      <c r="L683" s="336"/>
      <c r="M683" s="336"/>
      <c r="N683" s="337"/>
      <c r="O683" s="337"/>
      <c r="P683" s="315"/>
      <c r="Q683" s="314"/>
      <c r="R683" s="317"/>
      <c r="S683" s="315"/>
      <c r="T683" s="315"/>
      <c r="U683" s="315"/>
      <c r="V683" s="258"/>
      <c r="W683" s="322"/>
      <c r="X683" s="318"/>
      <c r="Y683" s="315"/>
      <c r="Z683" s="318"/>
      <c r="AA683" s="314"/>
      <c r="AB683" s="336"/>
      <c r="AC683" s="314"/>
      <c r="AD683" s="316"/>
      <c r="AE683" s="315"/>
      <c r="AF683" s="315"/>
      <c r="AG683" s="315"/>
      <c r="AH683" s="315"/>
      <c r="AI683" s="377"/>
      <c r="AJ683" s="407"/>
      <c r="AK683" s="377"/>
      <c r="AL683" s="314"/>
      <c r="AM683" s="314"/>
      <c r="AN683" s="314"/>
      <c r="AO683" s="315"/>
      <c r="AP683" s="257"/>
      <c r="AQ683" s="257"/>
      <c r="AR683" s="257"/>
      <c r="AS683" s="315"/>
      <c r="AT683" s="257"/>
      <c r="AU683" s="257"/>
      <c r="AV683" s="316"/>
      <c r="AW683" s="314"/>
      <c r="AX683" s="315"/>
      <c r="AY683" s="315"/>
      <c r="AZ683" s="315"/>
      <c r="BA683" s="315"/>
      <c r="BB683" s="315"/>
      <c r="BC683" s="315"/>
      <c r="BD683" s="319"/>
      <c r="BE683" s="319"/>
      <c r="BF683" s="319"/>
      <c r="BG683" s="319"/>
      <c r="BH683" s="319"/>
      <c r="BI683" s="319"/>
      <c r="BJ683" s="319"/>
      <c r="BK683" s="315"/>
      <c r="BL683" s="316"/>
      <c r="BM683" s="314"/>
      <c r="BN683" s="319"/>
      <c r="BO683" s="315"/>
      <c r="BP683" s="314"/>
      <c r="BQ683" s="316"/>
      <c r="BR683" s="314"/>
      <c r="BS683" s="262"/>
      <c r="BT683" s="262"/>
    </row>
    <row r="684" spans="1:72" ht="45.75" customHeight="1">
      <c r="A684" s="342"/>
      <c r="B684" s="342"/>
      <c r="C684" s="342"/>
      <c r="D684" s="343"/>
      <c r="E684" s="342"/>
      <c r="F684" s="342"/>
      <c r="G684" s="344"/>
      <c r="H684" s="344"/>
      <c r="I684" s="344"/>
      <c r="J684" s="334"/>
      <c r="K684" s="335"/>
      <c r="L684" s="336"/>
      <c r="M684" s="336"/>
      <c r="N684" s="337"/>
      <c r="O684" s="337"/>
      <c r="P684" s="315"/>
      <c r="Q684" s="314"/>
      <c r="R684" s="317"/>
      <c r="S684" s="315"/>
      <c r="T684" s="315"/>
      <c r="U684" s="315"/>
      <c r="V684" s="258"/>
      <c r="W684" s="322"/>
      <c r="X684" s="318"/>
      <c r="Y684" s="315"/>
      <c r="Z684" s="318"/>
      <c r="AA684" s="314"/>
      <c r="AB684" s="336"/>
      <c r="AC684" s="314"/>
      <c r="AD684" s="316"/>
      <c r="AE684" s="315"/>
      <c r="AF684" s="315"/>
      <c r="AG684" s="315"/>
      <c r="AH684" s="315"/>
      <c r="AI684" s="377"/>
      <c r="AJ684" s="407"/>
      <c r="AK684" s="377"/>
      <c r="AL684" s="314"/>
      <c r="AM684" s="314"/>
      <c r="AN684" s="314"/>
      <c r="AO684" s="315"/>
      <c r="AP684" s="257"/>
      <c r="AQ684" s="257"/>
      <c r="AR684" s="257"/>
      <c r="AS684" s="315"/>
      <c r="AT684" s="257"/>
      <c r="AU684" s="257"/>
      <c r="AV684" s="316"/>
      <c r="AW684" s="314"/>
      <c r="AX684" s="315"/>
      <c r="AY684" s="315"/>
      <c r="AZ684" s="315"/>
      <c r="BA684" s="315"/>
      <c r="BB684" s="315"/>
      <c r="BC684" s="315"/>
      <c r="BD684" s="319"/>
      <c r="BE684" s="319"/>
      <c r="BF684" s="319"/>
      <c r="BG684" s="319"/>
      <c r="BH684" s="319"/>
      <c r="BI684" s="319"/>
      <c r="BJ684" s="319"/>
      <c r="BK684" s="315"/>
      <c r="BL684" s="316"/>
      <c r="BM684" s="314"/>
      <c r="BN684" s="319"/>
      <c r="BO684" s="315"/>
      <c r="BP684" s="314"/>
      <c r="BQ684" s="316"/>
      <c r="BR684" s="314"/>
      <c r="BS684" s="262"/>
      <c r="BT684" s="262"/>
    </row>
    <row r="685" spans="1:72" ht="45.75" customHeight="1">
      <c r="A685" s="342"/>
      <c r="B685" s="342"/>
      <c r="C685" s="342"/>
      <c r="D685" s="343"/>
      <c r="E685" s="342"/>
      <c r="F685" s="342"/>
      <c r="G685" s="344"/>
      <c r="H685" s="344"/>
      <c r="I685" s="344"/>
      <c r="J685" s="334"/>
      <c r="K685" s="335"/>
      <c r="L685" s="336"/>
      <c r="M685" s="336"/>
      <c r="N685" s="337"/>
      <c r="O685" s="337"/>
      <c r="P685" s="315"/>
      <c r="Q685" s="314"/>
      <c r="R685" s="317"/>
      <c r="S685" s="315"/>
      <c r="T685" s="315"/>
      <c r="U685" s="315"/>
      <c r="V685" s="258"/>
      <c r="W685" s="322"/>
      <c r="X685" s="318"/>
      <c r="Y685" s="315"/>
      <c r="Z685" s="318"/>
      <c r="AA685" s="314"/>
      <c r="AB685" s="336"/>
      <c r="AC685" s="314"/>
      <c r="AD685" s="316"/>
      <c r="AE685" s="315"/>
      <c r="AF685" s="315"/>
      <c r="AG685" s="315"/>
      <c r="AH685" s="315"/>
      <c r="AI685" s="377"/>
      <c r="AJ685" s="407"/>
      <c r="AK685" s="377"/>
      <c r="AL685" s="314"/>
      <c r="AM685" s="314"/>
      <c r="AN685" s="314"/>
      <c r="AO685" s="315"/>
      <c r="AP685" s="257"/>
      <c r="AQ685" s="257"/>
      <c r="AR685" s="257"/>
      <c r="AS685" s="315"/>
      <c r="AT685" s="257"/>
      <c r="AU685" s="257"/>
      <c r="AV685" s="316"/>
      <c r="AW685" s="314"/>
      <c r="AX685" s="315"/>
      <c r="AY685" s="315"/>
      <c r="AZ685" s="315"/>
      <c r="BA685" s="315"/>
      <c r="BB685" s="315"/>
      <c r="BC685" s="315"/>
      <c r="BD685" s="319"/>
      <c r="BE685" s="319"/>
      <c r="BF685" s="319"/>
      <c r="BG685" s="319"/>
      <c r="BH685" s="319"/>
      <c r="BI685" s="319"/>
      <c r="BJ685" s="319"/>
      <c r="BK685" s="315"/>
      <c r="BL685" s="316"/>
      <c r="BM685" s="314"/>
      <c r="BN685" s="319"/>
      <c r="BO685" s="315"/>
      <c r="BP685" s="314"/>
      <c r="BQ685" s="316"/>
      <c r="BR685" s="314"/>
      <c r="BS685" s="262"/>
      <c r="BT685" s="262"/>
    </row>
    <row r="686" spans="1:72" ht="45.75" customHeight="1">
      <c r="A686" s="342"/>
      <c r="B686" s="342"/>
      <c r="C686" s="342"/>
      <c r="D686" s="343"/>
      <c r="E686" s="342"/>
      <c r="F686" s="342"/>
      <c r="G686" s="344"/>
      <c r="H686" s="344"/>
      <c r="I686" s="344"/>
      <c r="J686" s="334"/>
      <c r="K686" s="335"/>
      <c r="L686" s="336"/>
      <c r="M686" s="336"/>
      <c r="N686" s="337"/>
      <c r="O686" s="337"/>
      <c r="P686" s="315"/>
      <c r="Q686" s="314"/>
      <c r="R686" s="317"/>
      <c r="S686" s="315"/>
      <c r="T686" s="315"/>
      <c r="U686" s="315"/>
      <c r="V686" s="258"/>
      <c r="W686" s="322"/>
      <c r="X686" s="318"/>
      <c r="Y686" s="315"/>
      <c r="Z686" s="318"/>
      <c r="AA686" s="314"/>
      <c r="AB686" s="336"/>
      <c r="AC686" s="314"/>
      <c r="AD686" s="316"/>
      <c r="AE686" s="315"/>
      <c r="AF686" s="315"/>
      <c r="AG686" s="315"/>
      <c r="AH686" s="315"/>
      <c r="AI686" s="377"/>
      <c r="AJ686" s="407"/>
      <c r="AK686" s="377"/>
      <c r="AL686" s="314"/>
      <c r="AM686" s="314"/>
      <c r="AN686" s="314"/>
      <c r="AO686" s="315"/>
      <c r="AP686" s="257"/>
      <c r="AQ686" s="257"/>
      <c r="AR686" s="257"/>
      <c r="AS686" s="315"/>
      <c r="AT686" s="257"/>
      <c r="AU686" s="257"/>
      <c r="AV686" s="316"/>
      <c r="AW686" s="314"/>
      <c r="AX686" s="315"/>
      <c r="AY686" s="315"/>
      <c r="AZ686" s="315"/>
      <c r="BA686" s="315"/>
      <c r="BB686" s="315"/>
      <c r="BC686" s="315"/>
      <c r="BD686" s="319"/>
      <c r="BE686" s="319"/>
      <c r="BF686" s="319"/>
      <c r="BG686" s="319"/>
      <c r="BH686" s="319"/>
      <c r="BI686" s="319"/>
      <c r="BJ686" s="319"/>
      <c r="BK686" s="315"/>
      <c r="BL686" s="316"/>
      <c r="BM686" s="314"/>
      <c r="BN686" s="319"/>
      <c r="BO686" s="315"/>
      <c r="BP686" s="314"/>
      <c r="BQ686" s="316"/>
      <c r="BR686" s="314"/>
      <c r="BS686" s="262"/>
      <c r="BT686" s="262"/>
    </row>
    <row r="687" spans="1:72" ht="45.75" customHeight="1">
      <c r="A687" s="342"/>
      <c r="B687" s="342"/>
      <c r="C687" s="342"/>
      <c r="D687" s="343"/>
      <c r="E687" s="342"/>
      <c r="F687" s="342"/>
      <c r="G687" s="344"/>
      <c r="H687" s="344"/>
      <c r="I687" s="344"/>
      <c r="J687" s="334"/>
      <c r="K687" s="335"/>
      <c r="L687" s="336"/>
      <c r="M687" s="336"/>
      <c r="N687" s="337"/>
      <c r="O687" s="337"/>
      <c r="P687" s="315"/>
      <c r="Q687" s="314"/>
      <c r="R687" s="317"/>
      <c r="S687" s="315"/>
      <c r="T687" s="315"/>
      <c r="U687" s="315"/>
      <c r="V687" s="258"/>
      <c r="W687" s="322"/>
      <c r="X687" s="318"/>
      <c r="Y687" s="315"/>
      <c r="Z687" s="318"/>
      <c r="AA687" s="314"/>
      <c r="AB687" s="336"/>
      <c r="AC687" s="314"/>
      <c r="AD687" s="316"/>
      <c r="AE687" s="315"/>
      <c r="AF687" s="315"/>
      <c r="AG687" s="315"/>
      <c r="AH687" s="315"/>
      <c r="AI687" s="377"/>
      <c r="AJ687" s="407"/>
      <c r="AK687" s="377"/>
      <c r="AL687" s="314"/>
      <c r="AM687" s="314"/>
      <c r="AN687" s="314"/>
      <c r="AO687" s="315"/>
      <c r="AP687" s="257"/>
      <c r="AQ687" s="257"/>
      <c r="AR687" s="257"/>
      <c r="AS687" s="315"/>
      <c r="AT687" s="257"/>
      <c r="AU687" s="257"/>
      <c r="AV687" s="316"/>
      <c r="AW687" s="314"/>
      <c r="AX687" s="315"/>
      <c r="AY687" s="315"/>
      <c r="AZ687" s="315"/>
      <c r="BA687" s="315"/>
      <c r="BB687" s="315"/>
      <c r="BC687" s="315"/>
      <c r="BD687" s="319"/>
      <c r="BE687" s="319"/>
      <c r="BF687" s="319"/>
      <c r="BG687" s="319"/>
      <c r="BH687" s="319"/>
      <c r="BI687" s="319"/>
      <c r="BJ687" s="319"/>
      <c r="BK687" s="315"/>
      <c r="BL687" s="316"/>
      <c r="BM687" s="314"/>
      <c r="BN687" s="319"/>
      <c r="BO687" s="315"/>
      <c r="BP687" s="314"/>
      <c r="BQ687" s="316"/>
      <c r="BR687" s="314"/>
      <c r="BS687" s="262"/>
      <c r="BT687" s="262"/>
    </row>
    <row r="688" spans="1:72" ht="45.75" customHeight="1">
      <c r="A688" s="342"/>
      <c r="B688" s="342"/>
      <c r="C688" s="342"/>
      <c r="D688" s="343"/>
      <c r="E688" s="342"/>
      <c r="F688" s="342"/>
      <c r="G688" s="344"/>
      <c r="H688" s="344"/>
      <c r="I688" s="344"/>
      <c r="J688" s="334"/>
      <c r="K688" s="335"/>
      <c r="L688" s="336"/>
      <c r="M688" s="336"/>
      <c r="N688" s="337"/>
      <c r="O688" s="337"/>
      <c r="P688" s="315"/>
      <c r="Q688" s="314"/>
      <c r="R688" s="317"/>
      <c r="S688" s="315"/>
      <c r="T688" s="315"/>
      <c r="U688" s="315"/>
      <c r="V688" s="258"/>
      <c r="W688" s="322"/>
      <c r="X688" s="318"/>
      <c r="Y688" s="315"/>
      <c r="Z688" s="318"/>
      <c r="AA688" s="314"/>
      <c r="AB688" s="336"/>
      <c r="AC688" s="314"/>
      <c r="AD688" s="316"/>
      <c r="AE688" s="315"/>
      <c r="AF688" s="315"/>
      <c r="AG688" s="315"/>
      <c r="AH688" s="315"/>
      <c r="AI688" s="377"/>
      <c r="AJ688" s="407"/>
      <c r="AK688" s="377"/>
      <c r="AL688" s="314"/>
      <c r="AM688" s="314"/>
      <c r="AN688" s="314"/>
      <c r="AO688" s="315"/>
      <c r="AP688" s="257"/>
      <c r="AQ688" s="257"/>
      <c r="AR688" s="257"/>
      <c r="AS688" s="315"/>
      <c r="AT688" s="257"/>
      <c r="AU688" s="257"/>
      <c r="AV688" s="316"/>
      <c r="AW688" s="314"/>
      <c r="AX688" s="315"/>
      <c r="AY688" s="315"/>
      <c r="AZ688" s="315"/>
      <c r="BA688" s="315"/>
      <c r="BB688" s="315"/>
      <c r="BC688" s="315"/>
      <c r="BD688" s="319"/>
      <c r="BE688" s="319"/>
      <c r="BF688" s="319"/>
      <c r="BG688" s="319"/>
      <c r="BH688" s="319"/>
      <c r="BI688" s="319"/>
      <c r="BJ688" s="319"/>
      <c r="BK688" s="315"/>
      <c r="BL688" s="316"/>
      <c r="BM688" s="314"/>
      <c r="BN688" s="319"/>
      <c r="BO688" s="315"/>
      <c r="BP688" s="314"/>
      <c r="BQ688" s="316"/>
      <c r="BR688" s="314"/>
      <c r="BS688" s="262"/>
      <c r="BT688" s="262"/>
    </row>
    <row r="689" spans="1:72" ht="45.75" customHeight="1">
      <c r="A689" s="342"/>
      <c r="B689" s="342"/>
      <c r="C689" s="342"/>
      <c r="D689" s="343"/>
      <c r="E689" s="342"/>
      <c r="F689" s="342"/>
      <c r="G689" s="344"/>
      <c r="H689" s="344"/>
      <c r="I689" s="344"/>
      <c r="J689" s="334"/>
      <c r="K689" s="335"/>
      <c r="L689" s="336"/>
      <c r="M689" s="336"/>
      <c r="N689" s="337"/>
      <c r="O689" s="337"/>
      <c r="P689" s="315"/>
      <c r="Q689" s="314"/>
      <c r="R689" s="317"/>
      <c r="S689" s="315"/>
      <c r="T689" s="315"/>
      <c r="U689" s="315"/>
      <c r="V689" s="258"/>
      <c r="W689" s="322"/>
      <c r="X689" s="318"/>
      <c r="Y689" s="315"/>
      <c r="Z689" s="318"/>
      <c r="AA689" s="314"/>
      <c r="AB689" s="336"/>
      <c r="AC689" s="314"/>
      <c r="AD689" s="316"/>
      <c r="AE689" s="315"/>
      <c r="AF689" s="315"/>
      <c r="AG689" s="315"/>
      <c r="AH689" s="315"/>
      <c r="AI689" s="377"/>
      <c r="AJ689" s="407"/>
      <c r="AK689" s="377"/>
      <c r="AL689" s="314"/>
      <c r="AM689" s="314"/>
      <c r="AN689" s="314"/>
      <c r="AO689" s="315"/>
      <c r="AP689" s="257"/>
      <c r="AQ689" s="257"/>
      <c r="AR689" s="257"/>
      <c r="AS689" s="315"/>
      <c r="AT689" s="257"/>
      <c r="AU689" s="257"/>
      <c r="AV689" s="316"/>
      <c r="AW689" s="314"/>
      <c r="AX689" s="315"/>
      <c r="AY689" s="315"/>
      <c r="AZ689" s="315"/>
      <c r="BA689" s="315"/>
      <c r="BB689" s="315"/>
      <c r="BC689" s="315"/>
      <c r="BD689" s="319"/>
      <c r="BE689" s="319"/>
      <c r="BF689" s="319"/>
      <c r="BG689" s="319"/>
      <c r="BH689" s="319"/>
      <c r="BI689" s="319"/>
      <c r="BJ689" s="319"/>
      <c r="BK689" s="315"/>
      <c r="BL689" s="316"/>
      <c r="BM689" s="314"/>
      <c r="BN689" s="319"/>
      <c r="BO689" s="315"/>
      <c r="BP689" s="314"/>
      <c r="BQ689" s="316"/>
      <c r="BR689" s="314"/>
      <c r="BS689" s="262"/>
      <c r="BT689" s="262"/>
    </row>
    <row r="690" spans="1:72" ht="45.75" customHeight="1">
      <c r="A690" s="342"/>
      <c r="B690" s="342"/>
      <c r="C690" s="342"/>
      <c r="D690" s="343"/>
      <c r="E690" s="342"/>
      <c r="F690" s="342"/>
      <c r="G690" s="344"/>
      <c r="H690" s="344"/>
      <c r="I690" s="344"/>
      <c r="J690" s="334"/>
      <c r="K690" s="335"/>
      <c r="L690" s="336"/>
      <c r="M690" s="336"/>
      <c r="N690" s="337"/>
      <c r="O690" s="337"/>
      <c r="P690" s="315"/>
      <c r="Q690" s="314"/>
      <c r="R690" s="317"/>
      <c r="S690" s="315"/>
      <c r="T690" s="315"/>
      <c r="U690" s="315"/>
      <c r="V690" s="258"/>
      <c r="W690" s="322"/>
      <c r="X690" s="318"/>
      <c r="Y690" s="315"/>
      <c r="Z690" s="318"/>
      <c r="AA690" s="314"/>
      <c r="AB690" s="336"/>
      <c r="AC690" s="314"/>
      <c r="AD690" s="316"/>
      <c r="AE690" s="315"/>
      <c r="AF690" s="315"/>
      <c r="AG690" s="315"/>
      <c r="AH690" s="315"/>
      <c r="AI690" s="377"/>
      <c r="AJ690" s="407"/>
      <c r="AK690" s="377"/>
      <c r="AL690" s="314"/>
      <c r="AM690" s="314"/>
      <c r="AN690" s="314"/>
      <c r="AO690" s="315"/>
      <c r="AP690" s="257"/>
      <c r="AQ690" s="257"/>
      <c r="AR690" s="257"/>
      <c r="AS690" s="315"/>
      <c r="AT690" s="257"/>
      <c r="AU690" s="257"/>
      <c r="AV690" s="316"/>
      <c r="AW690" s="314"/>
      <c r="AX690" s="315"/>
      <c r="AY690" s="315"/>
      <c r="AZ690" s="315"/>
      <c r="BA690" s="315"/>
      <c r="BB690" s="315"/>
      <c r="BC690" s="315"/>
      <c r="BD690" s="319"/>
      <c r="BE690" s="319"/>
      <c r="BF690" s="319"/>
      <c r="BG690" s="319"/>
      <c r="BH690" s="319"/>
      <c r="BI690" s="319"/>
      <c r="BJ690" s="319"/>
      <c r="BK690" s="315"/>
      <c r="BL690" s="316"/>
      <c r="BM690" s="314"/>
      <c r="BN690" s="319"/>
      <c r="BO690" s="315"/>
      <c r="BP690" s="314"/>
      <c r="BQ690" s="316"/>
      <c r="BR690" s="314"/>
      <c r="BS690" s="262"/>
      <c r="BT690" s="262"/>
    </row>
    <row r="691" spans="1:72" ht="45.75" customHeight="1">
      <c r="A691" s="342"/>
      <c r="B691" s="342"/>
      <c r="C691" s="342"/>
      <c r="D691" s="343"/>
      <c r="E691" s="342"/>
      <c r="F691" s="342"/>
      <c r="G691" s="344"/>
      <c r="H691" s="344"/>
      <c r="I691" s="344"/>
      <c r="J691" s="334"/>
      <c r="K691" s="335"/>
      <c r="L691" s="336"/>
      <c r="M691" s="336"/>
      <c r="N691" s="337"/>
      <c r="O691" s="337"/>
      <c r="P691" s="315"/>
      <c r="Q691" s="314"/>
      <c r="R691" s="317"/>
      <c r="S691" s="315"/>
      <c r="T691" s="315"/>
      <c r="U691" s="315"/>
      <c r="V691" s="258"/>
      <c r="W691" s="322"/>
      <c r="X691" s="318"/>
      <c r="Y691" s="315"/>
      <c r="Z691" s="318"/>
      <c r="AA691" s="314"/>
      <c r="AB691" s="336"/>
      <c r="AC691" s="314"/>
      <c r="AD691" s="316"/>
      <c r="AE691" s="315"/>
      <c r="AF691" s="315"/>
      <c r="AG691" s="315"/>
      <c r="AH691" s="315"/>
      <c r="AI691" s="377"/>
      <c r="AJ691" s="407"/>
      <c r="AK691" s="377"/>
      <c r="AL691" s="314"/>
      <c r="AM691" s="314"/>
      <c r="AN691" s="314"/>
      <c r="AO691" s="315"/>
      <c r="AP691" s="257"/>
      <c r="AQ691" s="257"/>
      <c r="AR691" s="257"/>
      <c r="AS691" s="315"/>
      <c r="AT691" s="257"/>
      <c r="AU691" s="257"/>
      <c r="AV691" s="316"/>
      <c r="AW691" s="314"/>
      <c r="AX691" s="315"/>
      <c r="AY691" s="315"/>
      <c r="AZ691" s="315"/>
      <c r="BA691" s="315"/>
      <c r="BB691" s="315"/>
      <c r="BC691" s="315"/>
      <c r="BD691" s="319"/>
      <c r="BE691" s="319"/>
      <c r="BF691" s="319"/>
      <c r="BG691" s="319"/>
      <c r="BH691" s="319"/>
      <c r="BI691" s="319"/>
      <c r="BJ691" s="319"/>
      <c r="BK691" s="315"/>
      <c r="BL691" s="316"/>
      <c r="BM691" s="314"/>
      <c r="BN691" s="319"/>
      <c r="BO691" s="315"/>
      <c r="BP691" s="314"/>
      <c r="BQ691" s="316"/>
      <c r="BR691" s="314"/>
      <c r="BS691" s="262"/>
      <c r="BT691" s="262"/>
    </row>
    <row r="692" spans="1:72" ht="45.75" customHeight="1">
      <c r="A692" s="342"/>
      <c r="B692" s="342"/>
      <c r="C692" s="342"/>
      <c r="D692" s="343"/>
      <c r="E692" s="342"/>
      <c r="F692" s="342"/>
      <c r="G692" s="344"/>
      <c r="H692" s="344"/>
      <c r="I692" s="344"/>
      <c r="J692" s="334"/>
      <c r="K692" s="335"/>
      <c r="L692" s="336"/>
      <c r="M692" s="336"/>
      <c r="N692" s="337"/>
      <c r="O692" s="337"/>
      <c r="P692" s="315"/>
      <c r="Q692" s="314"/>
      <c r="R692" s="317"/>
      <c r="S692" s="315"/>
      <c r="T692" s="315"/>
      <c r="U692" s="315"/>
      <c r="V692" s="258"/>
      <c r="W692" s="322"/>
      <c r="X692" s="318"/>
      <c r="Y692" s="315"/>
      <c r="Z692" s="318"/>
      <c r="AA692" s="314"/>
      <c r="AB692" s="336"/>
      <c r="AC692" s="314"/>
      <c r="AD692" s="316"/>
      <c r="AE692" s="315"/>
      <c r="AF692" s="315"/>
      <c r="AG692" s="315"/>
      <c r="AH692" s="315"/>
      <c r="AI692" s="377"/>
      <c r="AJ692" s="407"/>
      <c r="AK692" s="377"/>
      <c r="AL692" s="314"/>
      <c r="AM692" s="314"/>
      <c r="AN692" s="314"/>
      <c r="AO692" s="315"/>
      <c r="AP692" s="257"/>
      <c r="AQ692" s="257"/>
      <c r="AR692" s="257"/>
      <c r="AS692" s="315"/>
      <c r="AT692" s="257"/>
      <c r="AU692" s="257"/>
      <c r="AV692" s="316"/>
      <c r="AW692" s="314"/>
      <c r="AX692" s="315"/>
      <c r="AY692" s="315"/>
      <c r="AZ692" s="315"/>
      <c r="BA692" s="315"/>
      <c r="BB692" s="315"/>
      <c r="BC692" s="315"/>
      <c r="BD692" s="319"/>
      <c r="BE692" s="319"/>
      <c r="BF692" s="319"/>
      <c r="BG692" s="319"/>
      <c r="BH692" s="319"/>
      <c r="BI692" s="319"/>
      <c r="BJ692" s="319"/>
      <c r="BK692" s="315"/>
      <c r="BL692" s="316"/>
      <c r="BM692" s="314"/>
      <c r="BN692" s="319"/>
      <c r="BO692" s="315"/>
      <c r="BP692" s="314"/>
      <c r="BQ692" s="316"/>
      <c r="BR692" s="314"/>
      <c r="BS692" s="262"/>
      <c r="BT692" s="262"/>
    </row>
    <row r="693" spans="1:72" ht="45.75" customHeight="1">
      <c r="A693" s="342"/>
      <c r="B693" s="342"/>
      <c r="C693" s="342"/>
      <c r="D693" s="343"/>
      <c r="E693" s="342"/>
      <c r="F693" s="342"/>
      <c r="G693" s="344"/>
      <c r="H693" s="344"/>
      <c r="I693" s="344"/>
      <c r="J693" s="334"/>
      <c r="K693" s="335"/>
      <c r="L693" s="336"/>
      <c r="M693" s="336"/>
      <c r="N693" s="337"/>
      <c r="O693" s="337"/>
      <c r="P693" s="315"/>
      <c r="Q693" s="314"/>
      <c r="R693" s="317"/>
      <c r="S693" s="315"/>
      <c r="T693" s="315"/>
      <c r="U693" s="315"/>
      <c r="V693" s="258"/>
      <c r="W693" s="322"/>
      <c r="X693" s="318"/>
      <c r="Y693" s="315"/>
      <c r="Z693" s="318"/>
      <c r="AA693" s="314"/>
      <c r="AB693" s="336"/>
      <c r="AC693" s="314"/>
      <c r="AD693" s="316"/>
      <c r="AE693" s="315"/>
      <c r="AF693" s="315"/>
      <c r="AG693" s="315"/>
      <c r="AH693" s="315"/>
      <c r="AI693" s="377"/>
      <c r="AJ693" s="407"/>
      <c r="AK693" s="377"/>
      <c r="AL693" s="314"/>
      <c r="AM693" s="314"/>
      <c r="AN693" s="314"/>
      <c r="AO693" s="315"/>
      <c r="AP693" s="257"/>
      <c r="AQ693" s="257"/>
      <c r="AR693" s="257"/>
      <c r="AS693" s="315"/>
      <c r="AT693" s="257"/>
      <c r="AU693" s="257"/>
      <c r="AV693" s="316"/>
      <c r="AW693" s="314"/>
      <c r="AX693" s="315"/>
      <c r="AY693" s="315"/>
      <c r="AZ693" s="315"/>
      <c r="BA693" s="315"/>
      <c r="BB693" s="315"/>
      <c r="BC693" s="315"/>
      <c r="BD693" s="319"/>
      <c r="BE693" s="319"/>
      <c r="BF693" s="319"/>
      <c r="BG693" s="319"/>
      <c r="BH693" s="319"/>
      <c r="BI693" s="319"/>
      <c r="BJ693" s="319"/>
      <c r="BK693" s="315"/>
      <c r="BL693" s="316"/>
      <c r="BM693" s="314"/>
      <c r="BN693" s="319"/>
      <c r="BO693" s="315"/>
      <c r="BP693" s="314"/>
      <c r="BQ693" s="316"/>
      <c r="BR693" s="314"/>
      <c r="BS693" s="262"/>
      <c r="BT693" s="262"/>
    </row>
    <row r="694" spans="1:72" ht="45.75" customHeight="1">
      <c r="A694" s="342"/>
      <c r="B694" s="342"/>
      <c r="C694" s="342"/>
      <c r="D694" s="343"/>
      <c r="E694" s="342"/>
      <c r="F694" s="342"/>
      <c r="G694" s="344"/>
      <c r="H694" s="344"/>
      <c r="I694" s="344"/>
      <c r="J694" s="334"/>
      <c r="K694" s="335"/>
      <c r="L694" s="336"/>
      <c r="M694" s="336"/>
      <c r="N694" s="337"/>
      <c r="O694" s="337"/>
      <c r="P694" s="315"/>
      <c r="Q694" s="314"/>
      <c r="R694" s="317"/>
      <c r="S694" s="315"/>
      <c r="T694" s="315"/>
      <c r="U694" s="315"/>
      <c r="V694" s="258"/>
      <c r="W694" s="322"/>
      <c r="X694" s="318"/>
      <c r="Y694" s="315"/>
      <c r="Z694" s="318"/>
      <c r="AA694" s="314"/>
      <c r="AB694" s="336"/>
      <c r="AC694" s="314"/>
      <c r="AD694" s="316"/>
      <c r="AE694" s="315"/>
      <c r="AF694" s="315"/>
      <c r="AG694" s="315"/>
      <c r="AH694" s="315"/>
      <c r="AI694" s="377"/>
      <c r="AJ694" s="407"/>
      <c r="AK694" s="377"/>
      <c r="AL694" s="314"/>
      <c r="AM694" s="314"/>
      <c r="AN694" s="314"/>
      <c r="AO694" s="315"/>
      <c r="AP694" s="257"/>
      <c r="AQ694" s="257"/>
      <c r="AR694" s="257"/>
      <c r="AS694" s="315"/>
      <c r="AT694" s="257"/>
      <c r="AU694" s="257"/>
      <c r="AV694" s="316"/>
      <c r="AW694" s="314"/>
      <c r="AX694" s="315"/>
      <c r="AY694" s="315"/>
      <c r="AZ694" s="315"/>
      <c r="BA694" s="315"/>
      <c r="BB694" s="315"/>
      <c r="BC694" s="315"/>
      <c r="BD694" s="319"/>
      <c r="BE694" s="319"/>
      <c r="BF694" s="319"/>
      <c r="BG694" s="319"/>
      <c r="BH694" s="319"/>
      <c r="BI694" s="319"/>
      <c r="BJ694" s="319"/>
      <c r="BK694" s="315"/>
      <c r="BL694" s="316"/>
      <c r="BM694" s="314"/>
      <c r="BN694" s="319"/>
      <c r="BO694" s="315"/>
      <c r="BP694" s="314"/>
      <c r="BQ694" s="316"/>
      <c r="BR694" s="314"/>
      <c r="BS694" s="262"/>
      <c r="BT694" s="262"/>
    </row>
    <row r="695" spans="1:72" ht="45.75" customHeight="1">
      <c r="A695" s="342"/>
      <c r="B695" s="342"/>
      <c r="C695" s="342"/>
      <c r="D695" s="343"/>
      <c r="E695" s="342"/>
      <c r="F695" s="342"/>
      <c r="G695" s="344"/>
      <c r="H695" s="344"/>
      <c r="I695" s="344"/>
      <c r="J695" s="334"/>
      <c r="K695" s="335"/>
      <c r="L695" s="336"/>
      <c r="M695" s="336"/>
      <c r="N695" s="337"/>
      <c r="O695" s="337"/>
      <c r="P695" s="315"/>
      <c r="Q695" s="314"/>
      <c r="R695" s="317"/>
      <c r="S695" s="315"/>
      <c r="T695" s="315"/>
      <c r="U695" s="315"/>
      <c r="V695" s="258"/>
      <c r="W695" s="322"/>
      <c r="X695" s="318"/>
      <c r="Y695" s="315"/>
      <c r="Z695" s="318"/>
      <c r="AA695" s="314"/>
      <c r="AB695" s="336"/>
      <c r="AC695" s="314"/>
      <c r="AD695" s="316"/>
      <c r="AE695" s="315"/>
      <c r="AF695" s="315"/>
      <c r="AG695" s="315"/>
      <c r="AH695" s="315"/>
      <c r="AI695" s="377"/>
      <c r="AJ695" s="407"/>
      <c r="AK695" s="377"/>
      <c r="AL695" s="314"/>
      <c r="AM695" s="314"/>
      <c r="AN695" s="314"/>
      <c r="AO695" s="315"/>
      <c r="AP695" s="257"/>
      <c r="AQ695" s="257"/>
      <c r="AR695" s="257"/>
      <c r="AS695" s="315"/>
      <c r="AT695" s="257"/>
      <c r="AU695" s="257"/>
      <c r="AV695" s="316"/>
      <c r="AW695" s="314"/>
      <c r="AX695" s="315"/>
      <c r="AY695" s="315"/>
      <c r="AZ695" s="315"/>
      <c r="BA695" s="315"/>
      <c r="BB695" s="315"/>
      <c r="BC695" s="315"/>
      <c r="BD695" s="319"/>
      <c r="BE695" s="319"/>
      <c r="BF695" s="319"/>
      <c r="BG695" s="319"/>
      <c r="BH695" s="319"/>
      <c r="BI695" s="319"/>
      <c r="BJ695" s="319"/>
      <c r="BK695" s="315"/>
      <c r="BL695" s="316"/>
      <c r="BM695" s="314"/>
      <c r="BN695" s="319"/>
      <c r="BO695" s="315"/>
      <c r="BP695" s="314"/>
      <c r="BQ695" s="316"/>
      <c r="BR695" s="314"/>
      <c r="BS695" s="262"/>
      <c r="BT695" s="262"/>
    </row>
    <row r="696" spans="1:72" ht="45.75" customHeight="1">
      <c r="A696" s="342"/>
      <c r="B696" s="342"/>
      <c r="C696" s="342"/>
      <c r="D696" s="343"/>
      <c r="E696" s="342"/>
      <c r="F696" s="342"/>
      <c r="G696" s="344"/>
      <c r="H696" s="344"/>
      <c r="I696" s="344"/>
      <c r="J696" s="334"/>
      <c r="K696" s="335"/>
      <c r="L696" s="336"/>
      <c r="M696" s="336"/>
      <c r="N696" s="337"/>
      <c r="O696" s="337"/>
      <c r="P696" s="315"/>
      <c r="Q696" s="314"/>
      <c r="R696" s="317"/>
      <c r="S696" s="315"/>
      <c r="T696" s="315"/>
      <c r="U696" s="315"/>
      <c r="V696" s="258"/>
      <c r="W696" s="322"/>
      <c r="X696" s="318"/>
      <c r="Y696" s="315"/>
      <c r="Z696" s="318"/>
      <c r="AA696" s="314"/>
      <c r="AB696" s="336"/>
      <c r="AC696" s="314"/>
      <c r="AD696" s="316"/>
      <c r="AE696" s="315"/>
      <c r="AF696" s="315"/>
      <c r="AG696" s="315"/>
      <c r="AH696" s="315"/>
      <c r="AI696" s="377"/>
      <c r="AJ696" s="407"/>
      <c r="AK696" s="377"/>
      <c r="AL696" s="314"/>
      <c r="AM696" s="314"/>
      <c r="AN696" s="314"/>
      <c r="AO696" s="315"/>
      <c r="AP696" s="257"/>
      <c r="AQ696" s="257"/>
      <c r="AR696" s="257"/>
      <c r="AS696" s="315"/>
      <c r="AT696" s="257"/>
      <c r="AU696" s="257"/>
      <c r="AV696" s="316"/>
      <c r="AW696" s="314"/>
      <c r="AX696" s="315"/>
      <c r="AY696" s="315"/>
      <c r="AZ696" s="315"/>
      <c r="BA696" s="315"/>
      <c r="BB696" s="315"/>
      <c r="BC696" s="315"/>
      <c r="BD696" s="319"/>
      <c r="BE696" s="319"/>
      <c r="BF696" s="319"/>
      <c r="BG696" s="319"/>
      <c r="BH696" s="319"/>
      <c r="BI696" s="319"/>
      <c r="BJ696" s="319"/>
      <c r="BK696" s="315"/>
      <c r="BL696" s="316"/>
      <c r="BM696" s="314"/>
      <c r="BN696" s="319"/>
      <c r="BO696" s="315"/>
      <c r="BP696" s="314"/>
      <c r="BQ696" s="316"/>
      <c r="BR696" s="314"/>
      <c r="BS696" s="262"/>
      <c r="BT696" s="262"/>
    </row>
    <row r="697" spans="1:72" ht="45.75" customHeight="1">
      <c r="A697" s="342"/>
      <c r="B697" s="342"/>
      <c r="C697" s="342"/>
      <c r="D697" s="343"/>
      <c r="E697" s="342"/>
      <c r="F697" s="342"/>
      <c r="G697" s="344"/>
      <c r="H697" s="344"/>
      <c r="I697" s="344"/>
      <c r="J697" s="334"/>
      <c r="K697" s="335"/>
      <c r="L697" s="336"/>
      <c r="M697" s="336"/>
      <c r="N697" s="337"/>
      <c r="O697" s="337"/>
      <c r="P697" s="315"/>
      <c r="Q697" s="314"/>
      <c r="R697" s="317"/>
      <c r="S697" s="315"/>
      <c r="T697" s="315"/>
      <c r="U697" s="315"/>
      <c r="V697" s="258"/>
      <c r="W697" s="322"/>
      <c r="X697" s="318"/>
      <c r="Y697" s="315"/>
      <c r="Z697" s="318"/>
      <c r="AA697" s="314"/>
      <c r="AB697" s="336"/>
      <c r="AC697" s="314"/>
      <c r="AD697" s="316"/>
      <c r="AE697" s="315"/>
      <c r="AF697" s="315"/>
      <c r="AG697" s="315"/>
      <c r="AH697" s="315"/>
      <c r="AI697" s="377"/>
      <c r="AJ697" s="407"/>
      <c r="AK697" s="377"/>
      <c r="AL697" s="314"/>
      <c r="AM697" s="314"/>
      <c r="AN697" s="314"/>
      <c r="AO697" s="315"/>
      <c r="AP697" s="257"/>
      <c r="AQ697" s="257"/>
      <c r="AR697" s="257"/>
      <c r="AS697" s="315"/>
      <c r="AT697" s="257"/>
      <c r="AU697" s="257"/>
      <c r="AV697" s="316"/>
      <c r="AW697" s="314"/>
      <c r="AX697" s="315"/>
      <c r="AY697" s="315"/>
      <c r="AZ697" s="315"/>
      <c r="BA697" s="315"/>
      <c r="BB697" s="315"/>
      <c r="BC697" s="315"/>
      <c r="BD697" s="319"/>
      <c r="BE697" s="319"/>
      <c r="BF697" s="319"/>
      <c r="BG697" s="319"/>
      <c r="BH697" s="319"/>
      <c r="BI697" s="319"/>
      <c r="BJ697" s="319"/>
      <c r="BK697" s="315"/>
      <c r="BL697" s="316"/>
      <c r="BM697" s="314"/>
      <c r="BN697" s="319"/>
      <c r="BO697" s="315"/>
      <c r="BP697" s="314"/>
      <c r="BQ697" s="316"/>
      <c r="BR697" s="314"/>
      <c r="BS697" s="262"/>
      <c r="BT697" s="262"/>
    </row>
    <row r="698" spans="1:72" ht="45.75" customHeight="1">
      <c r="A698" s="342"/>
      <c r="B698" s="342"/>
      <c r="C698" s="342"/>
      <c r="D698" s="343"/>
      <c r="E698" s="342"/>
      <c r="F698" s="342"/>
      <c r="G698" s="344"/>
      <c r="H698" s="344"/>
      <c r="I698" s="344"/>
      <c r="J698" s="334"/>
      <c r="K698" s="335"/>
      <c r="L698" s="336"/>
      <c r="M698" s="336"/>
      <c r="N698" s="337"/>
      <c r="O698" s="337"/>
      <c r="P698" s="315"/>
      <c r="Q698" s="314"/>
      <c r="R698" s="317"/>
      <c r="S698" s="315"/>
      <c r="T698" s="315"/>
      <c r="U698" s="315"/>
      <c r="V698" s="258"/>
      <c r="W698" s="322"/>
      <c r="X698" s="318"/>
      <c r="Y698" s="315"/>
      <c r="Z698" s="318"/>
      <c r="AA698" s="314"/>
      <c r="AB698" s="336"/>
      <c r="AC698" s="314"/>
      <c r="AD698" s="316"/>
      <c r="AE698" s="315"/>
      <c r="AF698" s="315"/>
      <c r="AG698" s="315"/>
      <c r="AH698" s="315"/>
      <c r="AI698" s="377"/>
      <c r="AJ698" s="407"/>
      <c r="AK698" s="377"/>
      <c r="AL698" s="314"/>
      <c r="AM698" s="314"/>
      <c r="AN698" s="314"/>
      <c r="AO698" s="315"/>
      <c r="AP698" s="257"/>
      <c r="AQ698" s="257"/>
      <c r="AR698" s="257"/>
      <c r="AS698" s="315"/>
      <c r="AT698" s="257"/>
      <c r="AU698" s="257"/>
      <c r="AV698" s="316"/>
      <c r="AW698" s="314"/>
      <c r="AX698" s="315"/>
      <c r="AY698" s="315"/>
      <c r="AZ698" s="315"/>
      <c r="BA698" s="315"/>
      <c r="BB698" s="315"/>
      <c r="BC698" s="315"/>
      <c r="BD698" s="319"/>
      <c r="BE698" s="319"/>
      <c r="BF698" s="319"/>
      <c r="BG698" s="319"/>
      <c r="BH698" s="319"/>
      <c r="BI698" s="319"/>
      <c r="BJ698" s="319"/>
      <c r="BK698" s="315"/>
      <c r="BL698" s="316"/>
      <c r="BM698" s="314"/>
      <c r="BN698" s="319"/>
      <c r="BO698" s="315"/>
      <c r="BP698" s="314"/>
      <c r="BQ698" s="316"/>
      <c r="BR698" s="314"/>
      <c r="BS698" s="262"/>
      <c r="BT698" s="262"/>
    </row>
    <row r="699" spans="1:72" ht="45.75" customHeight="1">
      <c r="A699" s="342"/>
      <c r="B699" s="342"/>
      <c r="C699" s="342"/>
      <c r="D699" s="343"/>
      <c r="E699" s="342"/>
      <c r="F699" s="342"/>
      <c r="G699" s="344"/>
      <c r="H699" s="344"/>
      <c r="I699" s="344"/>
      <c r="J699" s="334"/>
      <c r="K699" s="335"/>
      <c r="L699" s="336"/>
      <c r="M699" s="336"/>
      <c r="N699" s="337"/>
      <c r="O699" s="337"/>
      <c r="P699" s="315"/>
      <c r="Q699" s="314"/>
      <c r="R699" s="317"/>
      <c r="S699" s="315"/>
      <c r="T699" s="315"/>
      <c r="U699" s="315"/>
      <c r="V699" s="258"/>
      <c r="W699" s="322"/>
      <c r="X699" s="318"/>
      <c r="Y699" s="315"/>
      <c r="Z699" s="318"/>
      <c r="AA699" s="314"/>
      <c r="AB699" s="336"/>
      <c r="AC699" s="314"/>
      <c r="AD699" s="316"/>
      <c r="AE699" s="315"/>
      <c r="AF699" s="315"/>
      <c r="AG699" s="315"/>
      <c r="AH699" s="315"/>
      <c r="AI699" s="377"/>
      <c r="AJ699" s="407"/>
      <c r="AK699" s="377"/>
      <c r="AL699" s="314"/>
      <c r="AM699" s="314"/>
      <c r="AN699" s="314"/>
      <c r="AO699" s="315"/>
      <c r="AP699" s="257"/>
      <c r="AQ699" s="257"/>
      <c r="AR699" s="257"/>
      <c r="AS699" s="315"/>
      <c r="AT699" s="257"/>
      <c r="AU699" s="257"/>
      <c r="AV699" s="316"/>
      <c r="AW699" s="314"/>
      <c r="AX699" s="315"/>
      <c r="AY699" s="315"/>
      <c r="AZ699" s="315"/>
      <c r="BA699" s="315"/>
      <c r="BB699" s="315"/>
      <c r="BC699" s="315"/>
      <c r="BD699" s="319"/>
      <c r="BE699" s="319"/>
      <c r="BF699" s="319"/>
      <c r="BG699" s="319"/>
      <c r="BH699" s="319"/>
      <c r="BI699" s="319"/>
      <c r="BJ699" s="319"/>
      <c r="BK699" s="315"/>
      <c r="BL699" s="316"/>
      <c r="BM699" s="314"/>
      <c r="BN699" s="319"/>
      <c r="BO699" s="315"/>
      <c r="BP699" s="314"/>
      <c r="BQ699" s="316"/>
      <c r="BR699" s="314"/>
      <c r="BS699" s="262"/>
      <c r="BT699" s="262"/>
    </row>
    <row r="700" spans="1:72" ht="45.75" customHeight="1">
      <c r="A700" s="342"/>
      <c r="B700" s="342"/>
      <c r="C700" s="342"/>
      <c r="D700" s="343"/>
      <c r="E700" s="342"/>
      <c r="F700" s="342"/>
      <c r="G700" s="344"/>
      <c r="H700" s="344"/>
      <c r="I700" s="344"/>
      <c r="J700" s="334"/>
      <c r="K700" s="335"/>
      <c r="L700" s="336"/>
      <c r="M700" s="336"/>
      <c r="N700" s="337"/>
      <c r="O700" s="337"/>
      <c r="P700" s="315"/>
      <c r="Q700" s="314"/>
      <c r="R700" s="317"/>
      <c r="S700" s="315"/>
      <c r="T700" s="315"/>
      <c r="U700" s="315"/>
      <c r="V700" s="258"/>
      <c r="W700" s="322"/>
      <c r="X700" s="318"/>
      <c r="Y700" s="315"/>
      <c r="Z700" s="318"/>
      <c r="AA700" s="314"/>
      <c r="AB700" s="336"/>
      <c r="AC700" s="314"/>
      <c r="AD700" s="316"/>
      <c r="AE700" s="315"/>
      <c r="AF700" s="315"/>
      <c r="AG700" s="315"/>
      <c r="AH700" s="315"/>
      <c r="AI700" s="377"/>
      <c r="AJ700" s="407"/>
      <c r="AK700" s="377"/>
      <c r="AL700" s="314"/>
      <c r="AM700" s="314"/>
      <c r="AN700" s="314"/>
      <c r="AO700" s="315"/>
      <c r="AP700" s="257"/>
      <c r="AQ700" s="257"/>
      <c r="AR700" s="257"/>
      <c r="AS700" s="315"/>
      <c r="AT700" s="257"/>
      <c r="AU700" s="257"/>
      <c r="AV700" s="316"/>
      <c r="AW700" s="314"/>
      <c r="AX700" s="315"/>
      <c r="AY700" s="315"/>
      <c r="AZ700" s="315"/>
      <c r="BA700" s="315"/>
      <c r="BB700" s="315"/>
      <c r="BC700" s="315"/>
      <c r="BD700" s="319"/>
      <c r="BE700" s="319"/>
      <c r="BF700" s="319"/>
      <c r="BG700" s="319"/>
      <c r="BH700" s="319"/>
      <c r="BI700" s="319"/>
      <c r="BJ700" s="319"/>
      <c r="BK700" s="315"/>
      <c r="BL700" s="316"/>
      <c r="BM700" s="314"/>
      <c r="BN700" s="319"/>
      <c r="BO700" s="315"/>
      <c r="BP700" s="314"/>
      <c r="BQ700" s="316"/>
      <c r="BR700" s="314"/>
      <c r="BS700" s="262"/>
      <c r="BT700" s="262"/>
    </row>
    <row r="701" spans="1:72" ht="45.75" customHeight="1">
      <c r="A701" s="342"/>
      <c r="B701" s="342"/>
      <c r="C701" s="342"/>
      <c r="D701" s="343"/>
      <c r="E701" s="342"/>
      <c r="F701" s="342"/>
      <c r="G701" s="344"/>
      <c r="H701" s="344"/>
      <c r="I701" s="344"/>
      <c r="J701" s="334"/>
      <c r="K701" s="335"/>
      <c r="L701" s="336"/>
      <c r="M701" s="336"/>
      <c r="N701" s="337"/>
      <c r="O701" s="337"/>
      <c r="P701" s="315"/>
      <c r="Q701" s="314"/>
      <c r="R701" s="317"/>
      <c r="S701" s="315"/>
      <c r="T701" s="315"/>
      <c r="U701" s="315"/>
      <c r="V701" s="258"/>
      <c r="W701" s="322"/>
      <c r="X701" s="318"/>
      <c r="Y701" s="315"/>
      <c r="Z701" s="318"/>
      <c r="AA701" s="314"/>
      <c r="AB701" s="336"/>
      <c r="AC701" s="314"/>
      <c r="AD701" s="316"/>
      <c r="AE701" s="315"/>
      <c r="AF701" s="315"/>
      <c r="AG701" s="315"/>
      <c r="AH701" s="315"/>
      <c r="AI701" s="377"/>
      <c r="AJ701" s="407"/>
      <c r="AK701" s="377"/>
      <c r="AL701" s="314"/>
      <c r="AM701" s="314"/>
      <c r="AN701" s="314"/>
      <c r="AO701" s="315"/>
      <c r="AP701" s="257"/>
      <c r="AQ701" s="257"/>
      <c r="AR701" s="257"/>
      <c r="AS701" s="315"/>
      <c r="AT701" s="257"/>
      <c r="AU701" s="257"/>
      <c r="AV701" s="316"/>
      <c r="AW701" s="314"/>
      <c r="AX701" s="315"/>
      <c r="AY701" s="315"/>
      <c r="AZ701" s="315"/>
      <c r="BA701" s="315"/>
      <c r="BB701" s="315"/>
      <c r="BC701" s="315"/>
      <c r="BD701" s="319"/>
      <c r="BE701" s="319"/>
      <c r="BF701" s="319"/>
      <c r="BG701" s="319"/>
      <c r="BH701" s="319"/>
      <c r="BI701" s="319"/>
      <c r="BJ701" s="319"/>
      <c r="BK701" s="315"/>
      <c r="BL701" s="316"/>
      <c r="BM701" s="314"/>
      <c r="BN701" s="319"/>
      <c r="BO701" s="315"/>
      <c r="BP701" s="314"/>
      <c r="BQ701" s="316"/>
      <c r="BR701" s="314"/>
      <c r="BS701" s="262"/>
      <c r="BT701" s="262"/>
    </row>
    <row r="702" spans="1:72" ht="45.75" customHeight="1">
      <c r="A702" s="342"/>
      <c r="B702" s="342"/>
      <c r="C702" s="342"/>
      <c r="D702" s="343"/>
      <c r="E702" s="342"/>
      <c r="F702" s="342"/>
      <c r="G702" s="344"/>
      <c r="H702" s="344"/>
      <c r="I702" s="344"/>
      <c r="J702" s="334"/>
      <c r="K702" s="335"/>
      <c r="L702" s="336"/>
      <c r="M702" s="336"/>
      <c r="N702" s="337"/>
      <c r="O702" s="337"/>
      <c r="P702" s="315"/>
      <c r="Q702" s="314"/>
      <c r="R702" s="317"/>
      <c r="S702" s="315"/>
      <c r="T702" s="315"/>
      <c r="U702" s="315"/>
      <c r="V702" s="258"/>
      <c r="W702" s="322"/>
      <c r="X702" s="318"/>
      <c r="Y702" s="315"/>
      <c r="Z702" s="318"/>
      <c r="AA702" s="314"/>
      <c r="AB702" s="336"/>
      <c r="AC702" s="314"/>
      <c r="AD702" s="316"/>
      <c r="AE702" s="315"/>
      <c r="AF702" s="315"/>
      <c r="AG702" s="315"/>
      <c r="AH702" s="315"/>
      <c r="AI702" s="377"/>
      <c r="AJ702" s="407"/>
      <c r="AK702" s="377"/>
      <c r="AL702" s="314"/>
      <c r="AM702" s="314"/>
      <c r="AN702" s="314"/>
      <c r="AO702" s="315"/>
      <c r="AP702" s="257"/>
      <c r="AQ702" s="257"/>
      <c r="AR702" s="257"/>
      <c r="AS702" s="315"/>
      <c r="AT702" s="257"/>
      <c r="AU702" s="257"/>
      <c r="AV702" s="316"/>
      <c r="AW702" s="314"/>
      <c r="AX702" s="315"/>
      <c r="AY702" s="315"/>
      <c r="AZ702" s="315"/>
      <c r="BA702" s="315"/>
      <c r="BB702" s="315"/>
      <c r="BC702" s="315"/>
      <c r="BD702" s="319"/>
      <c r="BE702" s="319"/>
      <c r="BF702" s="319"/>
      <c r="BG702" s="319"/>
      <c r="BH702" s="319"/>
      <c r="BI702" s="319"/>
      <c r="BJ702" s="319"/>
      <c r="BK702" s="315"/>
      <c r="BL702" s="316"/>
      <c r="BM702" s="314"/>
      <c r="BN702" s="319"/>
      <c r="BO702" s="315"/>
      <c r="BP702" s="314"/>
      <c r="BQ702" s="316"/>
      <c r="BR702" s="314"/>
      <c r="BS702" s="262"/>
      <c r="BT702" s="262"/>
    </row>
    <row r="703" spans="1:72" ht="45.75" customHeight="1">
      <c r="A703" s="342"/>
      <c r="B703" s="342"/>
      <c r="C703" s="342"/>
      <c r="D703" s="343"/>
      <c r="E703" s="342"/>
      <c r="F703" s="342"/>
      <c r="G703" s="344"/>
      <c r="H703" s="344"/>
      <c r="I703" s="344"/>
      <c r="J703" s="334"/>
      <c r="K703" s="335"/>
      <c r="L703" s="336"/>
      <c r="M703" s="336"/>
      <c r="N703" s="337"/>
      <c r="O703" s="337"/>
      <c r="P703" s="315"/>
      <c r="Q703" s="314"/>
      <c r="R703" s="317"/>
      <c r="S703" s="315"/>
      <c r="T703" s="315"/>
      <c r="U703" s="315"/>
      <c r="V703" s="258"/>
      <c r="W703" s="322"/>
      <c r="X703" s="318"/>
      <c r="Y703" s="315"/>
      <c r="Z703" s="318"/>
      <c r="AA703" s="314"/>
      <c r="AB703" s="336"/>
      <c r="AC703" s="314"/>
      <c r="AD703" s="316"/>
      <c r="AE703" s="315"/>
      <c r="AF703" s="315"/>
      <c r="AG703" s="315"/>
      <c r="AH703" s="315"/>
      <c r="AI703" s="377"/>
      <c r="AJ703" s="407"/>
      <c r="AK703" s="377"/>
      <c r="AL703" s="314"/>
      <c r="AM703" s="314"/>
      <c r="AN703" s="314"/>
      <c r="AO703" s="315"/>
      <c r="AP703" s="257"/>
      <c r="AQ703" s="257"/>
      <c r="AR703" s="257"/>
      <c r="AS703" s="315"/>
      <c r="AT703" s="257"/>
      <c r="AU703" s="257"/>
      <c r="AV703" s="316"/>
      <c r="AW703" s="314"/>
      <c r="AX703" s="315"/>
      <c r="AY703" s="315"/>
      <c r="AZ703" s="315"/>
      <c r="BA703" s="315"/>
      <c r="BB703" s="315"/>
      <c r="BC703" s="315"/>
      <c r="BD703" s="319"/>
      <c r="BE703" s="319"/>
      <c r="BF703" s="319"/>
      <c r="BG703" s="319"/>
      <c r="BH703" s="319"/>
      <c r="BI703" s="319"/>
      <c r="BJ703" s="319"/>
      <c r="BK703" s="315"/>
      <c r="BL703" s="316"/>
      <c r="BM703" s="314"/>
      <c r="BN703" s="319"/>
      <c r="BO703" s="315"/>
      <c r="BP703" s="314"/>
      <c r="BQ703" s="316"/>
      <c r="BR703" s="314"/>
      <c r="BS703" s="262"/>
      <c r="BT703" s="262"/>
    </row>
    <row r="704" spans="1:72" ht="45.75" customHeight="1">
      <c r="A704" s="342"/>
      <c r="B704" s="342"/>
      <c r="C704" s="342"/>
      <c r="D704" s="343"/>
      <c r="E704" s="342"/>
      <c r="F704" s="342"/>
      <c r="G704" s="344"/>
      <c r="H704" s="344"/>
      <c r="I704" s="344"/>
      <c r="J704" s="334"/>
      <c r="K704" s="335"/>
      <c r="L704" s="336"/>
      <c r="M704" s="336"/>
      <c r="N704" s="337"/>
      <c r="O704" s="337"/>
      <c r="P704" s="315"/>
      <c r="Q704" s="314"/>
      <c r="R704" s="317"/>
      <c r="S704" s="315"/>
      <c r="T704" s="315"/>
      <c r="U704" s="315"/>
      <c r="V704" s="258"/>
      <c r="W704" s="322"/>
      <c r="X704" s="318"/>
      <c r="Y704" s="315"/>
      <c r="Z704" s="318"/>
      <c r="AA704" s="314"/>
      <c r="AB704" s="336"/>
      <c r="AC704" s="314"/>
      <c r="AD704" s="316"/>
      <c r="AE704" s="315"/>
      <c r="AF704" s="315"/>
      <c r="AG704" s="315"/>
      <c r="AH704" s="315"/>
      <c r="AI704" s="377"/>
      <c r="AJ704" s="407"/>
      <c r="AK704" s="377"/>
      <c r="AL704" s="314"/>
      <c r="AM704" s="314"/>
      <c r="AN704" s="314"/>
      <c r="AO704" s="315"/>
      <c r="AP704" s="257"/>
      <c r="AQ704" s="257"/>
      <c r="AR704" s="257"/>
      <c r="AS704" s="315"/>
      <c r="AT704" s="257"/>
      <c r="AU704" s="257"/>
      <c r="AV704" s="316"/>
      <c r="AW704" s="314"/>
      <c r="AX704" s="315"/>
      <c r="AY704" s="315"/>
      <c r="AZ704" s="315"/>
      <c r="BA704" s="315"/>
      <c r="BB704" s="315"/>
      <c r="BC704" s="315"/>
      <c r="BD704" s="319"/>
      <c r="BE704" s="319"/>
      <c r="BF704" s="319"/>
      <c r="BG704" s="319"/>
      <c r="BH704" s="319"/>
      <c r="BI704" s="319"/>
      <c r="BJ704" s="319"/>
      <c r="BK704" s="315"/>
      <c r="BL704" s="316"/>
      <c r="BM704" s="314"/>
      <c r="BN704" s="319"/>
      <c r="BO704" s="315"/>
      <c r="BP704" s="314"/>
      <c r="BQ704" s="316"/>
      <c r="BR704" s="314"/>
      <c r="BS704" s="262"/>
      <c r="BT704" s="262"/>
    </row>
    <row r="705" spans="1:72" ht="45.75" customHeight="1">
      <c r="A705" s="342"/>
      <c r="B705" s="342"/>
      <c r="C705" s="342"/>
      <c r="D705" s="343"/>
      <c r="E705" s="342"/>
      <c r="F705" s="342"/>
      <c r="G705" s="344"/>
      <c r="H705" s="344"/>
      <c r="I705" s="344"/>
      <c r="J705" s="334"/>
      <c r="K705" s="335"/>
      <c r="L705" s="336"/>
      <c r="M705" s="336"/>
      <c r="N705" s="337"/>
      <c r="O705" s="337"/>
      <c r="P705" s="315"/>
      <c r="Q705" s="314"/>
      <c r="R705" s="317"/>
      <c r="S705" s="315"/>
      <c r="T705" s="315"/>
      <c r="U705" s="315"/>
      <c r="V705" s="258"/>
      <c r="W705" s="322"/>
      <c r="X705" s="318"/>
      <c r="Y705" s="315"/>
      <c r="Z705" s="318"/>
      <c r="AA705" s="314"/>
      <c r="AB705" s="336"/>
      <c r="AC705" s="314"/>
      <c r="AD705" s="316"/>
      <c r="AE705" s="315"/>
      <c r="AF705" s="315"/>
      <c r="AG705" s="315"/>
      <c r="AH705" s="315"/>
      <c r="AI705" s="377"/>
      <c r="AJ705" s="407"/>
      <c r="AK705" s="377"/>
      <c r="AL705" s="314"/>
      <c r="AM705" s="314"/>
      <c r="AN705" s="314"/>
      <c r="AO705" s="315"/>
      <c r="AP705" s="257"/>
      <c r="AQ705" s="257"/>
      <c r="AR705" s="257"/>
      <c r="AS705" s="315"/>
      <c r="AT705" s="257"/>
      <c r="AU705" s="257"/>
      <c r="AV705" s="316"/>
      <c r="AW705" s="314"/>
      <c r="AX705" s="315"/>
      <c r="AY705" s="315"/>
      <c r="AZ705" s="315"/>
      <c r="BA705" s="315"/>
      <c r="BB705" s="315"/>
      <c r="BC705" s="315"/>
      <c r="BD705" s="319"/>
      <c r="BE705" s="319"/>
      <c r="BF705" s="319"/>
      <c r="BG705" s="319"/>
      <c r="BH705" s="319"/>
      <c r="BI705" s="319"/>
      <c r="BJ705" s="319"/>
      <c r="BK705" s="315"/>
      <c r="BL705" s="316"/>
      <c r="BM705" s="314"/>
      <c r="BN705" s="319"/>
      <c r="BO705" s="315"/>
      <c r="BP705" s="314"/>
      <c r="BQ705" s="316"/>
      <c r="BR705" s="314"/>
      <c r="BS705" s="262"/>
      <c r="BT705" s="262"/>
    </row>
    <row r="706" spans="1:72" ht="45.75" customHeight="1">
      <c r="A706" s="342"/>
      <c r="B706" s="342"/>
      <c r="C706" s="342"/>
      <c r="D706" s="343"/>
      <c r="E706" s="342"/>
      <c r="F706" s="342"/>
      <c r="G706" s="344"/>
      <c r="H706" s="344"/>
      <c r="I706" s="344"/>
      <c r="J706" s="334"/>
      <c r="K706" s="335"/>
      <c r="L706" s="336"/>
      <c r="M706" s="336"/>
      <c r="N706" s="337"/>
      <c r="O706" s="337"/>
      <c r="P706" s="315"/>
      <c r="Q706" s="314"/>
      <c r="R706" s="317"/>
      <c r="S706" s="315"/>
      <c r="T706" s="315"/>
      <c r="U706" s="315"/>
      <c r="V706" s="258"/>
      <c r="W706" s="322"/>
      <c r="X706" s="318"/>
      <c r="Y706" s="315"/>
      <c r="Z706" s="318"/>
      <c r="AA706" s="314"/>
      <c r="AB706" s="336"/>
      <c r="AC706" s="314"/>
      <c r="AD706" s="316"/>
      <c r="AE706" s="315"/>
      <c r="AF706" s="315"/>
      <c r="AG706" s="315"/>
      <c r="AH706" s="315"/>
      <c r="AI706" s="377"/>
      <c r="AJ706" s="407"/>
      <c r="AK706" s="377"/>
      <c r="AL706" s="314"/>
      <c r="AM706" s="314"/>
      <c r="AN706" s="314"/>
      <c r="AO706" s="315"/>
      <c r="AP706" s="257"/>
      <c r="AQ706" s="257"/>
      <c r="AR706" s="257"/>
      <c r="AS706" s="315"/>
      <c r="AT706" s="257"/>
      <c r="AU706" s="257"/>
      <c r="AV706" s="316"/>
      <c r="AW706" s="314"/>
      <c r="AX706" s="315"/>
      <c r="AY706" s="315"/>
      <c r="AZ706" s="315"/>
      <c r="BA706" s="315"/>
      <c r="BB706" s="315"/>
      <c r="BC706" s="315"/>
      <c r="BD706" s="319"/>
      <c r="BE706" s="319"/>
      <c r="BF706" s="319"/>
      <c r="BG706" s="319"/>
      <c r="BH706" s="319"/>
      <c r="BI706" s="319"/>
      <c r="BJ706" s="319"/>
      <c r="BK706" s="315"/>
      <c r="BL706" s="316"/>
      <c r="BM706" s="314"/>
      <c r="BN706" s="319"/>
      <c r="BO706" s="315"/>
      <c r="BP706" s="314"/>
      <c r="BQ706" s="316"/>
      <c r="BR706" s="314"/>
      <c r="BS706" s="262"/>
      <c r="BT706" s="262"/>
    </row>
    <row r="707" spans="1:72" ht="45.75" customHeight="1">
      <c r="A707" s="342"/>
      <c r="B707" s="342"/>
      <c r="C707" s="342"/>
      <c r="D707" s="343"/>
      <c r="E707" s="342"/>
      <c r="F707" s="342"/>
      <c r="G707" s="344"/>
      <c r="H707" s="344"/>
      <c r="I707" s="344"/>
      <c r="J707" s="334"/>
      <c r="K707" s="335"/>
      <c r="L707" s="336"/>
      <c r="M707" s="336"/>
      <c r="N707" s="337"/>
      <c r="O707" s="337"/>
      <c r="P707" s="315"/>
      <c r="Q707" s="314"/>
      <c r="R707" s="317"/>
      <c r="S707" s="315"/>
      <c r="T707" s="315"/>
      <c r="U707" s="315"/>
      <c r="V707" s="258"/>
      <c r="W707" s="322"/>
      <c r="X707" s="318"/>
      <c r="Y707" s="315"/>
      <c r="Z707" s="318"/>
      <c r="AA707" s="314"/>
      <c r="AB707" s="336"/>
      <c r="AC707" s="314"/>
      <c r="AD707" s="316"/>
      <c r="AE707" s="315"/>
      <c r="AF707" s="315"/>
      <c r="AG707" s="315"/>
      <c r="AH707" s="315"/>
      <c r="AI707" s="377"/>
      <c r="AJ707" s="407"/>
      <c r="AK707" s="377"/>
      <c r="AL707" s="314"/>
      <c r="AM707" s="314"/>
      <c r="AN707" s="314"/>
      <c r="AO707" s="315"/>
      <c r="AP707" s="257"/>
      <c r="AQ707" s="257"/>
      <c r="AR707" s="257"/>
      <c r="AS707" s="315"/>
      <c r="AT707" s="257"/>
      <c r="AU707" s="257"/>
      <c r="AV707" s="316"/>
      <c r="AW707" s="314"/>
      <c r="AX707" s="315"/>
      <c r="AY707" s="315"/>
      <c r="AZ707" s="315"/>
      <c r="BA707" s="315"/>
      <c r="BB707" s="315"/>
      <c r="BC707" s="315"/>
      <c r="BD707" s="319"/>
      <c r="BE707" s="319"/>
      <c r="BF707" s="319"/>
      <c r="BG707" s="319"/>
      <c r="BH707" s="319"/>
      <c r="BI707" s="319"/>
      <c r="BJ707" s="319"/>
      <c r="BK707" s="315"/>
      <c r="BL707" s="316"/>
      <c r="BM707" s="314"/>
      <c r="BN707" s="319"/>
      <c r="BO707" s="315"/>
      <c r="BP707" s="314"/>
      <c r="BQ707" s="316"/>
      <c r="BR707" s="314"/>
      <c r="BS707" s="262"/>
      <c r="BT707" s="262"/>
    </row>
    <row r="708" spans="1:72" ht="45.75" customHeight="1">
      <c r="A708" s="342"/>
      <c r="B708" s="342"/>
      <c r="C708" s="342"/>
      <c r="D708" s="343"/>
      <c r="E708" s="342"/>
      <c r="F708" s="342"/>
      <c r="G708" s="344"/>
      <c r="H708" s="344"/>
      <c r="I708" s="344"/>
      <c r="J708" s="334"/>
      <c r="K708" s="335"/>
      <c r="L708" s="336"/>
      <c r="M708" s="336"/>
      <c r="N708" s="337"/>
      <c r="O708" s="337"/>
      <c r="P708" s="315"/>
      <c r="Q708" s="314"/>
      <c r="R708" s="317"/>
      <c r="S708" s="315"/>
      <c r="T708" s="315"/>
      <c r="U708" s="315"/>
      <c r="V708" s="258"/>
      <c r="W708" s="322"/>
      <c r="X708" s="318"/>
      <c r="Y708" s="315"/>
      <c r="Z708" s="318"/>
      <c r="AA708" s="314"/>
      <c r="AB708" s="336"/>
      <c r="AC708" s="314"/>
      <c r="AD708" s="316"/>
      <c r="AE708" s="315"/>
      <c r="AF708" s="315"/>
      <c r="AG708" s="315"/>
      <c r="AH708" s="315"/>
      <c r="AI708" s="377"/>
      <c r="AJ708" s="407"/>
      <c r="AK708" s="377"/>
      <c r="AL708" s="314"/>
      <c r="AM708" s="314"/>
      <c r="AN708" s="314"/>
      <c r="AO708" s="315"/>
      <c r="AP708" s="257"/>
      <c r="AQ708" s="257"/>
      <c r="AR708" s="257"/>
      <c r="AS708" s="315"/>
      <c r="AT708" s="257"/>
      <c r="AU708" s="257"/>
      <c r="AV708" s="316"/>
      <c r="AW708" s="314"/>
      <c r="AX708" s="315"/>
      <c r="AY708" s="315"/>
      <c r="AZ708" s="315"/>
      <c r="BA708" s="315"/>
      <c r="BB708" s="315"/>
      <c r="BC708" s="315"/>
      <c r="BD708" s="319"/>
      <c r="BE708" s="319"/>
      <c r="BF708" s="319"/>
      <c r="BG708" s="319"/>
      <c r="BH708" s="319"/>
      <c r="BI708" s="319"/>
      <c r="BJ708" s="319"/>
      <c r="BK708" s="315"/>
      <c r="BL708" s="316"/>
      <c r="BM708" s="314"/>
      <c r="BN708" s="319"/>
      <c r="BO708" s="315"/>
      <c r="BP708" s="314"/>
      <c r="BQ708" s="316"/>
      <c r="BR708" s="314"/>
      <c r="BS708" s="262"/>
      <c r="BT708" s="262"/>
    </row>
    <row r="709" spans="1:72" ht="45.75" customHeight="1">
      <c r="A709" s="342"/>
      <c r="B709" s="342"/>
      <c r="C709" s="342"/>
      <c r="D709" s="343"/>
      <c r="E709" s="342"/>
      <c r="F709" s="342"/>
      <c r="G709" s="344"/>
      <c r="H709" s="344"/>
      <c r="I709" s="344"/>
      <c r="J709" s="334"/>
      <c r="K709" s="335"/>
      <c r="L709" s="336"/>
      <c r="M709" s="336"/>
      <c r="N709" s="337"/>
      <c r="O709" s="337"/>
      <c r="P709" s="315"/>
      <c r="Q709" s="314"/>
      <c r="R709" s="317"/>
      <c r="S709" s="315"/>
      <c r="T709" s="315"/>
      <c r="U709" s="315"/>
      <c r="V709" s="258"/>
      <c r="W709" s="322"/>
      <c r="X709" s="318"/>
      <c r="Y709" s="315"/>
      <c r="Z709" s="318"/>
      <c r="AA709" s="314"/>
      <c r="AB709" s="336"/>
      <c r="AC709" s="314"/>
      <c r="AD709" s="316"/>
      <c r="AE709" s="315"/>
      <c r="AF709" s="315"/>
      <c r="AG709" s="315"/>
      <c r="AH709" s="315"/>
      <c r="AI709" s="377"/>
      <c r="AJ709" s="407"/>
      <c r="AK709" s="377"/>
      <c r="AL709" s="314"/>
      <c r="AM709" s="314"/>
      <c r="AN709" s="314"/>
      <c r="AO709" s="315"/>
      <c r="AP709" s="257"/>
      <c r="AQ709" s="257"/>
      <c r="AR709" s="257"/>
      <c r="AS709" s="315"/>
      <c r="AT709" s="257"/>
      <c r="AU709" s="257"/>
      <c r="AV709" s="316"/>
      <c r="AW709" s="314"/>
      <c r="AX709" s="315"/>
      <c r="AY709" s="315"/>
      <c r="AZ709" s="315"/>
      <c r="BA709" s="315"/>
      <c r="BB709" s="315"/>
      <c r="BC709" s="315"/>
      <c r="BD709" s="319"/>
      <c r="BE709" s="319"/>
      <c r="BF709" s="319"/>
      <c r="BG709" s="319"/>
      <c r="BH709" s="319"/>
      <c r="BI709" s="319"/>
      <c r="BJ709" s="319"/>
      <c r="BK709" s="315"/>
      <c r="BL709" s="316"/>
      <c r="BM709" s="314"/>
      <c r="BN709" s="319"/>
      <c r="BO709" s="315"/>
      <c r="BP709" s="314"/>
      <c r="BQ709" s="316"/>
      <c r="BR709" s="314"/>
      <c r="BS709" s="262"/>
      <c r="BT709" s="262"/>
    </row>
    <row r="710" spans="1:72" ht="45.75" customHeight="1">
      <c r="A710" s="342"/>
      <c r="B710" s="342"/>
      <c r="C710" s="342"/>
      <c r="D710" s="343"/>
      <c r="E710" s="342"/>
      <c r="F710" s="342"/>
      <c r="G710" s="344"/>
      <c r="H710" s="344"/>
      <c r="I710" s="344"/>
      <c r="J710" s="334"/>
      <c r="K710" s="335"/>
      <c r="L710" s="336"/>
      <c r="M710" s="336"/>
      <c r="N710" s="337"/>
      <c r="O710" s="337"/>
      <c r="P710" s="315"/>
      <c r="Q710" s="314"/>
      <c r="R710" s="317"/>
      <c r="S710" s="315"/>
      <c r="T710" s="315"/>
      <c r="U710" s="315"/>
      <c r="V710" s="258"/>
      <c r="W710" s="322"/>
      <c r="X710" s="318"/>
      <c r="Y710" s="315"/>
      <c r="Z710" s="318"/>
      <c r="AA710" s="314"/>
      <c r="AB710" s="336"/>
      <c r="AC710" s="314"/>
      <c r="AD710" s="316"/>
      <c r="AE710" s="315"/>
      <c r="AF710" s="315"/>
      <c r="AG710" s="315"/>
      <c r="AH710" s="315"/>
      <c r="AI710" s="377"/>
      <c r="AJ710" s="407"/>
      <c r="AK710" s="377"/>
      <c r="AL710" s="314"/>
      <c r="AM710" s="314"/>
      <c r="AN710" s="314"/>
      <c r="AO710" s="315"/>
      <c r="AP710" s="257"/>
      <c r="AQ710" s="257"/>
      <c r="AR710" s="257"/>
      <c r="AS710" s="315"/>
      <c r="AT710" s="257"/>
      <c r="AU710" s="257"/>
      <c r="AV710" s="316"/>
      <c r="AW710" s="314"/>
      <c r="AX710" s="315"/>
      <c r="AY710" s="315"/>
      <c r="AZ710" s="315"/>
      <c r="BA710" s="315"/>
      <c r="BB710" s="315"/>
      <c r="BC710" s="315"/>
      <c r="BD710" s="319"/>
      <c r="BE710" s="319"/>
      <c r="BF710" s="319"/>
      <c r="BG710" s="319"/>
      <c r="BH710" s="319"/>
      <c r="BI710" s="319"/>
      <c r="BJ710" s="319"/>
      <c r="BK710" s="315"/>
      <c r="BL710" s="316"/>
      <c r="BM710" s="314"/>
      <c r="BN710" s="319"/>
      <c r="BO710" s="315"/>
      <c r="BP710" s="314"/>
      <c r="BQ710" s="316"/>
      <c r="BR710" s="314"/>
      <c r="BS710" s="262"/>
      <c r="BT710" s="262"/>
    </row>
    <row r="711" spans="1:72" ht="45.75" customHeight="1">
      <c r="A711" s="342"/>
      <c r="B711" s="342"/>
      <c r="C711" s="342"/>
      <c r="D711" s="343"/>
      <c r="E711" s="342"/>
      <c r="F711" s="342"/>
      <c r="G711" s="344"/>
      <c r="H711" s="344"/>
      <c r="I711" s="344"/>
      <c r="J711" s="334"/>
      <c r="K711" s="335"/>
      <c r="L711" s="336"/>
      <c r="M711" s="336"/>
      <c r="N711" s="337"/>
      <c r="O711" s="337"/>
      <c r="P711" s="315"/>
      <c r="Q711" s="314"/>
      <c r="R711" s="317"/>
      <c r="S711" s="315"/>
      <c r="T711" s="315"/>
      <c r="U711" s="315"/>
      <c r="V711" s="258"/>
      <c r="W711" s="322"/>
      <c r="X711" s="318"/>
      <c r="Y711" s="315"/>
      <c r="Z711" s="318"/>
      <c r="AA711" s="314"/>
      <c r="AB711" s="336"/>
      <c r="AC711" s="314"/>
      <c r="AD711" s="316"/>
      <c r="AE711" s="315"/>
      <c r="AF711" s="315"/>
      <c r="AG711" s="315"/>
      <c r="AH711" s="315"/>
      <c r="AI711" s="377"/>
      <c r="AJ711" s="407"/>
      <c r="AK711" s="377"/>
      <c r="AL711" s="314"/>
      <c r="AM711" s="314"/>
      <c r="AN711" s="314"/>
      <c r="AO711" s="315"/>
      <c r="AP711" s="257"/>
      <c r="AQ711" s="257"/>
      <c r="AR711" s="257"/>
      <c r="AS711" s="315"/>
      <c r="AT711" s="257"/>
      <c r="AU711" s="257"/>
      <c r="AV711" s="316"/>
      <c r="AW711" s="314"/>
      <c r="AX711" s="315"/>
      <c r="AY711" s="315"/>
      <c r="AZ711" s="315"/>
      <c r="BA711" s="315"/>
      <c r="BB711" s="315"/>
      <c r="BC711" s="315"/>
      <c r="BD711" s="319"/>
      <c r="BE711" s="319"/>
      <c r="BF711" s="319"/>
      <c r="BG711" s="319"/>
      <c r="BH711" s="319"/>
      <c r="BI711" s="319"/>
      <c r="BJ711" s="319"/>
      <c r="BK711" s="315"/>
      <c r="BL711" s="316"/>
      <c r="BM711" s="314"/>
      <c r="BN711" s="319"/>
      <c r="BO711" s="315"/>
      <c r="BP711" s="314"/>
      <c r="BQ711" s="316"/>
      <c r="BR711" s="314"/>
      <c r="BS711" s="262"/>
      <c r="BT711" s="262"/>
    </row>
    <row r="712" spans="1:72" ht="45.75" customHeight="1">
      <c r="A712" s="342"/>
      <c r="B712" s="342"/>
      <c r="C712" s="342"/>
      <c r="D712" s="343"/>
      <c r="E712" s="342"/>
      <c r="F712" s="342"/>
      <c r="G712" s="344"/>
      <c r="H712" s="344"/>
      <c r="I712" s="344"/>
      <c r="J712" s="334"/>
      <c r="K712" s="335"/>
      <c r="L712" s="336"/>
      <c r="M712" s="336"/>
      <c r="N712" s="337"/>
      <c r="O712" s="337"/>
      <c r="P712" s="315"/>
      <c r="Q712" s="314"/>
      <c r="R712" s="317"/>
      <c r="S712" s="315"/>
      <c r="T712" s="315"/>
      <c r="U712" s="315"/>
      <c r="V712" s="258"/>
      <c r="W712" s="322"/>
      <c r="X712" s="318"/>
      <c r="Y712" s="315"/>
      <c r="Z712" s="318"/>
      <c r="AA712" s="314"/>
      <c r="AB712" s="336"/>
      <c r="AC712" s="314"/>
      <c r="AD712" s="316"/>
      <c r="AE712" s="315"/>
      <c r="AF712" s="315"/>
      <c r="AG712" s="315"/>
      <c r="AH712" s="315"/>
      <c r="AI712" s="377"/>
      <c r="AJ712" s="407"/>
      <c r="AK712" s="377"/>
      <c r="AL712" s="314"/>
      <c r="AM712" s="314"/>
      <c r="AN712" s="314"/>
      <c r="AO712" s="315"/>
      <c r="AP712" s="257"/>
      <c r="AQ712" s="257"/>
      <c r="AR712" s="257"/>
      <c r="AS712" s="315"/>
      <c r="AT712" s="257"/>
      <c r="AU712" s="257"/>
      <c r="AV712" s="316"/>
      <c r="AW712" s="314"/>
      <c r="AX712" s="315"/>
      <c r="AY712" s="315"/>
      <c r="AZ712" s="315"/>
      <c r="BA712" s="315"/>
      <c r="BB712" s="315"/>
      <c r="BC712" s="315"/>
      <c r="BD712" s="319"/>
      <c r="BE712" s="319"/>
      <c r="BF712" s="319"/>
      <c r="BG712" s="319"/>
      <c r="BH712" s="319"/>
      <c r="BI712" s="319"/>
      <c r="BJ712" s="319"/>
      <c r="BK712" s="315"/>
      <c r="BL712" s="316"/>
      <c r="BM712" s="314"/>
      <c r="BN712" s="319"/>
      <c r="BO712" s="315"/>
      <c r="BP712" s="314"/>
      <c r="BQ712" s="316"/>
      <c r="BR712" s="314"/>
      <c r="BS712" s="262"/>
      <c r="BT712" s="262"/>
    </row>
    <row r="713" spans="1:72" ht="45.75" customHeight="1">
      <c r="A713" s="342"/>
      <c r="B713" s="342"/>
      <c r="C713" s="342"/>
      <c r="D713" s="343"/>
      <c r="E713" s="342"/>
      <c r="F713" s="342"/>
      <c r="G713" s="344"/>
      <c r="H713" s="344"/>
      <c r="I713" s="344"/>
      <c r="J713" s="334"/>
      <c r="K713" s="335"/>
      <c r="L713" s="336"/>
      <c r="M713" s="336"/>
      <c r="N713" s="337"/>
      <c r="O713" s="337"/>
      <c r="P713" s="315"/>
      <c r="Q713" s="314"/>
      <c r="R713" s="317"/>
      <c r="S713" s="315"/>
      <c r="T713" s="315"/>
      <c r="U713" s="315"/>
      <c r="V713" s="258"/>
      <c r="W713" s="322"/>
      <c r="X713" s="318"/>
      <c r="Y713" s="315"/>
      <c r="Z713" s="318"/>
      <c r="AA713" s="314"/>
      <c r="AB713" s="336"/>
      <c r="AC713" s="314"/>
      <c r="AD713" s="316"/>
      <c r="AE713" s="315"/>
      <c r="AF713" s="315"/>
      <c r="AG713" s="315"/>
      <c r="AH713" s="315"/>
      <c r="AI713" s="377"/>
      <c r="AJ713" s="407"/>
      <c r="AK713" s="377"/>
      <c r="AL713" s="314"/>
      <c r="AM713" s="314"/>
      <c r="AN713" s="314"/>
      <c r="AO713" s="315"/>
      <c r="AP713" s="257"/>
      <c r="AQ713" s="257"/>
      <c r="AR713" s="257"/>
      <c r="AS713" s="315"/>
      <c r="AT713" s="257"/>
      <c r="AU713" s="257"/>
      <c r="AV713" s="316"/>
      <c r="AW713" s="314"/>
      <c r="AX713" s="315"/>
      <c r="AY713" s="315"/>
      <c r="AZ713" s="315"/>
      <c r="BA713" s="315"/>
      <c r="BB713" s="315"/>
      <c r="BC713" s="315"/>
      <c r="BD713" s="319"/>
      <c r="BE713" s="319"/>
      <c r="BF713" s="319"/>
      <c r="BG713" s="319"/>
      <c r="BH713" s="319"/>
      <c r="BI713" s="319"/>
      <c r="BJ713" s="319"/>
      <c r="BK713" s="315"/>
      <c r="BL713" s="316"/>
      <c r="BM713" s="314"/>
      <c r="BN713" s="319"/>
      <c r="BO713" s="315"/>
      <c r="BP713" s="314"/>
      <c r="BQ713" s="316"/>
      <c r="BR713" s="314"/>
      <c r="BS713" s="262"/>
      <c r="BT713" s="262"/>
    </row>
    <row r="714" spans="1:72" ht="45.75" customHeight="1">
      <c r="A714" s="342"/>
      <c r="B714" s="342"/>
      <c r="C714" s="342"/>
      <c r="D714" s="343"/>
      <c r="E714" s="342"/>
      <c r="F714" s="342"/>
      <c r="G714" s="344"/>
      <c r="H714" s="344"/>
      <c r="I714" s="344"/>
      <c r="J714" s="334"/>
      <c r="K714" s="335"/>
      <c r="L714" s="336"/>
      <c r="M714" s="336"/>
      <c r="N714" s="337"/>
      <c r="O714" s="337"/>
      <c r="P714" s="315"/>
      <c r="Q714" s="314"/>
      <c r="R714" s="317"/>
      <c r="S714" s="315"/>
      <c r="T714" s="315"/>
      <c r="U714" s="315"/>
      <c r="V714" s="258"/>
      <c r="W714" s="322"/>
      <c r="X714" s="318"/>
      <c r="Y714" s="315"/>
      <c r="Z714" s="318"/>
      <c r="AA714" s="314"/>
      <c r="AB714" s="336"/>
      <c r="AC714" s="314"/>
      <c r="AD714" s="316"/>
      <c r="AE714" s="315"/>
      <c r="AF714" s="315"/>
      <c r="AG714" s="315"/>
      <c r="AH714" s="315"/>
      <c r="AI714" s="377"/>
      <c r="AJ714" s="407"/>
      <c r="AK714" s="377"/>
      <c r="AL714" s="314"/>
      <c r="AM714" s="314"/>
      <c r="AN714" s="314"/>
      <c r="AO714" s="315"/>
      <c r="AP714" s="257"/>
      <c r="AQ714" s="257"/>
      <c r="AR714" s="257"/>
      <c r="AS714" s="315"/>
      <c r="AT714" s="257"/>
      <c r="AU714" s="257"/>
      <c r="AV714" s="316"/>
      <c r="AW714" s="314"/>
      <c r="AX714" s="315"/>
      <c r="AY714" s="315"/>
      <c r="AZ714" s="315"/>
      <c r="BA714" s="315"/>
      <c r="BB714" s="315"/>
      <c r="BC714" s="315"/>
      <c r="BD714" s="319"/>
      <c r="BE714" s="319"/>
      <c r="BF714" s="319"/>
      <c r="BG714" s="319"/>
      <c r="BH714" s="319"/>
      <c r="BI714" s="319"/>
      <c r="BJ714" s="319"/>
      <c r="BK714" s="315"/>
      <c r="BL714" s="316"/>
      <c r="BM714" s="314"/>
      <c r="BN714" s="319"/>
      <c r="BO714" s="315"/>
      <c r="BP714" s="314"/>
      <c r="BQ714" s="316"/>
      <c r="BR714" s="314"/>
      <c r="BS714" s="262"/>
      <c r="BT714" s="262"/>
    </row>
    <row r="715" spans="1:72" ht="45.75" customHeight="1">
      <c r="A715" s="342"/>
      <c r="B715" s="342"/>
      <c r="C715" s="342"/>
      <c r="D715" s="343"/>
      <c r="E715" s="342"/>
      <c r="F715" s="342"/>
      <c r="G715" s="344"/>
      <c r="H715" s="344"/>
      <c r="I715" s="344"/>
      <c r="J715" s="334"/>
      <c r="K715" s="335"/>
      <c r="L715" s="336"/>
      <c r="M715" s="336"/>
      <c r="N715" s="337"/>
      <c r="O715" s="337"/>
      <c r="P715" s="315"/>
      <c r="Q715" s="314"/>
      <c r="R715" s="317"/>
      <c r="S715" s="315"/>
      <c r="T715" s="315"/>
      <c r="U715" s="315"/>
      <c r="V715" s="258"/>
      <c r="W715" s="322"/>
      <c r="X715" s="318"/>
      <c r="Y715" s="315"/>
      <c r="Z715" s="318"/>
      <c r="AA715" s="314"/>
      <c r="AB715" s="336"/>
      <c r="AC715" s="314"/>
      <c r="AD715" s="316"/>
      <c r="AE715" s="315"/>
      <c r="AF715" s="315"/>
      <c r="AG715" s="315"/>
      <c r="AH715" s="315"/>
      <c r="AI715" s="377"/>
      <c r="AJ715" s="407"/>
      <c r="AK715" s="377"/>
      <c r="AL715" s="314"/>
      <c r="AM715" s="314"/>
      <c r="AN715" s="314"/>
      <c r="AO715" s="315"/>
      <c r="AP715" s="257"/>
      <c r="AQ715" s="257"/>
      <c r="AR715" s="257"/>
      <c r="AS715" s="315"/>
      <c r="AT715" s="257"/>
      <c r="AU715" s="257"/>
      <c r="AV715" s="316"/>
      <c r="AW715" s="314"/>
      <c r="AX715" s="315"/>
      <c r="AY715" s="315"/>
      <c r="AZ715" s="315"/>
      <c r="BA715" s="315"/>
      <c r="BB715" s="315"/>
      <c r="BC715" s="315"/>
      <c r="BD715" s="319"/>
      <c r="BE715" s="319"/>
      <c r="BF715" s="319"/>
      <c r="BG715" s="319"/>
      <c r="BH715" s="319"/>
      <c r="BI715" s="319"/>
      <c r="BJ715" s="319"/>
      <c r="BK715" s="315"/>
      <c r="BL715" s="316"/>
      <c r="BM715" s="314"/>
      <c r="BN715" s="319"/>
      <c r="BO715" s="315"/>
      <c r="BP715" s="314"/>
      <c r="BQ715" s="316"/>
      <c r="BR715" s="314"/>
      <c r="BS715" s="262"/>
      <c r="BT715" s="262"/>
    </row>
    <row r="716" spans="1:72" ht="45.75" customHeight="1">
      <c r="A716" s="342"/>
      <c r="B716" s="342"/>
      <c r="C716" s="342"/>
      <c r="D716" s="343"/>
      <c r="E716" s="342"/>
      <c r="F716" s="342"/>
      <c r="G716" s="344"/>
      <c r="H716" s="344"/>
      <c r="I716" s="344"/>
      <c r="J716" s="334"/>
      <c r="K716" s="335"/>
      <c r="L716" s="336"/>
      <c r="M716" s="336"/>
      <c r="N716" s="337"/>
      <c r="O716" s="337"/>
      <c r="P716" s="315"/>
      <c r="Q716" s="314"/>
      <c r="R716" s="317"/>
      <c r="S716" s="315"/>
      <c r="T716" s="315"/>
      <c r="U716" s="315"/>
      <c r="V716" s="258"/>
      <c r="W716" s="322"/>
      <c r="X716" s="318"/>
      <c r="Y716" s="315"/>
      <c r="Z716" s="318"/>
      <c r="AA716" s="314"/>
      <c r="AB716" s="336"/>
      <c r="AC716" s="314"/>
      <c r="AD716" s="316"/>
      <c r="AE716" s="315"/>
      <c r="AF716" s="315"/>
      <c r="AG716" s="315"/>
      <c r="AH716" s="315"/>
      <c r="AI716" s="377"/>
      <c r="AJ716" s="407"/>
      <c r="AK716" s="377"/>
      <c r="AL716" s="314"/>
      <c r="AM716" s="314"/>
      <c r="AN716" s="314"/>
      <c r="AO716" s="315"/>
      <c r="AP716" s="257"/>
      <c r="AQ716" s="257"/>
      <c r="AR716" s="257"/>
      <c r="AS716" s="315"/>
      <c r="AT716" s="257"/>
      <c r="AU716" s="257"/>
      <c r="AV716" s="316"/>
      <c r="AW716" s="314"/>
      <c r="AX716" s="315"/>
      <c r="AY716" s="315"/>
      <c r="AZ716" s="315"/>
      <c r="BA716" s="315"/>
      <c r="BB716" s="315"/>
      <c r="BC716" s="315"/>
      <c r="BD716" s="319"/>
      <c r="BE716" s="319"/>
      <c r="BF716" s="319"/>
      <c r="BG716" s="319"/>
      <c r="BH716" s="319"/>
      <c r="BI716" s="319"/>
      <c r="BJ716" s="319"/>
      <c r="BK716" s="315"/>
      <c r="BL716" s="316"/>
      <c r="BM716" s="314"/>
      <c r="BN716" s="319"/>
      <c r="BO716" s="315"/>
      <c r="BP716" s="314"/>
      <c r="BQ716" s="316"/>
      <c r="BR716" s="314"/>
      <c r="BS716" s="262"/>
      <c r="BT716" s="262"/>
    </row>
    <row r="717" spans="1:72" ht="45.75" customHeight="1">
      <c r="A717" s="342"/>
      <c r="B717" s="342"/>
      <c r="C717" s="342"/>
      <c r="D717" s="343"/>
      <c r="E717" s="342"/>
      <c r="F717" s="342"/>
      <c r="G717" s="344"/>
      <c r="H717" s="344"/>
      <c r="I717" s="344"/>
      <c r="J717" s="334"/>
      <c r="K717" s="335"/>
      <c r="L717" s="336"/>
      <c r="M717" s="336"/>
      <c r="N717" s="337"/>
      <c r="O717" s="337"/>
      <c r="P717" s="315"/>
      <c r="Q717" s="314"/>
      <c r="R717" s="317"/>
      <c r="S717" s="315"/>
      <c r="T717" s="315"/>
      <c r="U717" s="315"/>
      <c r="V717" s="258"/>
      <c r="W717" s="322"/>
      <c r="X717" s="318"/>
      <c r="Y717" s="315"/>
      <c r="Z717" s="318"/>
      <c r="AA717" s="314"/>
      <c r="AB717" s="336"/>
      <c r="AC717" s="314"/>
      <c r="AD717" s="316"/>
      <c r="AE717" s="315"/>
      <c r="AF717" s="315"/>
      <c r="AG717" s="315"/>
      <c r="AH717" s="315"/>
      <c r="AI717" s="377"/>
      <c r="AJ717" s="407"/>
      <c r="AK717" s="377"/>
      <c r="AL717" s="314"/>
      <c r="AM717" s="314"/>
      <c r="AN717" s="314"/>
      <c r="AO717" s="315"/>
      <c r="AP717" s="257"/>
      <c r="AQ717" s="257"/>
      <c r="AR717" s="257"/>
      <c r="AS717" s="315"/>
      <c r="AT717" s="257"/>
      <c r="AU717" s="257"/>
      <c r="AV717" s="316"/>
      <c r="AW717" s="314"/>
      <c r="AX717" s="315"/>
      <c r="AY717" s="315"/>
      <c r="AZ717" s="315"/>
      <c r="BA717" s="315"/>
      <c r="BB717" s="315"/>
      <c r="BC717" s="315"/>
      <c r="BD717" s="319"/>
      <c r="BE717" s="319"/>
      <c r="BF717" s="319"/>
      <c r="BG717" s="319"/>
      <c r="BH717" s="319"/>
      <c r="BI717" s="319"/>
      <c r="BJ717" s="319"/>
      <c r="BK717" s="315"/>
      <c r="BL717" s="316"/>
      <c r="BM717" s="314"/>
      <c r="BN717" s="319"/>
      <c r="BO717" s="315"/>
      <c r="BP717" s="314"/>
      <c r="BQ717" s="316"/>
      <c r="BR717" s="314"/>
      <c r="BS717" s="262"/>
      <c r="BT717" s="262"/>
    </row>
    <row r="718" spans="1:72" ht="45.75" customHeight="1">
      <c r="A718" s="342"/>
      <c r="B718" s="342"/>
      <c r="C718" s="342"/>
      <c r="D718" s="343"/>
      <c r="E718" s="342"/>
      <c r="F718" s="342"/>
      <c r="G718" s="344"/>
      <c r="H718" s="344"/>
      <c r="I718" s="344"/>
      <c r="J718" s="334"/>
      <c r="K718" s="335"/>
      <c r="L718" s="336"/>
      <c r="M718" s="336"/>
      <c r="N718" s="337"/>
      <c r="O718" s="337"/>
      <c r="P718" s="315"/>
      <c r="Q718" s="314"/>
      <c r="R718" s="317"/>
      <c r="S718" s="315"/>
      <c r="T718" s="315"/>
      <c r="U718" s="315"/>
      <c r="V718" s="258"/>
      <c r="W718" s="322"/>
      <c r="X718" s="318"/>
      <c r="Y718" s="315"/>
      <c r="Z718" s="318"/>
      <c r="AA718" s="314"/>
      <c r="AB718" s="336"/>
      <c r="AC718" s="314"/>
      <c r="AD718" s="316"/>
      <c r="AE718" s="315"/>
      <c r="AF718" s="315"/>
      <c r="AG718" s="315"/>
      <c r="AH718" s="315"/>
      <c r="AI718" s="377"/>
      <c r="AJ718" s="407"/>
      <c r="AK718" s="377"/>
      <c r="AL718" s="314"/>
      <c r="AM718" s="314"/>
      <c r="AN718" s="314"/>
      <c r="AO718" s="315"/>
      <c r="AP718" s="257"/>
      <c r="AQ718" s="257"/>
      <c r="AR718" s="257"/>
      <c r="AS718" s="315"/>
      <c r="AT718" s="257"/>
      <c r="AU718" s="257"/>
      <c r="AV718" s="316"/>
      <c r="AW718" s="314"/>
      <c r="AX718" s="315"/>
      <c r="AY718" s="315"/>
      <c r="AZ718" s="315"/>
      <c r="BA718" s="315"/>
      <c r="BB718" s="315"/>
      <c r="BC718" s="315"/>
      <c r="BD718" s="319"/>
      <c r="BE718" s="319"/>
      <c r="BF718" s="319"/>
      <c r="BG718" s="319"/>
      <c r="BH718" s="319"/>
      <c r="BI718" s="319"/>
      <c r="BJ718" s="319"/>
      <c r="BK718" s="315"/>
      <c r="BL718" s="316"/>
      <c r="BM718" s="314"/>
      <c r="BN718" s="319"/>
      <c r="BO718" s="315"/>
      <c r="BP718" s="314"/>
      <c r="BQ718" s="316"/>
      <c r="BR718" s="314"/>
      <c r="BS718" s="262"/>
      <c r="BT718" s="262"/>
    </row>
    <row r="719" spans="1:72" ht="45.75" customHeight="1">
      <c r="A719" s="342"/>
      <c r="B719" s="342"/>
      <c r="C719" s="342"/>
      <c r="D719" s="343"/>
      <c r="E719" s="342"/>
      <c r="F719" s="342"/>
      <c r="G719" s="344"/>
      <c r="H719" s="344"/>
      <c r="I719" s="344"/>
      <c r="J719" s="334"/>
      <c r="K719" s="335"/>
      <c r="L719" s="336"/>
      <c r="M719" s="336"/>
      <c r="N719" s="337"/>
      <c r="O719" s="337"/>
      <c r="P719" s="315"/>
      <c r="Q719" s="314"/>
      <c r="R719" s="317"/>
      <c r="S719" s="315"/>
      <c r="T719" s="315"/>
      <c r="U719" s="315"/>
      <c r="V719" s="258"/>
      <c r="W719" s="322"/>
      <c r="X719" s="318"/>
      <c r="Y719" s="315"/>
      <c r="Z719" s="318"/>
      <c r="AA719" s="314"/>
      <c r="AB719" s="336"/>
      <c r="AC719" s="314"/>
      <c r="AD719" s="316"/>
      <c r="AE719" s="315"/>
      <c r="AF719" s="315"/>
      <c r="AG719" s="315"/>
      <c r="AH719" s="315"/>
      <c r="AI719" s="377"/>
      <c r="AJ719" s="407"/>
      <c r="AK719" s="377"/>
      <c r="AL719" s="314"/>
      <c r="AM719" s="314"/>
      <c r="AN719" s="314"/>
      <c r="AO719" s="315"/>
      <c r="AP719" s="257"/>
      <c r="AQ719" s="257"/>
      <c r="AR719" s="257"/>
      <c r="AS719" s="315"/>
      <c r="AT719" s="257"/>
      <c r="AU719" s="257"/>
      <c r="AV719" s="316"/>
      <c r="AW719" s="314"/>
      <c r="AX719" s="315"/>
      <c r="AY719" s="315"/>
      <c r="AZ719" s="315"/>
      <c r="BA719" s="315"/>
      <c r="BB719" s="315"/>
      <c r="BC719" s="315"/>
      <c r="BD719" s="319"/>
      <c r="BE719" s="319"/>
      <c r="BF719" s="319"/>
      <c r="BG719" s="319"/>
      <c r="BH719" s="319"/>
      <c r="BI719" s="319"/>
      <c r="BJ719" s="319"/>
      <c r="BK719" s="315"/>
      <c r="BL719" s="316"/>
      <c r="BM719" s="314"/>
      <c r="BN719" s="319"/>
      <c r="BO719" s="315"/>
      <c r="BP719" s="314"/>
      <c r="BQ719" s="316"/>
      <c r="BR719" s="314"/>
      <c r="BS719" s="262"/>
      <c r="BT719" s="262"/>
    </row>
    <row r="720" spans="1:72" ht="45.75" customHeight="1">
      <c r="A720" s="342"/>
      <c r="B720" s="342"/>
      <c r="C720" s="342"/>
      <c r="D720" s="343"/>
      <c r="E720" s="342"/>
      <c r="F720" s="342"/>
      <c r="G720" s="344"/>
      <c r="H720" s="344"/>
      <c r="I720" s="344"/>
      <c r="J720" s="334"/>
      <c r="K720" s="335"/>
      <c r="L720" s="336"/>
      <c r="M720" s="336"/>
      <c r="N720" s="337"/>
      <c r="O720" s="337"/>
      <c r="P720" s="315"/>
      <c r="Q720" s="314"/>
      <c r="R720" s="317"/>
      <c r="S720" s="315"/>
      <c r="T720" s="315"/>
      <c r="U720" s="315"/>
      <c r="V720" s="258"/>
      <c r="W720" s="322"/>
      <c r="X720" s="318"/>
      <c r="Y720" s="315"/>
      <c r="Z720" s="318"/>
      <c r="AA720" s="314"/>
      <c r="AB720" s="336"/>
      <c r="AC720" s="314"/>
      <c r="AD720" s="316"/>
      <c r="AE720" s="315"/>
      <c r="AF720" s="315"/>
      <c r="AG720" s="315"/>
      <c r="AH720" s="315"/>
      <c r="AI720" s="377"/>
      <c r="AJ720" s="407"/>
      <c r="AK720" s="377"/>
      <c r="AL720" s="314"/>
      <c r="AM720" s="314"/>
      <c r="AN720" s="314"/>
      <c r="AO720" s="315"/>
      <c r="AP720" s="257"/>
      <c r="AQ720" s="257"/>
      <c r="AR720" s="257"/>
      <c r="AS720" s="315"/>
      <c r="AT720" s="257"/>
      <c r="AU720" s="257"/>
      <c r="AV720" s="316"/>
      <c r="AW720" s="314"/>
      <c r="AX720" s="315"/>
      <c r="AY720" s="315"/>
      <c r="AZ720" s="315"/>
      <c r="BA720" s="315"/>
      <c r="BB720" s="315"/>
      <c r="BC720" s="315"/>
      <c r="BD720" s="319"/>
      <c r="BE720" s="319"/>
      <c r="BF720" s="319"/>
      <c r="BG720" s="319"/>
      <c r="BH720" s="319"/>
      <c r="BI720" s="319"/>
      <c r="BJ720" s="319"/>
      <c r="BK720" s="315"/>
      <c r="BL720" s="316"/>
      <c r="BM720" s="314"/>
      <c r="BN720" s="319"/>
      <c r="BO720" s="315"/>
      <c r="BP720" s="314"/>
      <c r="BQ720" s="316"/>
      <c r="BR720" s="314"/>
      <c r="BS720" s="262"/>
      <c r="BT720" s="262"/>
    </row>
    <row r="721" spans="1:72" ht="45.75" customHeight="1">
      <c r="A721" s="342"/>
      <c r="B721" s="342"/>
      <c r="C721" s="342"/>
      <c r="D721" s="343"/>
      <c r="E721" s="342"/>
      <c r="F721" s="342"/>
      <c r="G721" s="344"/>
      <c r="H721" s="344"/>
      <c r="I721" s="344"/>
      <c r="J721" s="334"/>
      <c r="K721" s="335"/>
      <c r="L721" s="336"/>
      <c r="M721" s="336"/>
      <c r="N721" s="337"/>
      <c r="O721" s="337"/>
      <c r="P721" s="315"/>
      <c r="Q721" s="314"/>
      <c r="R721" s="317"/>
      <c r="S721" s="315"/>
      <c r="T721" s="315"/>
      <c r="U721" s="315"/>
      <c r="V721" s="258"/>
      <c r="W721" s="322"/>
      <c r="X721" s="318"/>
      <c r="Y721" s="315"/>
      <c r="Z721" s="318"/>
      <c r="AA721" s="314"/>
      <c r="AB721" s="336"/>
      <c r="AC721" s="314"/>
      <c r="AD721" s="316"/>
      <c r="AE721" s="315"/>
      <c r="AF721" s="315"/>
      <c r="AG721" s="315"/>
      <c r="AH721" s="315"/>
      <c r="AI721" s="377"/>
      <c r="AJ721" s="407"/>
      <c r="AK721" s="377"/>
      <c r="AL721" s="314"/>
      <c r="AM721" s="314"/>
      <c r="AN721" s="314"/>
      <c r="AO721" s="315"/>
      <c r="AP721" s="257"/>
      <c r="AQ721" s="257"/>
      <c r="AR721" s="257"/>
      <c r="AS721" s="315"/>
      <c r="AT721" s="257"/>
      <c r="AU721" s="257"/>
      <c r="AV721" s="316"/>
      <c r="AW721" s="314"/>
      <c r="AX721" s="315"/>
      <c r="AY721" s="315"/>
      <c r="AZ721" s="315"/>
      <c r="BA721" s="315"/>
      <c r="BB721" s="315"/>
      <c r="BC721" s="315"/>
      <c r="BD721" s="319"/>
      <c r="BE721" s="319"/>
      <c r="BF721" s="319"/>
      <c r="BG721" s="319"/>
      <c r="BH721" s="319"/>
      <c r="BI721" s="319"/>
      <c r="BJ721" s="319"/>
      <c r="BK721" s="315"/>
      <c r="BL721" s="316"/>
      <c r="BM721" s="314"/>
      <c r="BN721" s="319"/>
      <c r="BO721" s="315"/>
      <c r="BP721" s="314"/>
      <c r="BQ721" s="316"/>
      <c r="BR721" s="314"/>
      <c r="BS721" s="262"/>
      <c r="BT721" s="262"/>
    </row>
    <row r="722" spans="1:72" ht="45.75" customHeight="1">
      <c r="A722" s="342"/>
      <c r="B722" s="342"/>
      <c r="C722" s="342"/>
      <c r="D722" s="343"/>
      <c r="E722" s="342"/>
      <c r="F722" s="342"/>
      <c r="G722" s="344"/>
      <c r="H722" s="344"/>
      <c r="I722" s="344"/>
      <c r="J722" s="334"/>
      <c r="K722" s="335"/>
      <c r="L722" s="336"/>
      <c r="M722" s="336"/>
      <c r="N722" s="337"/>
      <c r="O722" s="337"/>
      <c r="P722" s="315"/>
      <c r="Q722" s="314"/>
      <c r="R722" s="317"/>
      <c r="S722" s="315"/>
      <c r="T722" s="315"/>
      <c r="U722" s="315"/>
      <c r="V722" s="258"/>
      <c r="W722" s="322"/>
      <c r="X722" s="318"/>
      <c r="Y722" s="315"/>
      <c r="Z722" s="318"/>
      <c r="AA722" s="314"/>
      <c r="AB722" s="336"/>
      <c r="AC722" s="314"/>
      <c r="AD722" s="316"/>
      <c r="AE722" s="315"/>
      <c r="AF722" s="315"/>
      <c r="AG722" s="315"/>
      <c r="AH722" s="315"/>
      <c r="AI722" s="377"/>
      <c r="AJ722" s="407"/>
      <c r="AK722" s="377"/>
      <c r="AL722" s="314"/>
      <c r="AM722" s="314"/>
      <c r="AN722" s="314"/>
      <c r="AO722" s="315"/>
      <c r="AP722" s="257"/>
      <c r="AQ722" s="257"/>
      <c r="AR722" s="257"/>
      <c r="AS722" s="315"/>
      <c r="AT722" s="257"/>
      <c r="AU722" s="257"/>
      <c r="AV722" s="316"/>
      <c r="AW722" s="314"/>
      <c r="AX722" s="315"/>
      <c r="AY722" s="315"/>
      <c r="AZ722" s="315"/>
      <c r="BA722" s="315"/>
      <c r="BB722" s="315"/>
      <c r="BC722" s="315"/>
      <c r="BD722" s="319"/>
      <c r="BE722" s="319"/>
      <c r="BF722" s="319"/>
      <c r="BG722" s="319"/>
      <c r="BH722" s="319"/>
      <c r="BI722" s="319"/>
      <c r="BJ722" s="319"/>
      <c r="BK722" s="315"/>
      <c r="BL722" s="316"/>
      <c r="BM722" s="314"/>
      <c r="BN722" s="319"/>
      <c r="BO722" s="315"/>
      <c r="BP722" s="314"/>
      <c r="BQ722" s="316"/>
      <c r="BR722" s="314"/>
      <c r="BS722" s="262"/>
      <c r="BT722" s="262"/>
    </row>
    <row r="723" spans="1:72" ht="45.75" customHeight="1">
      <c r="A723" s="342"/>
      <c r="B723" s="342"/>
      <c r="C723" s="342"/>
      <c r="D723" s="343"/>
      <c r="E723" s="342"/>
      <c r="F723" s="342"/>
      <c r="G723" s="344"/>
      <c r="H723" s="344"/>
      <c r="I723" s="344"/>
      <c r="J723" s="334"/>
      <c r="K723" s="335"/>
      <c r="L723" s="336"/>
      <c r="M723" s="336"/>
      <c r="N723" s="337"/>
      <c r="O723" s="337"/>
      <c r="P723" s="315"/>
      <c r="Q723" s="314"/>
      <c r="R723" s="317"/>
      <c r="S723" s="315"/>
      <c r="T723" s="315"/>
      <c r="U723" s="315"/>
      <c r="V723" s="258"/>
      <c r="W723" s="322"/>
      <c r="X723" s="318"/>
      <c r="Y723" s="315"/>
      <c r="Z723" s="318"/>
      <c r="AA723" s="314"/>
      <c r="AB723" s="336"/>
      <c r="AC723" s="314"/>
      <c r="AD723" s="316"/>
      <c r="AE723" s="315"/>
      <c r="AF723" s="315"/>
      <c r="AG723" s="315"/>
      <c r="AH723" s="315"/>
      <c r="AI723" s="377"/>
      <c r="AJ723" s="407"/>
      <c r="AK723" s="377"/>
      <c r="AL723" s="314"/>
      <c r="AM723" s="314"/>
      <c r="AN723" s="314"/>
      <c r="AO723" s="315"/>
      <c r="AP723" s="257"/>
      <c r="AQ723" s="257"/>
      <c r="AR723" s="257"/>
      <c r="AS723" s="315"/>
      <c r="AT723" s="257"/>
      <c r="AU723" s="257"/>
      <c r="AV723" s="316"/>
      <c r="AW723" s="314"/>
      <c r="AX723" s="315"/>
      <c r="AY723" s="315"/>
      <c r="AZ723" s="315"/>
      <c r="BA723" s="315"/>
      <c r="BB723" s="315"/>
      <c r="BC723" s="315"/>
      <c r="BD723" s="319"/>
      <c r="BE723" s="319"/>
      <c r="BF723" s="319"/>
      <c r="BG723" s="319"/>
      <c r="BH723" s="319"/>
      <c r="BI723" s="319"/>
      <c r="BJ723" s="319"/>
      <c r="BK723" s="315"/>
      <c r="BL723" s="316"/>
      <c r="BM723" s="314"/>
      <c r="BN723" s="319"/>
      <c r="BO723" s="315"/>
      <c r="BP723" s="314"/>
      <c r="BQ723" s="316"/>
      <c r="BR723" s="314"/>
      <c r="BS723" s="262"/>
      <c r="BT723" s="262"/>
    </row>
    <row r="724" spans="1:72" ht="45.75" customHeight="1">
      <c r="A724" s="342"/>
      <c r="B724" s="342"/>
      <c r="C724" s="342"/>
      <c r="D724" s="343"/>
      <c r="E724" s="342"/>
      <c r="F724" s="342"/>
      <c r="G724" s="344"/>
      <c r="H724" s="344"/>
      <c r="I724" s="344"/>
      <c r="J724" s="334"/>
      <c r="K724" s="335"/>
      <c r="L724" s="336"/>
      <c r="M724" s="336"/>
      <c r="N724" s="337"/>
      <c r="O724" s="337"/>
      <c r="P724" s="315"/>
      <c r="Q724" s="314"/>
      <c r="R724" s="317"/>
      <c r="S724" s="315"/>
      <c r="T724" s="315"/>
      <c r="U724" s="315"/>
      <c r="V724" s="258"/>
      <c r="W724" s="322"/>
      <c r="X724" s="318"/>
      <c r="Y724" s="315"/>
      <c r="Z724" s="318"/>
      <c r="AA724" s="314"/>
      <c r="AB724" s="336"/>
      <c r="AC724" s="314"/>
      <c r="AD724" s="316"/>
      <c r="AE724" s="315"/>
      <c r="AF724" s="315"/>
      <c r="AG724" s="315"/>
      <c r="AH724" s="315"/>
      <c r="AI724" s="377"/>
      <c r="AJ724" s="407"/>
      <c r="AK724" s="377"/>
      <c r="AL724" s="314"/>
      <c r="AM724" s="314"/>
      <c r="AN724" s="314"/>
      <c r="AO724" s="315"/>
      <c r="AP724" s="257"/>
      <c r="AQ724" s="257"/>
      <c r="AR724" s="257"/>
      <c r="AS724" s="315"/>
      <c r="AT724" s="257"/>
      <c r="AU724" s="257"/>
      <c r="AV724" s="316"/>
      <c r="AW724" s="314"/>
      <c r="AX724" s="315"/>
      <c r="AY724" s="315"/>
      <c r="AZ724" s="315"/>
      <c r="BA724" s="315"/>
      <c r="BB724" s="315"/>
      <c r="BC724" s="315"/>
      <c r="BD724" s="319"/>
      <c r="BE724" s="319"/>
      <c r="BF724" s="319"/>
      <c r="BG724" s="319"/>
      <c r="BH724" s="319"/>
      <c r="BI724" s="319"/>
      <c r="BJ724" s="319"/>
      <c r="BK724" s="315"/>
      <c r="BL724" s="316"/>
      <c r="BM724" s="314"/>
      <c r="BN724" s="319"/>
      <c r="BO724" s="315"/>
      <c r="BP724" s="314"/>
      <c r="BQ724" s="316"/>
      <c r="BR724" s="314"/>
      <c r="BS724" s="262"/>
      <c r="BT724" s="262"/>
    </row>
    <row r="725" spans="1:72" ht="45.75" customHeight="1">
      <c r="A725" s="342"/>
      <c r="B725" s="342"/>
      <c r="C725" s="342"/>
      <c r="D725" s="343"/>
      <c r="E725" s="342"/>
      <c r="F725" s="342"/>
      <c r="G725" s="344"/>
      <c r="H725" s="344"/>
      <c r="I725" s="344"/>
      <c r="J725" s="334"/>
      <c r="K725" s="335"/>
      <c r="L725" s="336"/>
      <c r="M725" s="336"/>
      <c r="N725" s="337"/>
      <c r="O725" s="337"/>
      <c r="P725" s="315"/>
      <c r="Q725" s="314"/>
      <c r="R725" s="317"/>
      <c r="S725" s="315"/>
      <c r="T725" s="315"/>
      <c r="U725" s="315"/>
      <c r="V725" s="258"/>
      <c r="W725" s="322"/>
      <c r="X725" s="318"/>
      <c r="Y725" s="315"/>
      <c r="Z725" s="318"/>
      <c r="AA725" s="314"/>
      <c r="AB725" s="336"/>
      <c r="AC725" s="314"/>
      <c r="AD725" s="316"/>
      <c r="AE725" s="315"/>
      <c r="AF725" s="315"/>
      <c r="AG725" s="315"/>
      <c r="AH725" s="315"/>
      <c r="AI725" s="377"/>
      <c r="AJ725" s="407"/>
      <c r="AK725" s="377"/>
      <c r="AL725" s="314"/>
      <c r="AM725" s="314"/>
      <c r="AN725" s="314"/>
      <c r="AO725" s="315"/>
      <c r="AP725" s="257"/>
      <c r="AQ725" s="257"/>
      <c r="AR725" s="257"/>
      <c r="AS725" s="315"/>
      <c r="AT725" s="257"/>
      <c r="AU725" s="257"/>
      <c r="AV725" s="316"/>
      <c r="AW725" s="314"/>
      <c r="AX725" s="315"/>
      <c r="AY725" s="315"/>
      <c r="AZ725" s="315"/>
      <c r="BA725" s="315"/>
      <c r="BB725" s="315"/>
      <c r="BC725" s="315"/>
      <c r="BD725" s="319"/>
      <c r="BE725" s="319"/>
      <c r="BF725" s="319"/>
      <c r="BG725" s="319"/>
      <c r="BH725" s="319"/>
      <c r="BI725" s="319"/>
      <c r="BJ725" s="319"/>
      <c r="BK725" s="315"/>
      <c r="BL725" s="316"/>
      <c r="BM725" s="314"/>
      <c r="BN725" s="319"/>
      <c r="BO725" s="315"/>
      <c r="BP725" s="314"/>
      <c r="BQ725" s="316"/>
      <c r="BR725" s="314"/>
      <c r="BS725" s="262"/>
      <c r="BT725" s="262"/>
    </row>
    <row r="726" spans="1:72" ht="45.75" customHeight="1">
      <c r="A726" s="342"/>
      <c r="B726" s="342"/>
      <c r="C726" s="342"/>
      <c r="D726" s="343"/>
      <c r="E726" s="342"/>
      <c r="F726" s="342"/>
      <c r="G726" s="344"/>
      <c r="H726" s="344"/>
      <c r="I726" s="344"/>
      <c r="J726" s="334"/>
      <c r="K726" s="335"/>
      <c r="L726" s="336"/>
      <c r="M726" s="336"/>
      <c r="N726" s="337"/>
      <c r="O726" s="337"/>
      <c r="P726" s="315"/>
      <c r="Q726" s="314"/>
      <c r="R726" s="317"/>
      <c r="S726" s="315"/>
      <c r="T726" s="315"/>
      <c r="U726" s="315"/>
      <c r="V726" s="258"/>
      <c r="W726" s="322"/>
      <c r="X726" s="318"/>
      <c r="Y726" s="315"/>
      <c r="Z726" s="318"/>
      <c r="AA726" s="314"/>
      <c r="AB726" s="336"/>
      <c r="AC726" s="314"/>
      <c r="AD726" s="316"/>
      <c r="AE726" s="315"/>
      <c r="AF726" s="315"/>
      <c r="AG726" s="315"/>
      <c r="AH726" s="315"/>
      <c r="AI726" s="377"/>
      <c r="AJ726" s="407"/>
      <c r="AK726" s="377"/>
      <c r="AL726" s="314"/>
      <c r="AM726" s="314"/>
      <c r="AN726" s="314"/>
      <c r="AO726" s="315"/>
      <c r="AP726" s="257"/>
      <c r="AQ726" s="257"/>
      <c r="AR726" s="257"/>
      <c r="AS726" s="315"/>
      <c r="AT726" s="257"/>
      <c r="AU726" s="257"/>
      <c r="AV726" s="316"/>
      <c r="AW726" s="314"/>
      <c r="AX726" s="315"/>
      <c r="AY726" s="315"/>
      <c r="AZ726" s="315"/>
      <c r="BA726" s="315"/>
      <c r="BB726" s="315"/>
      <c r="BC726" s="315"/>
      <c r="BD726" s="319"/>
      <c r="BE726" s="319"/>
      <c r="BF726" s="319"/>
      <c r="BG726" s="319"/>
      <c r="BH726" s="319"/>
      <c r="BI726" s="319"/>
      <c r="BJ726" s="319"/>
      <c r="BK726" s="315"/>
      <c r="BL726" s="316"/>
      <c r="BM726" s="314"/>
      <c r="BN726" s="319"/>
      <c r="BO726" s="315"/>
      <c r="BP726" s="314"/>
      <c r="BQ726" s="316"/>
      <c r="BR726" s="314"/>
      <c r="BS726" s="262"/>
      <c r="BT726" s="262"/>
    </row>
    <row r="727" spans="1:72" ht="45.75" customHeight="1">
      <c r="A727" s="342"/>
      <c r="B727" s="342"/>
      <c r="C727" s="342"/>
      <c r="D727" s="343"/>
      <c r="E727" s="342"/>
      <c r="F727" s="342"/>
      <c r="G727" s="344"/>
      <c r="H727" s="344"/>
      <c r="I727" s="344"/>
      <c r="J727" s="334"/>
      <c r="K727" s="335"/>
      <c r="L727" s="336"/>
      <c r="M727" s="336"/>
      <c r="N727" s="337"/>
      <c r="O727" s="337"/>
      <c r="P727" s="315"/>
      <c r="Q727" s="314"/>
      <c r="R727" s="317"/>
      <c r="S727" s="315"/>
      <c r="T727" s="315"/>
      <c r="U727" s="315"/>
      <c r="V727" s="258"/>
      <c r="W727" s="322"/>
      <c r="X727" s="318"/>
      <c r="Y727" s="315"/>
      <c r="Z727" s="318"/>
      <c r="AA727" s="314"/>
      <c r="AB727" s="336"/>
      <c r="AC727" s="314"/>
      <c r="AD727" s="316"/>
      <c r="AE727" s="315"/>
      <c r="AF727" s="315"/>
      <c r="AG727" s="315"/>
      <c r="AH727" s="315"/>
      <c r="AI727" s="377"/>
      <c r="AJ727" s="407"/>
      <c r="AK727" s="377"/>
      <c r="AL727" s="314"/>
      <c r="AM727" s="314"/>
      <c r="AN727" s="314"/>
      <c r="AO727" s="315"/>
      <c r="AP727" s="257"/>
      <c r="AQ727" s="257"/>
      <c r="AR727" s="257"/>
      <c r="AS727" s="315"/>
      <c r="AT727" s="257"/>
      <c r="AU727" s="257"/>
      <c r="AV727" s="316"/>
      <c r="AW727" s="314"/>
      <c r="AX727" s="315"/>
      <c r="AY727" s="315"/>
      <c r="AZ727" s="315"/>
      <c r="BA727" s="315"/>
      <c r="BB727" s="315"/>
      <c r="BC727" s="315"/>
      <c r="BD727" s="319"/>
      <c r="BE727" s="319"/>
      <c r="BF727" s="319"/>
      <c r="BG727" s="319"/>
      <c r="BH727" s="319"/>
      <c r="BI727" s="319"/>
      <c r="BJ727" s="319"/>
      <c r="BK727" s="315"/>
      <c r="BL727" s="316"/>
      <c r="BM727" s="314"/>
      <c r="BN727" s="319"/>
      <c r="BO727" s="315"/>
      <c r="BP727" s="314"/>
      <c r="BQ727" s="316"/>
      <c r="BR727" s="314"/>
      <c r="BS727" s="262"/>
      <c r="BT727" s="262"/>
    </row>
    <row r="728" spans="1:72" ht="45.75" customHeight="1">
      <c r="A728" s="342"/>
      <c r="B728" s="342"/>
      <c r="C728" s="342"/>
      <c r="D728" s="343"/>
      <c r="E728" s="342"/>
      <c r="F728" s="342"/>
      <c r="G728" s="344"/>
      <c r="H728" s="344"/>
      <c r="I728" s="344"/>
      <c r="J728" s="334"/>
      <c r="K728" s="335"/>
      <c r="L728" s="336"/>
      <c r="M728" s="336"/>
      <c r="N728" s="337"/>
      <c r="O728" s="337"/>
      <c r="P728" s="315"/>
      <c r="Q728" s="314"/>
      <c r="R728" s="317"/>
      <c r="S728" s="315"/>
      <c r="T728" s="315"/>
      <c r="U728" s="315"/>
      <c r="V728" s="258"/>
      <c r="W728" s="322"/>
      <c r="X728" s="318"/>
      <c r="Y728" s="315"/>
      <c r="Z728" s="318"/>
      <c r="AA728" s="314"/>
      <c r="AB728" s="336"/>
      <c r="AC728" s="314"/>
      <c r="AD728" s="316"/>
      <c r="AE728" s="315"/>
      <c r="AF728" s="315"/>
      <c r="AG728" s="315"/>
      <c r="AH728" s="315"/>
      <c r="AI728" s="377"/>
      <c r="AJ728" s="407"/>
      <c r="AK728" s="377"/>
      <c r="AL728" s="314"/>
      <c r="AM728" s="314"/>
      <c r="AN728" s="314"/>
      <c r="AO728" s="315"/>
      <c r="AP728" s="257"/>
      <c r="AQ728" s="257"/>
      <c r="AR728" s="257"/>
      <c r="AS728" s="315"/>
      <c r="AT728" s="257"/>
      <c r="AU728" s="257"/>
      <c r="AV728" s="316"/>
      <c r="AW728" s="314"/>
      <c r="AX728" s="315"/>
      <c r="AY728" s="315"/>
      <c r="AZ728" s="315"/>
      <c r="BA728" s="315"/>
      <c r="BB728" s="315"/>
      <c r="BC728" s="315"/>
      <c r="BD728" s="319"/>
      <c r="BE728" s="319"/>
      <c r="BF728" s="319"/>
      <c r="BG728" s="319"/>
      <c r="BH728" s="319"/>
      <c r="BI728" s="319"/>
      <c r="BJ728" s="319"/>
      <c r="BK728" s="315"/>
      <c r="BL728" s="316"/>
      <c r="BM728" s="314"/>
      <c r="BN728" s="319"/>
      <c r="BO728" s="315"/>
      <c r="BP728" s="314"/>
      <c r="BQ728" s="316"/>
      <c r="BR728" s="314"/>
      <c r="BS728" s="262"/>
      <c r="BT728" s="262"/>
    </row>
    <row r="729" spans="1:72" ht="45.75" customHeight="1">
      <c r="A729" s="342"/>
      <c r="B729" s="342"/>
      <c r="C729" s="342"/>
      <c r="D729" s="343"/>
      <c r="E729" s="342"/>
      <c r="F729" s="342"/>
      <c r="G729" s="344"/>
      <c r="H729" s="344"/>
      <c r="I729" s="344"/>
      <c r="J729" s="334"/>
      <c r="K729" s="335"/>
      <c r="L729" s="336"/>
      <c r="M729" s="336"/>
      <c r="N729" s="337"/>
      <c r="O729" s="337"/>
      <c r="P729" s="315"/>
      <c r="Q729" s="314"/>
      <c r="R729" s="317"/>
      <c r="S729" s="315"/>
      <c r="T729" s="315"/>
      <c r="U729" s="315"/>
      <c r="V729" s="258"/>
      <c r="W729" s="322"/>
      <c r="X729" s="318"/>
      <c r="Y729" s="315"/>
      <c r="Z729" s="318"/>
      <c r="AA729" s="314"/>
      <c r="AB729" s="336"/>
      <c r="AC729" s="314"/>
      <c r="AD729" s="316"/>
      <c r="AE729" s="315"/>
      <c r="AF729" s="315"/>
      <c r="AG729" s="315"/>
      <c r="AH729" s="315"/>
      <c r="AI729" s="377"/>
      <c r="AJ729" s="407"/>
      <c r="AK729" s="377"/>
      <c r="AL729" s="314"/>
      <c r="AM729" s="314"/>
      <c r="AN729" s="314"/>
      <c r="AO729" s="315"/>
      <c r="AP729" s="257"/>
      <c r="AQ729" s="257"/>
      <c r="AR729" s="257"/>
      <c r="AS729" s="315"/>
      <c r="AT729" s="257"/>
      <c r="AU729" s="257"/>
      <c r="AV729" s="316"/>
      <c r="AW729" s="314"/>
      <c r="AX729" s="315"/>
      <c r="AY729" s="315"/>
      <c r="AZ729" s="315"/>
      <c r="BA729" s="315"/>
      <c r="BB729" s="315"/>
      <c r="BC729" s="315"/>
      <c r="BD729" s="319"/>
      <c r="BE729" s="319"/>
      <c r="BF729" s="319"/>
      <c r="BG729" s="319"/>
      <c r="BH729" s="319"/>
      <c r="BI729" s="319"/>
      <c r="BJ729" s="319"/>
      <c r="BK729" s="315"/>
      <c r="BL729" s="316"/>
      <c r="BM729" s="314"/>
      <c r="BN729" s="319"/>
      <c r="BO729" s="315"/>
      <c r="BP729" s="314"/>
      <c r="BQ729" s="316"/>
      <c r="BR729" s="314"/>
      <c r="BS729" s="262"/>
      <c r="BT729" s="262"/>
    </row>
    <row r="730" spans="1:72" ht="45.75" customHeight="1">
      <c r="A730" s="342"/>
      <c r="B730" s="342"/>
      <c r="C730" s="342"/>
      <c r="D730" s="343"/>
      <c r="E730" s="342"/>
      <c r="F730" s="342"/>
      <c r="G730" s="344"/>
      <c r="H730" s="344"/>
      <c r="I730" s="344"/>
      <c r="J730" s="334"/>
      <c r="K730" s="335"/>
      <c r="L730" s="336"/>
      <c r="M730" s="336"/>
      <c r="N730" s="337"/>
      <c r="O730" s="337"/>
      <c r="P730" s="315"/>
      <c r="Q730" s="314"/>
      <c r="R730" s="317"/>
      <c r="S730" s="315"/>
      <c r="T730" s="315"/>
      <c r="U730" s="315"/>
      <c r="V730" s="258"/>
      <c r="W730" s="322"/>
      <c r="X730" s="318"/>
      <c r="Y730" s="315"/>
      <c r="Z730" s="318"/>
      <c r="AA730" s="314"/>
      <c r="AB730" s="336"/>
      <c r="AC730" s="314"/>
      <c r="AD730" s="316"/>
      <c r="AE730" s="315"/>
      <c r="AF730" s="315"/>
      <c r="AG730" s="315"/>
      <c r="AH730" s="315"/>
      <c r="AI730" s="377"/>
      <c r="AJ730" s="407"/>
      <c r="AK730" s="377"/>
      <c r="AL730" s="314"/>
      <c r="AM730" s="314"/>
      <c r="AN730" s="314"/>
      <c r="AO730" s="315"/>
      <c r="AP730" s="257"/>
      <c r="AQ730" s="257"/>
      <c r="AR730" s="257"/>
      <c r="AS730" s="315"/>
      <c r="AT730" s="257"/>
      <c r="AU730" s="257"/>
      <c r="AV730" s="316"/>
      <c r="AW730" s="314"/>
      <c r="AX730" s="315"/>
      <c r="AY730" s="315"/>
      <c r="AZ730" s="315"/>
      <c r="BA730" s="315"/>
      <c r="BB730" s="315"/>
      <c r="BC730" s="315"/>
      <c r="BD730" s="319"/>
      <c r="BE730" s="319"/>
      <c r="BF730" s="319"/>
      <c r="BG730" s="319"/>
      <c r="BH730" s="319"/>
      <c r="BI730" s="319"/>
      <c r="BJ730" s="319"/>
      <c r="BK730" s="315"/>
      <c r="BL730" s="316"/>
      <c r="BM730" s="314"/>
      <c r="BN730" s="319"/>
      <c r="BO730" s="315"/>
      <c r="BP730" s="314"/>
      <c r="BQ730" s="316"/>
      <c r="BR730" s="314"/>
      <c r="BS730" s="262"/>
      <c r="BT730" s="262"/>
    </row>
    <row r="731" spans="1:72" ht="45.75" customHeight="1">
      <c r="A731" s="342"/>
      <c r="B731" s="342"/>
      <c r="C731" s="342"/>
      <c r="D731" s="343"/>
      <c r="E731" s="342"/>
      <c r="F731" s="342"/>
      <c r="G731" s="344"/>
      <c r="H731" s="344"/>
      <c r="I731" s="344"/>
      <c r="J731" s="334"/>
      <c r="K731" s="335"/>
      <c r="L731" s="336"/>
      <c r="M731" s="336"/>
      <c r="N731" s="337"/>
      <c r="O731" s="337"/>
      <c r="P731" s="315"/>
      <c r="Q731" s="314"/>
      <c r="R731" s="317"/>
      <c r="S731" s="315"/>
      <c r="T731" s="315"/>
      <c r="U731" s="315"/>
      <c r="V731" s="258"/>
      <c r="W731" s="322"/>
      <c r="X731" s="318"/>
      <c r="Y731" s="315"/>
      <c r="Z731" s="318"/>
      <c r="AA731" s="314"/>
      <c r="AB731" s="336"/>
      <c r="AC731" s="314"/>
      <c r="AD731" s="316"/>
      <c r="AE731" s="315"/>
      <c r="AF731" s="315"/>
      <c r="AG731" s="315"/>
      <c r="AH731" s="315"/>
      <c r="AI731" s="377"/>
      <c r="AJ731" s="407"/>
      <c r="AK731" s="377"/>
      <c r="AL731" s="314"/>
      <c r="AM731" s="314"/>
      <c r="AN731" s="314"/>
      <c r="AO731" s="315"/>
      <c r="AP731" s="257"/>
      <c r="AQ731" s="257"/>
      <c r="AR731" s="257"/>
      <c r="AS731" s="315"/>
      <c r="AT731" s="257"/>
      <c r="AU731" s="257"/>
      <c r="AV731" s="316"/>
      <c r="AW731" s="314"/>
      <c r="AX731" s="315"/>
      <c r="AY731" s="315"/>
      <c r="AZ731" s="315"/>
      <c r="BA731" s="315"/>
      <c r="BB731" s="315"/>
      <c r="BC731" s="315"/>
      <c r="BD731" s="319"/>
      <c r="BE731" s="319"/>
      <c r="BF731" s="319"/>
      <c r="BG731" s="319"/>
      <c r="BH731" s="319"/>
      <c r="BI731" s="319"/>
      <c r="BJ731" s="319"/>
      <c r="BK731" s="315"/>
      <c r="BL731" s="316"/>
      <c r="BM731" s="314"/>
      <c r="BN731" s="319"/>
      <c r="BO731" s="315"/>
      <c r="BP731" s="314"/>
      <c r="BQ731" s="316"/>
      <c r="BR731" s="314"/>
      <c r="BS731" s="262"/>
      <c r="BT731" s="262"/>
    </row>
    <row r="732" spans="1:72" ht="45.75" customHeight="1">
      <c r="A732" s="342"/>
      <c r="B732" s="342"/>
      <c r="C732" s="342"/>
      <c r="D732" s="343"/>
      <c r="E732" s="342"/>
      <c r="F732" s="342"/>
      <c r="G732" s="344"/>
      <c r="H732" s="344"/>
      <c r="I732" s="344"/>
      <c r="J732" s="334"/>
      <c r="K732" s="335"/>
      <c r="L732" s="336"/>
      <c r="M732" s="336"/>
      <c r="N732" s="337"/>
      <c r="O732" s="337"/>
      <c r="P732" s="315"/>
      <c r="Q732" s="314"/>
      <c r="R732" s="317"/>
      <c r="S732" s="315"/>
      <c r="T732" s="315"/>
      <c r="U732" s="315"/>
      <c r="V732" s="258"/>
      <c r="W732" s="322"/>
      <c r="X732" s="318"/>
      <c r="Y732" s="315"/>
      <c r="Z732" s="318"/>
      <c r="AA732" s="314"/>
      <c r="AB732" s="336"/>
      <c r="AC732" s="314"/>
      <c r="AD732" s="316"/>
      <c r="AE732" s="315"/>
      <c r="AF732" s="315"/>
      <c r="AG732" s="315"/>
      <c r="AH732" s="315"/>
      <c r="AI732" s="377"/>
      <c r="AJ732" s="407"/>
      <c r="AK732" s="377"/>
      <c r="AL732" s="314"/>
      <c r="AM732" s="314"/>
      <c r="AN732" s="314"/>
      <c r="AO732" s="315"/>
      <c r="AP732" s="257"/>
      <c r="AQ732" s="257"/>
      <c r="AR732" s="257"/>
      <c r="AS732" s="315"/>
      <c r="AT732" s="257"/>
      <c r="AU732" s="257"/>
      <c r="AV732" s="316"/>
      <c r="AW732" s="314"/>
      <c r="AX732" s="315"/>
      <c r="AY732" s="315"/>
      <c r="AZ732" s="315"/>
      <c r="BA732" s="315"/>
      <c r="BB732" s="315"/>
      <c r="BC732" s="315"/>
      <c r="BD732" s="319"/>
      <c r="BE732" s="319"/>
      <c r="BF732" s="319"/>
      <c r="BG732" s="319"/>
      <c r="BH732" s="319"/>
      <c r="BI732" s="319"/>
      <c r="BJ732" s="319"/>
      <c r="BK732" s="315"/>
      <c r="BL732" s="316"/>
      <c r="BM732" s="314"/>
      <c r="BN732" s="319"/>
      <c r="BO732" s="315"/>
      <c r="BP732" s="314"/>
      <c r="BQ732" s="316"/>
      <c r="BR732" s="314"/>
      <c r="BS732" s="262"/>
      <c r="BT732" s="262"/>
    </row>
    <row r="733" spans="1:72" ht="45.75" customHeight="1">
      <c r="A733" s="342"/>
      <c r="B733" s="342"/>
      <c r="C733" s="342"/>
      <c r="D733" s="343"/>
      <c r="E733" s="342"/>
      <c r="F733" s="342"/>
      <c r="G733" s="344"/>
      <c r="H733" s="344"/>
      <c r="I733" s="344"/>
      <c r="J733" s="334"/>
      <c r="K733" s="335"/>
      <c r="L733" s="336"/>
      <c r="M733" s="336"/>
      <c r="N733" s="337"/>
      <c r="O733" s="337"/>
      <c r="P733" s="315"/>
      <c r="Q733" s="314"/>
      <c r="R733" s="317"/>
      <c r="S733" s="315"/>
      <c r="T733" s="315"/>
      <c r="U733" s="315"/>
      <c r="V733" s="258"/>
      <c r="W733" s="322"/>
      <c r="X733" s="318"/>
      <c r="Y733" s="315"/>
      <c r="Z733" s="318"/>
      <c r="AA733" s="314"/>
      <c r="AB733" s="336"/>
      <c r="AC733" s="314"/>
      <c r="AD733" s="316"/>
      <c r="AE733" s="315"/>
      <c r="AF733" s="315"/>
      <c r="AG733" s="315"/>
      <c r="AH733" s="315"/>
      <c r="AI733" s="377"/>
      <c r="AJ733" s="407"/>
      <c r="AK733" s="377"/>
      <c r="AL733" s="314"/>
      <c r="AM733" s="314"/>
      <c r="AN733" s="314"/>
      <c r="AO733" s="315"/>
      <c r="AP733" s="257"/>
      <c r="AQ733" s="257"/>
      <c r="AR733" s="257"/>
      <c r="AS733" s="315"/>
      <c r="AT733" s="257"/>
      <c r="AU733" s="257"/>
      <c r="AV733" s="316"/>
      <c r="AW733" s="314"/>
      <c r="AX733" s="315"/>
      <c r="AY733" s="315"/>
      <c r="AZ733" s="315"/>
      <c r="BA733" s="315"/>
      <c r="BB733" s="315"/>
      <c r="BC733" s="315"/>
      <c r="BD733" s="319"/>
      <c r="BE733" s="319"/>
      <c r="BF733" s="319"/>
      <c r="BG733" s="319"/>
      <c r="BH733" s="319"/>
      <c r="BI733" s="319"/>
      <c r="BJ733" s="319"/>
      <c r="BK733" s="315"/>
      <c r="BL733" s="316"/>
      <c r="BM733" s="314"/>
      <c r="BN733" s="319"/>
      <c r="BO733" s="315"/>
      <c r="BP733" s="314"/>
      <c r="BQ733" s="316"/>
      <c r="BR733" s="314"/>
      <c r="BS733" s="262"/>
      <c r="BT733" s="262"/>
    </row>
    <row r="734" spans="1:72" ht="45.75" customHeight="1">
      <c r="A734" s="342"/>
      <c r="B734" s="342"/>
      <c r="C734" s="342"/>
      <c r="D734" s="343"/>
      <c r="E734" s="342"/>
      <c r="F734" s="342"/>
      <c r="G734" s="344"/>
      <c r="H734" s="344"/>
      <c r="I734" s="344"/>
      <c r="J734" s="334"/>
      <c r="K734" s="335"/>
      <c r="L734" s="336"/>
      <c r="M734" s="336"/>
      <c r="N734" s="337"/>
      <c r="O734" s="337"/>
      <c r="P734" s="315"/>
      <c r="Q734" s="314"/>
      <c r="R734" s="317"/>
      <c r="S734" s="315"/>
      <c r="T734" s="315"/>
      <c r="U734" s="315"/>
      <c r="V734" s="258"/>
      <c r="W734" s="322"/>
      <c r="X734" s="318"/>
      <c r="Y734" s="315"/>
      <c r="Z734" s="318"/>
      <c r="AA734" s="314"/>
      <c r="AB734" s="336"/>
      <c r="AC734" s="314"/>
      <c r="AD734" s="316"/>
      <c r="AE734" s="315"/>
      <c r="AF734" s="315"/>
      <c r="AG734" s="315"/>
      <c r="AH734" s="315"/>
      <c r="AI734" s="377"/>
      <c r="AJ734" s="407"/>
      <c r="AK734" s="377"/>
      <c r="AL734" s="314"/>
      <c r="AM734" s="314"/>
      <c r="AN734" s="314"/>
      <c r="AO734" s="315"/>
      <c r="AP734" s="257"/>
      <c r="AQ734" s="257"/>
      <c r="AR734" s="257"/>
      <c r="AS734" s="315"/>
      <c r="AT734" s="257"/>
      <c r="AU734" s="257"/>
      <c r="AV734" s="316"/>
      <c r="AW734" s="314"/>
      <c r="AX734" s="315"/>
      <c r="AY734" s="315"/>
      <c r="AZ734" s="315"/>
      <c r="BA734" s="315"/>
      <c r="BB734" s="315"/>
      <c r="BC734" s="315"/>
      <c r="BD734" s="319"/>
      <c r="BE734" s="319"/>
      <c r="BF734" s="319"/>
      <c r="BG734" s="319"/>
      <c r="BH734" s="319"/>
      <c r="BI734" s="319"/>
      <c r="BJ734" s="319"/>
      <c r="BK734" s="315"/>
      <c r="BL734" s="316"/>
      <c r="BM734" s="314"/>
      <c r="BN734" s="319"/>
      <c r="BO734" s="315"/>
      <c r="BP734" s="314"/>
      <c r="BQ734" s="316"/>
      <c r="BR734" s="314"/>
      <c r="BS734" s="262"/>
      <c r="BT734" s="262"/>
    </row>
    <row r="735" spans="1:72" ht="45.75" customHeight="1">
      <c r="A735" s="342"/>
      <c r="B735" s="342"/>
      <c r="C735" s="342"/>
      <c r="D735" s="343"/>
      <c r="E735" s="342"/>
      <c r="F735" s="342"/>
      <c r="G735" s="344"/>
      <c r="H735" s="344"/>
      <c r="I735" s="344"/>
      <c r="J735" s="334"/>
      <c r="K735" s="335"/>
      <c r="L735" s="336"/>
      <c r="M735" s="336"/>
      <c r="N735" s="337"/>
      <c r="O735" s="337"/>
      <c r="P735" s="315"/>
      <c r="Q735" s="314"/>
      <c r="R735" s="317"/>
      <c r="S735" s="315"/>
      <c r="T735" s="315"/>
      <c r="U735" s="315"/>
      <c r="V735" s="258"/>
      <c r="W735" s="322"/>
      <c r="X735" s="318"/>
      <c r="Y735" s="315"/>
      <c r="Z735" s="318"/>
      <c r="AA735" s="314"/>
      <c r="AB735" s="336"/>
      <c r="AC735" s="314"/>
      <c r="AD735" s="316"/>
      <c r="AE735" s="315"/>
      <c r="AF735" s="315"/>
      <c r="AG735" s="315"/>
      <c r="AH735" s="315"/>
      <c r="AI735" s="377"/>
      <c r="AJ735" s="407"/>
      <c r="AK735" s="377"/>
      <c r="AL735" s="314"/>
      <c r="AM735" s="314"/>
      <c r="AN735" s="314"/>
      <c r="AO735" s="315"/>
      <c r="AP735" s="257"/>
      <c r="AQ735" s="257"/>
      <c r="AR735" s="257"/>
      <c r="AS735" s="315"/>
      <c r="AT735" s="257"/>
      <c r="AU735" s="257"/>
      <c r="AV735" s="316"/>
      <c r="AW735" s="314"/>
      <c r="AX735" s="315"/>
      <c r="AY735" s="315"/>
      <c r="AZ735" s="315"/>
      <c r="BA735" s="315"/>
      <c r="BB735" s="315"/>
      <c r="BC735" s="315"/>
      <c r="BD735" s="319"/>
      <c r="BE735" s="319"/>
      <c r="BF735" s="319"/>
      <c r="BG735" s="319"/>
      <c r="BH735" s="319"/>
      <c r="BI735" s="319"/>
      <c r="BJ735" s="319"/>
      <c r="BK735" s="315"/>
      <c r="BL735" s="316"/>
      <c r="BM735" s="314"/>
      <c r="BN735" s="319"/>
      <c r="BO735" s="315"/>
      <c r="BP735" s="314"/>
      <c r="BQ735" s="316"/>
      <c r="BR735" s="314"/>
      <c r="BS735" s="262"/>
      <c r="BT735" s="262"/>
    </row>
    <row r="736" spans="1:72" ht="45.75" customHeight="1">
      <c r="A736" s="342"/>
      <c r="B736" s="342"/>
      <c r="C736" s="342"/>
      <c r="D736" s="343"/>
      <c r="E736" s="342"/>
      <c r="F736" s="342"/>
      <c r="G736" s="344"/>
      <c r="H736" s="344"/>
      <c r="I736" s="344"/>
      <c r="J736" s="334"/>
      <c r="K736" s="335"/>
      <c r="L736" s="336"/>
      <c r="M736" s="336"/>
      <c r="N736" s="337"/>
      <c r="O736" s="337"/>
      <c r="P736" s="315"/>
      <c r="Q736" s="314"/>
      <c r="R736" s="317"/>
      <c r="S736" s="315"/>
      <c r="T736" s="315"/>
      <c r="U736" s="315"/>
      <c r="V736" s="258"/>
      <c r="W736" s="322"/>
      <c r="X736" s="318"/>
      <c r="Y736" s="315"/>
      <c r="Z736" s="318"/>
      <c r="AA736" s="314"/>
      <c r="AB736" s="336"/>
      <c r="AC736" s="314"/>
      <c r="AD736" s="316"/>
      <c r="AE736" s="315"/>
      <c r="AF736" s="315"/>
      <c r="AG736" s="315"/>
      <c r="AH736" s="315"/>
      <c r="AI736" s="377"/>
      <c r="AJ736" s="407"/>
      <c r="AK736" s="377"/>
      <c r="AL736" s="314"/>
      <c r="AM736" s="314"/>
      <c r="AN736" s="314"/>
      <c r="AO736" s="315"/>
      <c r="AP736" s="257"/>
      <c r="AQ736" s="257"/>
      <c r="AR736" s="257"/>
      <c r="AS736" s="315"/>
      <c r="AT736" s="257"/>
      <c r="AU736" s="257"/>
      <c r="AV736" s="316"/>
      <c r="AW736" s="314"/>
      <c r="AX736" s="315"/>
      <c r="AY736" s="315"/>
      <c r="AZ736" s="315"/>
      <c r="BA736" s="315"/>
      <c r="BB736" s="315"/>
      <c r="BC736" s="315"/>
      <c r="BD736" s="319"/>
      <c r="BE736" s="319"/>
      <c r="BF736" s="319"/>
      <c r="BG736" s="319"/>
      <c r="BH736" s="319"/>
      <c r="BI736" s="319"/>
      <c r="BJ736" s="319"/>
      <c r="BK736" s="315"/>
      <c r="BL736" s="316"/>
      <c r="BM736" s="314"/>
      <c r="BN736" s="319"/>
      <c r="BO736" s="315"/>
      <c r="BP736" s="314"/>
      <c r="BQ736" s="316"/>
      <c r="BR736" s="314"/>
      <c r="BS736" s="262"/>
      <c r="BT736" s="262"/>
    </row>
    <row r="737" spans="1:72" ht="45.75" customHeight="1">
      <c r="A737" s="342"/>
      <c r="B737" s="342"/>
      <c r="C737" s="342"/>
      <c r="D737" s="343"/>
      <c r="E737" s="342"/>
      <c r="F737" s="342"/>
      <c r="G737" s="344"/>
      <c r="H737" s="344"/>
      <c r="I737" s="344"/>
      <c r="J737" s="334"/>
      <c r="K737" s="335"/>
      <c r="L737" s="336"/>
      <c r="M737" s="336"/>
      <c r="N737" s="337"/>
      <c r="O737" s="337"/>
      <c r="P737" s="315"/>
      <c r="Q737" s="314"/>
      <c r="R737" s="317"/>
      <c r="S737" s="315"/>
      <c r="T737" s="315"/>
      <c r="U737" s="315"/>
      <c r="V737" s="258"/>
      <c r="W737" s="322"/>
      <c r="X737" s="318"/>
      <c r="Y737" s="315"/>
      <c r="Z737" s="318"/>
      <c r="AA737" s="314"/>
      <c r="AB737" s="336"/>
      <c r="AC737" s="314"/>
      <c r="AD737" s="316"/>
      <c r="AE737" s="315"/>
      <c r="AF737" s="315"/>
      <c r="AG737" s="315"/>
      <c r="AH737" s="315"/>
      <c r="AI737" s="377"/>
      <c r="AJ737" s="407"/>
      <c r="AK737" s="377"/>
      <c r="AL737" s="314"/>
      <c r="AM737" s="314"/>
      <c r="AN737" s="314"/>
      <c r="AO737" s="315"/>
      <c r="AP737" s="257"/>
      <c r="AQ737" s="257"/>
      <c r="AR737" s="257"/>
      <c r="AS737" s="315"/>
      <c r="AT737" s="257"/>
      <c r="AU737" s="257"/>
      <c r="AV737" s="316"/>
      <c r="AW737" s="314"/>
      <c r="AX737" s="315"/>
      <c r="AY737" s="315"/>
      <c r="AZ737" s="315"/>
      <c r="BA737" s="315"/>
      <c r="BB737" s="315"/>
      <c r="BC737" s="315"/>
      <c r="BD737" s="319"/>
      <c r="BE737" s="319"/>
      <c r="BF737" s="319"/>
      <c r="BG737" s="319"/>
      <c r="BH737" s="319"/>
      <c r="BI737" s="319"/>
      <c r="BJ737" s="319"/>
      <c r="BK737" s="315"/>
      <c r="BL737" s="316"/>
      <c r="BM737" s="314"/>
      <c r="BN737" s="319"/>
      <c r="BO737" s="315"/>
      <c r="BP737" s="314"/>
      <c r="BQ737" s="316"/>
      <c r="BR737" s="314"/>
      <c r="BS737" s="262"/>
      <c r="BT737" s="262"/>
    </row>
    <row r="738" spans="1:72" ht="45.75" customHeight="1">
      <c r="A738" s="342"/>
      <c r="B738" s="342"/>
      <c r="C738" s="342"/>
      <c r="D738" s="343"/>
      <c r="E738" s="342"/>
      <c r="F738" s="342"/>
      <c r="G738" s="344"/>
      <c r="H738" s="344"/>
      <c r="I738" s="344"/>
      <c r="J738" s="334"/>
      <c r="K738" s="335"/>
      <c r="L738" s="336"/>
      <c r="M738" s="336"/>
      <c r="N738" s="337"/>
      <c r="O738" s="337"/>
      <c r="P738" s="315"/>
      <c r="Q738" s="314"/>
      <c r="R738" s="317"/>
      <c r="S738" s="315"/>
      <c r="T738" s="315"/>
      <c r="U738" s="315"/>
      <c r="V738" s="258"/>
      <c r="W738" s="322"/>
      <c r="X738" s="318"/>
      <c r="Y738" s="315"/>
      <c r="Z738" s="318"/>
      <c r="AA738" s="314"/>
      <c r="AB738" s="336"/>
      <c r="AC738" s="314"/>
      <c r="AD738" s="316"/>
      <c r="AE738" s="315"/>
      <c r="AF738" s="315"/>
      <c r="AG738" s="315"/>
      <c r="AH738" s="315"/>
      <c r="AI738" s="377"/>
      <c r="AJ738" s="407"/>
      <c r="AK738" s="377"/>
      <c r="AL738" s="314"/>
      <c r="AM738" s="314"/>
      <c r="AN738" s="314"/>
      <c r="AO738" s="315"/>
      <c r="AP738" s="257"/>
      <c r="AQ738" s="257"/>
      <c r="AR738" s="257"/>
      <c r="AS738" s="315"/>
      <c r="AT738" s="257"/>
      <c r="AU738" s="257"/>
      <c r="AV738" s="316"/>
      <c r="AW738" s="314"/>
      <c r="AX738" s="315"/>
      <c r="AY738" s="315"/>
      <c r="AZ738" s="315"/>
      <c r="BA738" s="315"/>
      <c r="BB738" s="315"/>
      <c r="BC738" s="315"/>
      <c r="BD738" s="319"/>
      <c r="BE738" s="319"/>
      <c r="BF738" s="319"/>
      <c r="BG738" s="319"/>
      <c r="BH738" s="319"/>
      <c r="BI738" s="319"/>
      <c r="BJ738" s="319"/>
      <c r="BK738" s="315"/>
      <c r="BL738" s="316"/>
      <c r="BM738" s="314"/>
      <c r="BN738" s="319"/>
      <c r="BO738" s="315"/>
      <c r="BP738" s="314"/>
      <c r="BQ738" s="316"/>
      <c r="BR738" s="314"/>
      <c r="BS738" s="262"/>
      <c r="BT738" s="262"/>
    </row>
    <row r="739" spans="1:72" ht="45.75" customHeight="1">
      <c r="A739" s="342"/>
      <c r="B739" s="342"/>
      <c r="C739" s="342"/>
      <c r="D739" s="343"/>
      <c r="E739" s="342"/>
      <c r="F739" s="342"/>
      <c r="G739" s="344"/>
      <c r="H739" s="344"/>
      <c r="I739" s="344"/>
      <c r="J739" s="334"/>
      <c r="K739" s="335"/>
      <c r="L739" s="336"/>
      <c r="M739" s="336"/>
      <c r="N739" s="337"/>
      <c r="O739" s="337"/>
      <c r="P739" s="315"/>
      <c r="Q739" s="314"/>
      <c r="R739" s="317"/>
      <c r="S739" s="315"/>
      <c r="T739" s="315"/>
      <c r="U739" s="315"/>
      <c r="V739" s="258"/>
      <c r="W739" s="322"/>
      <c r="X739" s="318"/>
      <c r="Y739" s="315"/>
      <c r="Z739" s="318"/>
      <c r="AA739" s="314"/>
      <c r="AB739" s="336"/>
      <c r="AC739" s="314"/>
      <c r="AD739" s="316"/>
      <c r="AE739" s="315"/>
      <c r="AF739" s="315"/>
      <c r="AG739" s="315"/>
      <c r="AH739" s="315"/>
      <c r="AI739" s="377"/>
      <c r="AJ739" s="407"/>
      <c r="AK739" s="377"/>
      <c r="AL739" s="314"/>
      <c r="AM739" s="314"/>
      <c r="AN739" s="314"/>
      <c r="AO739" s="315"/>
      <c r="AP739" s="257"/>
      <c r="AQ739" s="257"/>
      <c r="AR739" s="257"/>
      <c r="AS739" s="315"/>
      <c r="AT739" s="257"/>
      <c r="AU739" s="257"/>
      <c r="AV739" s="316"/>
      <c r="AW739" s="314"/>
      <c r="AX739" s="315"/>
      <c r="AY739" s="315"/>
      <c r="AZ739" s="315"/>
      <c r="BA739" s="315"/>
      <c r="BB739" s="315"/>
      <c r="BC739" s="315"/>
      <c r="BD739" s="319"/>
      <c r="BE739" s="319"/>
      <c r="BF739" s="319"/>
      <c r="BG739" s="319"/>
      <c r="BH739" s="319"/>
      <c r="BI739" s="319"/>
      <c r="BJ739" s="319"/>
      <c r="BK739" s="315"/>
      <c r="BL739" s="316"/>
      <c r="BM739" s="314"/>
      <c r="BN739" s="319"/>
      <c r="BO739" s="315"/>
      <c r="BP739" s="314"/>
      <c r="BQ739" s="316"/>
      <c r="BR739" s="314"/>
      <c r="BS739" s="262"/>
      <c r="BT739" s="262"/>
    </row>
    <row r="740" spans="1:72" ht="45.75" customHeight="1">
      <c r="A740" s="342"/>
      <c r="B740" s="342"/>
      <c r="C740" s="342"/>
      <c r="D740" s="343"/>
      <c r="E740" s="342"/>
      <c r="F740" s="342"/>
      <c r="G740" s="344"/>
      <c r="H740" s="344"/>
      <c r="I740" s="344"/>
      <c r="J740" s="334"/>
      <c r="K740" s="335"/>
      <c r="L740" s="336"/>
      <c r="M740" s="336"/>
      <c r="N740" s="337"/>
      <c r="O740" s="337"/>
      <c r="P740" s="315"/>
      <c r="Q740" s="314"/>
      <c r="R740" s="317"/>
      <c r="S740" s="315"/>
      <c r="T740" s="315"/>
      <c r="U740" s="315"/>
      <c r="V740" s="258"/>
      <c r="W740" s="322"/>
      <c r="X740" s="318"/>
      <c r="Y740" s="315"/>
      <c r="Z740" s="318"/>
      <c r="AA740" s="314"/>
      <c r="AB740" s="336"/>
      <c r="AC740" s="314"/>
      <c r="AD740" s="316"/>
      <c r="AE740" s="315"/>
      <c r="AF740" s="315"/>
      <c r="AG740" s="315"/>
      <c r="AH740" s="315"/>
      <c r="AI740" s="377"/>
      <c r="AJ740" s="407"/>
      <c r="AK740" s="377"/>
      <c r="AL740" s="314"/>
      <c r="AM740" s="314"/>
      <c r="AN740" s="314"/>
      <c r="AO740" s="315"/>
      <c r="AP740" s="257"/>
      <c r="AQ740" s="257"/>
      <c r="AR740" s="257"/>
      <c r="AS740" s="315"/>
      <c r="AT740" s="257"/>
      <c r="AU740" s="257"/>
      <c r="AV740" s="316"/>
      <c r="AW740" s="314"/>
      <c r="AX740" s="315"/>
      <c r="AY740" s="315"/>
      <c r="AZ740" s="315"/>
      <c r="BA740" s="315"/>
      <c r="BB740" s="315"/>
      <c r="BC740" s="315"/>
      <c r="BD740" s="319"/>
      <c r="BE740" s="319"/>
      <c r="BF740" s="319"/>
      <c r="BG740" s="319"/>
      <c r="BH740" s="319"/>
      <c r="BI740" s="319"/>
      <c r="BJ740" s="319"/>
      <c r="BK740" s="315"/>
      <c r="BL740" s="316"/>
      <c r="BM740" s="314"/>
      <c r="BN740" s="319"/>
      <c r="BO740" s="315"/>
      <c r="BP740" s="314"/>
      <c r="BQ740" s="316"/>
      <c r="BR740" s="314"/>
      <c r="BS740" s="262"/>
      <c r="BT740" s="262"/>
    </row>
    <row r="741" spans="1:72" ht="45.75" customHeight="1">
      <c r="A741" s="342"/>
      <c r="B741" s="342"/>
      <c r="C741" s="342"/>
      <c r="D741" s="343"/>
      <c r="E741" s="342"/>
      <c r="F741" s="342"/>
      <c r="G741" s="344"/>
      <c r="H741" s="344"/>
      <c r="I741" s="344"/>
      <c r="J741" s="334"/>
      <c r="K741" s="335"/>
      <c r="L741" s="336"/>
      <c r="M741" s="336"/>
      <c r="N741" s="337"/>
      <c r="O741" s="337"/>
      <c r="P741" s="315"/>
      <c r="Q741" s="314"/>
      <c r="R741" s="317"/>
      <c r="S741" s="315"/>
      <c r="T741" s="315"/>
      <c r="U741" s="315"/>
      <c r="V741" s="258"/>
      <c r="W741" s="322"/>
      <c r="X741" s="318"/>
      <c r="Y741" s="315"/>
      <c r="Z741" s="318"/>
      <c r="AA741" s="314"/>
      <c r="AB741" s="336"/>
      <c r="AC741" s="314"/>
      <c r="AD741" s="316"/>
      <c r="AE741" s="315"/>
      <c r="AF741" s="315"/>
      <c r="AG741" s="315"/>
      <c r="AH741" s="315"/>
      <c r="AI741" s="377"/>
      <c r="AJ741" s="407"/>
      <c r="AK741" s="377"/>
      <c r="AL741" s="314"/>
      <c r="AM741" s="314"/>
      <c r="AN741" s="314"/>
      <c r="AO741" s="315"/>
      <c r="AP741" s="257"/>
      <c r="AQ741" s="257"/>
      <c r="AR741" s="257"/>
      <c r="AS741" s="315"/>
      <c r="AT741" s="257"/>
      <c r="AU741" s="257"/>
      <c r="AV741" s="316"/>
      <c r="AW741" s="314"/>
      <c r="AX741" s="315"/>
      <c r="AY741" s="315"/>
      <c r="AZ741" s="315"/>
      <c r="BA741" s="315"/>
      <c r="BB741" s="315"/>
      <c r="BC741" s="315"/>
      <c r="BD741" s="319"/>
      <c r="BE741" s="319"/>
      <c r="BF741" s="319"/>
      <c r="BG741" s="319"/>
      <c r="BH741" s="319"/>
      <c r="BI741" s="319"/>
      <c r="BJ741" s="319"/>
      <c r="BK741" s="315"/>
      <c r="BL741" s="316"/>
      <c r="BM741" s="314"/>
      <c r="BN741" s="319"/>
      <c r="BO741" s="315"/>
      <c r="BP741" s="314"/>
      <c r="BQ741" s="316"/>
      <c r="BR741" s="314"/>
      <c r="BS741" s="262"/>
      <c r="BT741" s="262"/>
    </row>
    <row r="742" spans="1:72" ht="45.75" customHeight="1">
      <c r="A742" s="342"/>
      <c r="B742" s="342"/>
      <c r="C742" s="342"/>
      <c r="D742" s="343"/>
      <c r="E742" s="342"/>
      <c r="F742" s="342"/>
      <c r="G742" s="344"/>
      <c r="H742" s="344"/>
      <c r="I742" s="344"/>
      <c r="J742" s="334"/>
      <c r="K742" s="335"/>
      <c r="L742" s="336"/>
      <c r="M742" s="336"/>
      <c r="N742" s="337"/>
      <c r="O742" s="337"/>
      <c r="P742" s="315"/>
      <c r="Q742" s="314"/>
      <c r="R742" s="317"/>
      <c r="S742" s="315"/>
      <c r="T742" s="315"/>
      <c r="U742" s="315"/>
      <c r="V742" s="258"/>
      <c r="W742" s="322"/>
      <c r="X742" s="318"/>
      <c r="Y742" s="315"/>
      <c r="Z742" s="318"/>
      <c r="AA742" s="314"/>
      <c r="AB742" s="336"/>
      <c r="AC742" s="314"/>
      <c r="AD742" s="316"/>
      <c r="AE742" s="315"/>
      <c r="AF742" s="315"/>
      <c r="AG742" s="315"/>
      <c r="AH742" s="315"/>
      <c r="AI742" s="377"/>
      <c r="AJ742" s="407"/>
      <c r="AK742" s="377"/>
      <c r="AL742" s="314"/>
      <c r="AM742" s="314"/>
      <c r="AN742" s="314"/>
      <c r="AO742" s="315"/>
      <c r="AP742" s="257"/>
      <c r="AQ742" s="257"/>
      <c r="AR742" s="257"/>
      <c r="AS742" s="315"/>
      <c r="AT742" s="257"/>
      <c r="AU742" s="257"/>
      <c r="AV742" s="316"/>
      <c r="AW742" s="314"/>
      <c r="AX742" s="315"/>
      <c r="AY742" s="315"/>
      <c r="AZ742" s="315"/>
      <c r="BA742" s="315"/>
      <c r="BB742" s="315"/>
      <c r="BC742" s="315"/>
      <c r="BD742" s="319"/>
      <c r="BE742" s="319"/>
      <c r="BF742" s="319"/>
      <c r="BG742" s="319"/>
      <c r="BH742" s="319"/>
      <c r="BI742" s="319"/>
      <c r="BJ742" s="319"/>
      <c r="BK742" s="315"/>
      <c r="BL742" s="316"/>
      <c r="BM742" s="314"/>
      <c r="BN742" s="319"/>
      <c r="BO742" s="315"/>
      <c r="BP742" s="314"/>
      <c r="BQ742" s="316"/>
      <c r="BR742" s="314"/>
      <c r="BS742" s="262"/>
      <c r="BT742" s="262"/>
    </row>
    <row r="743" spans="1:72" ht="45.75" customHeight="1">
      <c r="A743" s="342"/>
      <c r="B743" s="342"/>
      <c r="C743" s="342"/>
      <c r="D743" s="343"/>
      <c r="E743" s="342"/>
      <c r="F743" s="342"/>
      <c r="G743" s="344"/>
      <c r="H743" s="344"/>
      <c r="I743" s="344"/>
      <c r="J743" s="334"/>
      <c r="K743" s="335"/>
      <c r="L743" s="336"/>
      <c r="M743" s="336"/>
      <c r="N743" s="337"/>
      <c r="O743" s="337"/>
      <c r="P743" s="315"/>
      <c r="Q743" s="314"/>
      <c r="R743" s="317"/>
      <c r="S743" s="315"/>
      <c r="T743" s="315"/>
      <c r="U743" s="315"/>
      <c r="V743" s="258"/>
      <c r="W743" s="322"/>
      <c r="X743" s="318"/>
      <c r="Y743" s="315"/>
      <c r="Z743" s="318"/>
      <c r="AA743" s="314"/>
      <c r="AB743" s="336"/>
      <c r="AC743" s="314"/>
      <c r="AD743" s="316"/>
      <c r="AE743" s="315"/>
      <c r="AF743" s="315"/>
      <c r="AG743" s="315"/>
      <c r="AH743" s="315"/>
      <c r="AI743" s="377"/>
      <c r="AJ743" s="407"/>
      <c r="AK743" s="377"/>
      <c r="AL743" s="314"/>
      <c r="AM743" s="314"/>
      <c r="AN743" s="314"/>
      <c r="AO743" s="315"/>
      <c r="AP743" s="257"/>
      <c r="AQ743" s="257"/>
      <c r="AR743" s="257"/>
      <c r="AS743" s="315"/>
      <c r="AT743" s="257"/>
      <c r="AU743" s="257"/>
      <c r="AV743" s="316"/>
      <c r="AW743" s="314"/>
      <c r="AX743" s="315"/>
      <c r="AY743" s="315"/>
      <c r="AZ743" s="315"/>
      <c r="BA743" s="315"/>
      <c r="BB743" s="315"/>
      <c r="BC743" s="315"/>
      <c r="BD743" s="319"/>
      <c r="BE743" s="319"/>
      <c r="BF743" s="319"/>
      <c r="BG743" s="319"/>
      <c r="BH743" s="319"/>
      <c r="BI743" s="319"/>
      <c r="BJ743" s="319"/>
      <c r="BK743" s="315"/>
      <c r="BL743" s="316"/>
      <c r="BM743" s="314"/>
      <c r="BN743" s="319"/>
      <c r="BO743" s="315"/>
      <c r="BP743" s="314"/>
      <c r="BQ743" s="316"/>
      <c r="BR743" s="314"/>
      <c r="BS743" s="262"/>
      <c r="BT743" s="262"/>
    </row>
    <row r="744" spans="1:72" ht="45.75" customHeight="1">
      <c r="A744" s="342"/>
      <c r="B744" s="342"/>
      <c r="C744" s="342"/>
      <c r="D744" s="343"/>
      <c r="E744" s="342"/>
      <c r="F744" s="342"/>
      <c r="G744" s="344"/>
      <c r="H744" s="344"/>
      <c r="I744" s="344"/>
      <c r="J744" s="334"/>
      <c r="K744" s="335"/>
      <c r="L744" s="336"/>
      <c r="M744" s="336"/>
      <c r="N744" s="337"/>
      <c r="O744" s="337"/>
      <c r="P744" s="315"/>
      <c r="Q744" s="314"/>
      <c r="R744" s="317"/>
      <c r="S744" s="315"/>
      <c r="T744" s="315"/>
      <c r="U744" s="315"/>
      <c r="V744" s="258"/>
      <c r="W744" s="322"/>
      <c r="X744" s="318"/>
      <c r="Y744" s="315"/>
      <c r="Z744" s="318"/>
      <c r="AA744" s="314"/>
      <c r="AB744" s="336"/>
      <c r="AC744" s="314"/>
      <c r="AD744" s="316"/>
      <c r="AE744" s="315"/>
      <c r="AF744" s="315"/>
      <c r="AG744" s="315"/>
      <c r="AH744" s="315"/>
      <c r="AI744" s="377"/>
      <c r="AJ744" s="407"/>
      <c r="AK744" s="377"/>
      <c r="AL744" s="314"/>
      <c r="AM744" s="314"/>
      <c r="AN744" s="314"/>
      <c r="AO744" s="315"/>
      <c r="AP744" s="257"/>
      <c r="AQ744" s="257"/>
      <c r="AR744" s="257"/>
      <c r="AS744" s="315"/>
      <c r="AT744" s="257"/>
      <c r="AU744" s="257"/>
      <c r="AV744" s="316"/>
      <c r="AW744" s="314"/>
      <c r="AX744" s="315"/>
      <c r="AY744" s="315"/>
      <c r="AZ744" s="315"/>
      <c r="BA744" s="315"/>
      <c r="BB744" s="315"/>
      <c r="BC744" s="315"/>
      <c r="BD744" s="319"/>
      <c r="BE744" s="319"/>
      <c r="BF744" s="319"/>
      <c r="BG744" s="319"/>
      <c r="BH744" s="319"/>
      <c r="BI744" s="319"/>
      <c r="BJ744" s="319"/>
      <c r="BK744" s="315"/>
      <c r="BL744" s="316"/>
      <c r="BM744" s="314"/>
      <c r="BN744" s="319"/>
      <c r="BO744" s="315"/>
      <c r="BP744" s="314"/>
      <c r="BQ744" s="316"/>
      <c r="BR744" s="314"/>
      <c r="BS744" s="262"/>
      <c r="BT744" s="262"/>
    </row>
    <row r="745" spans="1:72" ht="45.75" customHeight="1">
      <c r="A745" s="342"/>
      <c r="B745" s="342"/>
      <c r="C745" s="342"/>
      <c r="D745" s="343"/>
      <c r="E745" s="342"/>
      <c r="F745" s="342"/>
      <c r="G745" s="344"/>
      <c r="H745" s="344"/>
      <c r="I745" s="344"/>
      <c r="J745" s="334"/>
      <c r="K745" s="335"/>
      <c r="L745" s="336"/>
      <c r="M745" s="336"/>
      <c r="N745" s="337"/>
      <c r="O745" s="337"/>
      <c r="P745" s="315"/>
      <c r="Q745" s="314"/>
      <c r="R745" s="317"/>
      <c r="S745" s="315"/>
      <c r="T745" s="315"/>
      <c r="U745" s="315"/>
      <c r="V745" s="258"/>
      <c r="W745" s="322"/>
      <c r="X745" s="318"/>
      <c r="Y745" s="315"/>
      <c r="Z745" s="318"/>
      <c r="AA745" s="314"/>
      <c r="AB745" s="336"/>
      <c r="AC745" s="314"/>
      <c r="AD745" s="316"/>
      <c r="AE745" s="315"/>
      <c r="AF745" s="315"/>
      <c r="AG745" s="315"/>
      <c r="AH745" s="315"/>
      <c r="AI745" s="377"/>
      <c r="AJ745" s="407"/>
      <c r="AK745" s="377"/>
      <c r="AL745" s="314"/>
      <c r="AM745" s="314"/>
      <c r="AN745" s="314"/>
      <c r="AO745" s="315"/>
      <c r="AP745" s="257"/>
      <c r="AQ745" s="257"/>
      <c r="AR745" s="257"/>
      <c r="AS745" s="315"/>
      <c r="AT745" s="257"/>
      <c r="AU745" s="257"/>
      <c r="AV745" s="316"/>
      <c r="AW745" s="314"/>
      <c r="AX745" s="315"/>
      <c r="AY745" s="315"/>
      <c r="AZ745" s="315"/>
      <c r="BA745" s="315"/>
      <c r="BB745" s="315"/>
      <c r="BC745" s="315"/>
      <c r="BD745" s="319"/>
      <c r="BE745" s="319"/>
      <c r="BF745" s="319"/>
      <c r="BG745" s="319"/>
      <c r="BH745" s="319"/>
      <c r="BI745" s="319"/>
      <c r="BJ745" s="319"/>
      <c r="BK745" s="315"/>
      <c r="BL745" s="316"/>
      <c r="BM745" s="314"/>
      <c r="BN745" s="319"/>
      <c r="BO745" s="315"/>
      <c r="BP745" s="314"/>
      <c r="BQ745" s="316"/>
      <c r="BR745" s="314"/>
      <c r="BS745" s="262"/>
      <c r="BT745" s="262"/>
    </row>
    <row r="746" spans="1:72" ht="45.75" customHeight="1">
      <c r="A746" s="342"/>
      <c r="B746" s="342"/>
      <c r="C746" s="342"/>
      <c r="D746" s="343"/>
      <c r="E746" s="342"/>
      <c r="F746" s="342"/>
      <c r="G746" s="344"/>
      <c r="H746" s="344"/>
      <c r="I746" s="344"/>
      <c r="J746" s="334"/>
      <c r="K746" s="335"/>
      <c r="L746" s="336"/>
      <c r="M746" s="336"/>
      <c r="N746" s="337"/>
      <c r="O746" s="337"/>
      <c r="P746" s="315"/>
      <c r="Q746" s="314"/>
      <c r="R746" s="317"/>
      <c r="S746" s="315"/>
      <c r="T746" s="315"/>
      <c r="U746" s="315"/>
      <c r="V746" s="258"/>
      <c r="W746" s="322"/>
      <c r="X746" s="318"/>
      <c r="Y746" s="315"/>
      <c r="Z746" s="318"/>
      <c r="AA746" s="314"/>
      <c r="AB746" s="336"/>
      <c r="AC746" s="314"/>
      <c r="AD746" s="316"/>
      <c r="AE746" s="315"/>
      <c r="AF746" s="315"/>
      <c r="AG746" s="315"/>
      <c r="AH746" s="315"/>
      <c r="AI746" s="377"/>
      <c r="AJ746" s="407"/>
      <c r="AK746" s="377"/>
      <c r="AL746" s="314"/>
      <c r="AM746" s="314"/>
      <c r="AN746" s="314"/>
      <c r="AO746" s="315"/>
      <c r="AP746" s="257"/>
      <c r="AQ746" s="257"/>
      <c r="AR746" s="257"/>
      <c r="AS746" s="315"/>
      <c r="AT746" s="257"/>
      <c r="AU746" s="257"/>
      <c r="AV746" s="316"/>
      <c r="AW746" s="314"/>
      <c r="AX746" s="315"/>
      <c r="AY746" s="315"/>
      <c r="AZ746" s="315"/>
      <c r="BA746" s="315"/>
      <c r="BB746" s="315"/>
      <c r="BC746" s="315"/>
      <c r="BD746" s="319"/>
      <c r="BE746" s="319"/>
      <c r="BF746" s="319"/>
      <c r="BG746" s="319"/>
      <c r="BH746" s="319"/>
      <c r="BI746" s="319"/>
      <c r="BJ746" s="319"/>
      <c r="BK746" s="315"/>
      <c r="BL746" s="316"/>
      <c r="BM746" s="314"/>
      <c r="BN746" s="319"/>
      <c r="BO746" s="315"/>
      <c r="BP746" s="314"/>
      <c r="BQ746" s="316"/>
      <c r="BR746" s="314"/>
      <c r="BS746" s="262"/>
      <c r="BT746" s="262"/>
    </row>
    <row r="747" spans="1:72" ht="45.75" customHeight="1">
      <c r="A747" s="342"/>
      <c r="B747" s="342"/>
      <c r="C747" s="342"/>
      <c r="D747" s="343"/>
      <c r="E747" s="342"/>
      <c r="F747" s="342"/>
      <c r="G747" s="344"/>
      <c r="H747" s="344"/>
      <c r="I747" s="344"/>
      <c r="J747" s="334"/>
      <c r="K747" s="335"/>
      <c r="L747" s="336"/>
      <c r="M747" s="336"/>
      <c r="N747" s="337"/>
      <c r="O747" s="337"/>
      <c r="P747" s="315"/>
      <c r="Q747" s="314"/>
      <c r="R747" s="317"/>
      <c r="S747" s="315"/>
      <c r="T747" s="315"/>
      <c r="U747" s="315"/>
      <c r="V747" s="258"/>
      <c r="W747" s="322"/>
      <c r="X747" s="318"/>
      <c r="Y747" s="315"/>
      <c r="Z747" s="318"/>
      <c r="AA747" s="314"/>
      <c r="AB747" s="336"/>
      <c r="AC747" s="314"/>
      <c r="AD747" s="316"/>
      <c r="AE747" s="315"/>
      <c r="AF747" s="315"/>
      <c r="AG747" s="315"/>
      <c r="AH747" s="315"/>
      <c r="AI747" s="377"/>
      <c r="AJ747" s="407"/>
      <c r="AK747" s="377"/>
      <c r="AL747" s="314"/>
      <c r="AM747" s="314"/>
      <c r="AN747" s="314"/>
      <c r="AO747" s="315"/>
      <c r="AP747" s="257"/>
      <c r="AQ747" s="257"/>
      <c r="AR747" s="257"/>
      <c r="AS747" s="315"/>
      <c r="AT747" s="257"/>
      <c r="AU747" s="257"/>
      <c r="AV747" s="316"/>
      <c r="AW747" s="314"/>
      <c r="AX747" s="315"/>
      <c r="AY747" s="315"/>
      <c r="AZ747" s="315"/>
      <c r="BA747" s="315"/>
      <c r="BB747" s="315"/>
      <c r="BC747" s="315"/>
      <c r="BD747" s="319"/>
      <c r="BE747" s="319"/>
      <c r="BF747" s="319"/>
      <c r="BG747" s="319"/>
      <c r="BH747" s="319"/>
      <c r="BI747" s="319"/>
      <c r="BJ747" s="319"/>
      <c r="BK747" s="315"/>
      <c r="BL747" s="316"/>
      <c r="BM747" s="314"/>
      <c r="BN747" s="319"/>
      <c r="BO747" s="315"/>
      <c r="BP747" s="314"/>
      <c r="BQ747" s="316"/>
      <c r="BR747" s="314"/>
      <c r="BS747" s="262"/>
      <c r="BT747" s="262"/>
    </row>
    <row r="748" spans="1:72" ht="45.75" customHeight="1">
      <c r="A748" s="342"/>
      <c r="B748" s="342"/>
      <c r="C748" s="342"/>
      <c r="D748" s="343"/>
      <c r="E748" s="342"/>
      <c r="F748" s="342"/>
      <c r="G748" s="344"/>
      <c r="H748" s="344"/>
      <c r="I748" s="344"/>
      <c r="J748" s="334"/>
      <c r="K748" s="335"/>
      <c r="L748" s="336"/>
      <c r="M748" s="336"/>
      <c r="N748" s="337"/>
      <c r="O748" s="337"/>
      <c r="P748" s="315"/>
      <c r="Q748" s="314"/>
      <c r="R748" s="317"/>
      <c r="S748" s="315"/>
      <c r="T748" s="315"/>
      <c r="U748" s="315"/>
      <c r="V748" s="258"/>
      <c r="W748" s="322"/>
      <c r="X748" s="318"/>
      <c r="Y748" s="315"/>
      <c r="Z748" s="318"/>
      <c r="AA748" s="314"/>
      <c r="AB748" s="336"/>
      <c r="AC748" s="314"/>
      <c r="AD748" s="316"/>
      <c r="AE748" s="315"/>
      <c r="AF748" s="315"/>
      <c r="AG748" s="315"/>
      <c r="AH748" s="315"/>
      <c r="AI748" s="377"/>
      <c r="AJ748" s="407"/>
      <c r="AK748" s="377"/>
      <c r="AL748" s="314"/>
      <c r="AM748" s="314"/>
      <c r="AN748" s="314"/>
      <c r="AO748" s="315"/>
      <c r="AP748" s="257"/>
      <c r="AQ748" s="257"/>
      <c r="AR748" s="257"/>
      <c r="AS748" s="315"/>
      <c r="AT748" s="257"/>
      <c r="AU748" s="257"/>
      <c r="AV748" s="316"/>
      <c r="AW748" s="314"/>
      <c r="AX748" s="315"/>
      <c r="AY748" s="315"/>
      <c r="AZ748" s="315"/>
      <c r="BA748" s="315"/>
      <c r="BB748" s="315"/>
      <c r="BC748" s="315"/>
      <c r="BD748" s="319"/>
      <c r="BE748" s="319"/>
      <c r="BF748" s="319"/>
      <c r="BG748" s="319"/>
      <c r="BH748" s="319"/>
      <c r="BI748" s="319"/>
      <c r="BJ748" s="319"/>
      <c r="BK748" s="315"/>
      <c r="BL748" s="316"/>
      <c r="BM748" s="314"/>
      <c r="BN748" s="319"/>
      <c r="BO748" s="315"/>
      <c r="BP748" s="314"/>
      <c r="BQ748" s="316"/>
      <c r="BR748" s="314"/>
      <c r="BS748" s="262"/>
      <c r="BT748" s="262"/>
    </row>
    <row r="749" spans="1:72" ht="45.75" customHeight="1">
      <c r="A749" s="342"/>
      <c r="B749" s="342"/>
      <c r="C749" s="342"/>
      <c r="D749" s="343"/>
      <c r="E749" s="342"/>
      <c r="F749" s="342"/>
      <c r="G749" s="344"/>
      <c r="H749" s="344"/>
      <c r="I749" s="344"/>
      <c r="J749" s="334"/>
      <c r="K749" s="335"/>
      <c r="L749" s="336"/>
      <c r="M749" s="336"/>
      <c r="N749" s="337"/>
      <c r="O749" s="337"/>
      <c r="P749" s="315"/>
      <c r="Q749" s="314"/>
      <c r="R749" s="317"/>
      <c r="S749" s="315"/>
      <c r="T749" s="315"/>
      <c r="U749" s="315"/>
      <c r="V749" s="258"/>
      <c r="W749" s="322"/>
      <c r="X749" s="318"/>
      <c r="Y749" s="315"/>
      <c r="Z749" s="318"/>
      <c r="AA749" s="314"/>
      <c r="AB749" s="336"/>
      <c r="AC749" s="314"/>
      <c r="AD749" s="316"/>
      <c r="AE749" s="315"/>
      <c r="AF749" s="315"/>
      <c r="AG749" s="315"/>
      <c r="AH749" s="315"/>
      <c r="AI749" s="377"/>
      <c r="AJ749" s="407"/>
      <c r="AK749" s="377"/>
      <c r="AL749" s="314"/>
      <c r="AM749" s="314"/>
      <c r="AN749" s="314"/>
      <c r="AO749" s="315"/>
      <c r="AP749" s="257"/>
      <c r="AQ749" s="257"/>
      <c r="AR749" s="257"/>
      <c r="AS749" s="315"/>
      <c r="AT749" s="257"/>
      <c r="AU749" s="257"/>
      <c r="AV749" s="316"/>
      <c r="AW749" s="314"/>
      <c r="AX749" s="315"/>
      <c r="AY749" s="315"/>
      <c r="AZ749" s="315"/>
      <c r="BA749" s="315"/>
      <c r="BB749" s="315"/>
      <c r="BC749" s="315"/>
      <c r="BD749" s="319"/>
      <c r="BE749" s="319"/>
      <c r="BF749" s="319"/>
      <c r="BG749" s="319"/>
      <c r="BH749" s="319"/>
      <c r="BI749" s="319"/>
      <c r="BJ749" s="319"/>
      <c r="BK749" s="315"/>
      <c r="BL749" s="316"/>
      <c r="BM749" s="314"/>
      <c r="BN749" s="319"/>
      <c r="BO749" s="315"/>
      <c r="BP749" s="314"/>
      <c r="BQ749" s="316"/>
      <c r="BR749" s="314"/>
      <c r="BS749" s="262"/>
      <c r="BT749" s="262"/>
    </row>
    <row r="750" spans="1:72" ht="45.75" customHeight="1">
      <c r="A750" s="342"/>
      <c r="B750" s="342"/>
      <c r="C750" s="342"/>
      <c r="D750" s="343"/>
      <c r="E750" s="342"/>
      <c r="F750" s="342"/>
      <c r="G750" s="344"/>
      <c r="H750" s="344"/>
      <c r="I750" s="344"/>
      <c r="J750" s="334"/>
      <c r="K750" s="335"/>
      <c r="L750" s="336"/>
      <c r="M750" s="336"/>
      <c r="N750" s="337"/>
      <c r="O750" s="337"/>
      <c r="P750" s="315"/>
      <c r="Q750" s="314"/>
      <c r="R750" s="317"/>
      <c r="S750" s="315"/>
      <c r="T750" s="315"/>
      <c r="U750" s="315"/>
      <c r="V750" s="258"/>
      <c r="W750" s="322"/>
      <c r="X750" s="318"/>
      <c r="Y750" s="315"/>
      <c r="Z750" s="318"/>
      <c r="AA750" s="314"/>
      <c r="AB750" s="336"/>
      <c r="AC750" s="314"/>
      <c r="AD750" s="316"/>
      <c r="AE750" s="315"/>
      <c r="AF750" s="315"/>
      <c r="AG750" s="315"/>
      <c r="AH750" s="315"/>
      <c r="AI750" s="377"/>
      <c r="AJ750" s="407"/>
      <c r="AK750" s="377"/>
      <c r="AL750" s="314"/>
      <c r="AM750" s="314"/>
      <c r="AN750" s="314"/>
      <c r="AO750" s="315"/>
      <c r="AP750" s="257"/>
      <c r="AQ750" s="257"/>
      <c r="AR750" s="257"/>
      <c r="AS750" s="315"/>
      <c r="AT750" s="257"/>
      <c r="AU750" s="257"/>
      <c r="AV750" s="316"/>
      <c r="AW750" s="314"/>
      <c r="AX750" s="315"/>
      <c r="AY750" s="315"/>
      <c r="AZ750" s="315"/>
      <c r="BA750" s="315"/>
      <c r="BB750" s="315"/>
      <c r="BC750" s="315"/>
      <c r="BD750" s="319"/>
      <c r="BE750" s="319"/>
      <c r="BF750" s="319"/>
      <c r="BG750" s="319"/>
      <c r="BH750" s="319"/>
      <c r="BI750" s="319"/>
      <c r="BJ750" s="319"/>
      <c r="BK750" s="315"/>
      <c r="BL750" s="316"/>
      <c r="BM750" s="314"/>
      <c r="BN750" s="319"/>
      <c r="BO750" s="315"/>
      <c r="BP750" s="314"/>
      <c r="BQ750" s="316"/>
      <c r="BR750" s="314"/>
      <c r="BS750" s="262"/>
      <c r="BT750" s="262"/>
    </row>
    <row r="751" spans="1:72" ht="45.75" customHeight="1">
      <c r="A751" s="342"/>
      <c r="B751" s="342"/>
      <c r="C751" s="342"/>
      <c r="D751" s="343"/>
      <c r="E751" s="342"/>
      <c r="F751" s="342"/>
      <c r="G751" s="344"/>
      <c r="H751" s="344"/>
      <c r="I751" s="344"/>
      <c r="J751" s="334"/>
      <c r="K751" s="335"/>
      <c r="L751" s="336"/>
      <c r="M751" s="336"/>
      <c r="N751" s="337"/>
      <c r="O751" s="337"/>
      <c r="P751" s="315"/>
      <c r="Q751" s="314"/>
      <c r="R751" s="317"/>
      <c r="S751" s="315"/>
      <c r="T751" s="315"/>
      <c r="U751" s="315"/>
      <c r="V751" s="258"/>
      <c r="W751" s="322"/>
      <c r="X751" s="318"/>
      <c r="Y751" s="315"/>
      <c r="Z751" s="318"/>
      <c r="AA751" s="314"/>
      <c r="AB751" s="336"/>
      <c r="AC751" s="314"/>
      <c r="AD751" s="316"/>
      <c r="AE751" s="315"/>
      <c r="AF751" s="315"/>
      <c r="AG751" s="315"/>
      <c r="AH751" s="315"/>
      <c r="AI751" s="377"/>
      <c r="AJ751" s="407"/>
      <c r="AK751" s="377"/>
      <c r="AL751" s="314"/>
      <c r="AM751" s="314"/>
      <c r="AN751" s="314"/>
      <c r="AO751" s="315"/>
      <c r="AP751" s="257"/>
      <c r="AQ751" s="257"/>
      <c r="AR751" s="257"/>
      <c r="AS751" s="315"/>
      <c r="AT751" s="257"/>
      <c r="AU751" s="257"/>
      <c r="AV751" s="316"/>
      <c r="AW751" s="314"/>
      <c r="AX751" s="315"/>
      <c r="AY751" s="315"/>
      <c r="AZ751" s="315"/>
      <c r="BA751" s="315"/>
      <c r="BB751" s="315"/>
      <c r="BC751" s="315"/>
      <c r="BD751" s="319"/>
      <c r="BE751" s="319"/>
      <c r="BF751" s="319"/>
      <c r="BG751" s="319"/>
      <c r="BH751" s="319"/>
      <c r="BI751" s="319"/>
      <c r="BJ751" s="319"/>
      <c r="BK751" s="315"/>
      <c r="BL751" s="316"/>
      <c r="BM751" s="314"/>
      <c r="BN751" s="319"/>
      <c r="BO751" s="315"/>
      <c r="BP751" s="314"/>
      <c r="BQ751" s="316"/>
      <c r="BR751" s="314"/>
      <c r="BS751" s="262"/>
      <c r="BT751" s="262"/>
    </row>
    <row r="752" spans="1:72" ht="45.75" customHeight="1">
      <c r="A752" s="342"/>
      <c r="B752" s="342"/>
      <c r="C752" s="342"/>
      <c r="D752" s="343"/>
      <c r="E752" s="342"/>
      <c r="F752" s="342"/>
      <c r="G752" s="344"/>
      <c r="H752" s="344"/>
      <c r="I752" s="344"/>
      <c r="J752" s="334"/>
      <c r="K752" s="335"/>
      <c r="L752" s="336"/>
      <c r="M752" s="336"/>
      <c r="N752" s="337"/>
      <c r="O752" s="337"/>
      <c r="P752" s="315"/>
      <c r="Q752" s="314"/>
      <c r="R752" s="317"/>
      <c r="S752" s="315"/>
      <c r="T752" s="315"/>
      <c r="U752" s="315"/>
      <c r="V752" s="258"/>
      <c r="W752" s="322"/>
      <c r="X752" s="318"/>
      <c r="Y752" s="315"/>
      <c r="Z752" s="318"/>
      <c r="AA752" s="314"/>
      <c r="AB752" s="336"/>
      <c r="AC752" s="314"/>
      <c r="AD752" s="316"/>
      <c r="AE752" s="315"/>
      <c r="AF752" s="315"/>
      <c r="AG752" s="315"/>
      <c r="AH752" s="315"/>
      <c r="AI752" s="377"/>
      <c r="AJ752" s="407"/>
      <c r="AK752" s="377"/>
      <c r="AL752" s="314"/>
      <c r="AM752" s="314"/>
      <c r="AN752" s="314"/>
      <c r="AO752" s="315"/>
      <c r="AP752" s="257"/>
      <c r="AQ752" s="257"/>
      <c r="AR752" s="257"/>
      <c r="AS752" s="315"/>
      <c r="AT752" s="257"/>
      <c r="AU752" s="257"/>
      <c r="AV752" s="316"/>
      <c r="AW752" s="314"/>
      <c r="AX752" s="315"/>
      <c r="AY752" s="315"/>
      <c r="AZ752" s="315"/>
      <c r="BA752" s="315"/>
      <c r="BB752" s="315"/>
      <c r="BC752" s="315"/>
      <c r="BD752" s="319"/>
      <c r="BE752" s="319"/>
      <c r="BF752" s="319"/>
      <c r="BG752" s="319"/>
      <c r="BH752" s="319"/>
      <c r="BI752" s="319"/>
      <c r="BJ752" s="319"/>
      <c r="BK752" s="315"/>
      <c r="BL752" s="316"/>
      <c r="BM752" s="314"/>
      <c r="BN752" s="319"/>
      <c r="BO752" s="315"/>
      <c r="BP752" s="314"/>
      <c r="BQ752" s="316"/>
      <c r="BR752" s="314"/>
      <c r="BS752" s="262"/>
      <c r="BT752" s="262"/>
    </row>
    <row r="753" spans="1:72" ht="45.75" customHeight="1">
      <c r="A753" s="342"/>
      <c r="B753" s="342"/>
      <c r="C753" s="342"/>
      <c r="D753" s="343"/>
      <c r="E753" s="342"/>
      <c r="F753" s="342"/>
      <c r="G753" s="344"/>
      <c r="H753" s="344"/>
      <c r="I753" s="344"/>
      <c r="J753" s="334"/>
      <c r="K753" s="335"/>
      <c r="L753" s="336"/>
      <c r="M753" s="336"/>
      <c r="N753" s="337"/>
      <c r="O753" s="337"/>
      <c r="P753" s="315"/>
      <c r="Q753" s="314"/>
      <c r="R753" s="317"/>
      <c r="S753" s="315"/>
      <c r="T753" s="315"/>
      <c r="U753" s="315"/>
      <c r="V753" s="258"/>
      <c r="W753" s="322"/>
      <c r="X753" s="318"/>
      <c r="Y753" s="315"/>
      <c r="Z753" s="318"/>
      <c r="AA753" s="314"/>
      <c r="AB753" s="336"/>
      <c r="AC753" s="314"/>
      <c r="AD753" s="316"/>
      <c r="AE753" s="315"/>
      <c r="AF753" s="315"/>
      <c r="AG753" s="315"/>
      <c r="AH753" s="315"/>
      <c r="AI753" s="377"/>
      <c r="AJ753" s="407"/>
      <c r="AK753" s="377"/>
      <c r="AL753" s="314"/>
      <c r="AM753" s="314"/>
      <c r="AN753" s="314"/>
      <c r="AO753" s="315"/>
      <c r="AP753" s="257"/>
      <c r="AQ753" s="257"/>
      <c r="AR753" s="257"/>
      <c r="AS753" s="315"/>
      <c r="AT753" s="257"/>
      <c r="AU753" s="257"/>
      <c r="AV753" s="316"/>
      <c r="AW753" s="314"/>
      <c r="AX753" s="315"/>
      <c r="AY753" s="315"/>
      <c r="AZ753" s="315"/>
      <c r="BA753" s="315"/>
      <c r="BB753" s="315"/>
      <c r="BC753" s="315"/>
      <c r="BD753" s="319"/>
      <c r="BE753" s="319"/>
      <c r="BF753" s="319"/>
      <c r="BG753" s="319"/>
      <c r="BH753" s="319"/>
      <c r="BI753" s="319"/>
      <c r="BJ753" s="319"/>
      <c r="BK753" s="315"/>
      <c r="BL753" s="316"/>
      <c r="BM753" s="314"/>
      <c r="BN753" s="319"/>
      <c r="BO753" s="315"/>
      <c r="BP753" s="314"/>
      <c r="BQ753" s="316"/>
      <c r="BR753" s="314"/>
      <c r="BS753" s="262"/>
      <c r="BT753" s="262"/>
    </row>
    <row r="754" spans="1:72" ht="45.75" customHeight="1">
      <c r="A754" s="342"/>
      <c r="B754" s="342"/>
      <c r="C754" s="342"/>
      <c r="D754" s="343"/>
      <c r="E754" s="342"/>
      <c r="F754" s="342"/>
      <c r="G754" s="344"/>
      <c r="H754" s="344"/>
      <c r="I754" s="344"/>
      <c r="J754" s="334"/>
      <c r="K754" s="335"/>
      <c r="L754" s="336"/>
      <c r="M754" s="336"/>
      <c r="N754" s="337"/>
      <c r="O754" s="337"/>
      <c r="P754" s="315"/>
      <c r="Q754" s="314"/>
      <c r="R754" s="317"/>
      <c r="S754" s="315"/>
      <c r="T754" s="315"/>
      <c r="U754" s="315"/>
      <c r="V754" s="258"/>
      <c r="W754" s="322"/>
      <c r="X754" s="318"/>
      <c r="Y754" s="315"/>
      <c r="Z754" s="318"/>
      <c r="AA754" s="314"/>
      <c r="AB754" s="336"/>
      <c r="AC754" s="314"/>
      <c r="AD754" s="316"/>
      <c r="AE754" s="315"/>
      <c r="AF754" s="315"/>
      <c r="AG754" s="315"/>
      <c r="AH754" s="315"/>
      <c r="AI754" s="377"/>
      <c r="AJ754" s="407"/>
      <c r="AK754" s="377"/>
      <c r="AL754" s="314"/>
      <c r="AM754" s="314"/>
      <c r="AN754" s="314"/>
      <c r="AO754" s="315"/>
      <c r="AP754" s="257"/>
      <c r="AQ754" s="257"/>
      <c r="AR754" s="257"/>
      <c r="AS754" s="315"/>
      <c r="AT754" s="257"/>
      <c r="AU754" s="257"/>
      <c r="AV754" s="316"/>
      <c r="AW754" s="314"/>
      <c r="AX754" s="315"/>
      <c r="AY754" s="315"/>
      <c r="AZ754" s="315"/>
      <c r="BA754" s="315"/>
      <c r="BB754" s="315"/>
      <c r="BC754" s="315"/>
      <c r="BD754" s="319"/>
      <c r="BE754" s="319"/>
      <c r="BF754" s="319"/>
      <c r="BG754" s="319"/>
      <c r="BH754" s="319"/>
      <c r="BI754" s="319"/>
      <c r="BJ754" s="319"/>
      <c r="BK754" s="315"/>
      <c r="BL754" s="316"/>
      <c r="BM754" s="314"/>
      <c r="BN754" s="319"/>
      <c r="BO754" s="315"/>
      <c r="BP754" s="314"/>
      <c r="BQ754" s="316"/>
      <c r="BR754" s="314"/>
      <c r="BS754" s="262"/>
      <c r="BT754" s="262"/>
    </row>
    <row r="755" spans="1:72" ht="45.75" customHeight="1">
      <c r="A755" s="342"/>
      <c r="B755" s="342"/>
      <c r="C755" s="342"/>
      <c r="D755" s="343"/>
      <c r="E755" s="342"/>
      <c r="F755" s="342"/>
      <c r="G755" s="344"/>
      <c r="H755" s="344"/>
      <c r="I755" s="344"/>
      <c r="J755" s="334"/>
      <c r="K755" s="335"/>
      <c r="L755" s="336"/>
      <c r="M755" s="336"/>
      <c r="N755" s="337"/>
      <c r="O755" s="337"/>
      <c r="P755" s="315"/>
      <c r="Q755" s="314"/>
      <c r="R755" s="317"/>
      <c r="S755" s="315"/>
      <c r="T755" s="315"/>
      <c r="U755" s="315"/>
      <c r="V755" s="258"/>
      <c r="W755" s="322"/>
      <c r="X755" s="318"/>
      <c r="Y755" s="315"/>
      <c r="Z755" s="318"/>
      <c r="AA755" s="314"/>
      <c r="AB755" s="336"/>
      <c r="AC755" s="314"/>
      <c r="AD755" s="316"/>
      <c r="AE755" s="315"/>
      <c r="AF755" s="315"/>
      <c r="AG755" s="315"/>
      <c r="AH755" s="315"/>
      <c r="AI755" s="377"/>
      <c r="AJ755" s="407"/>
      <c r="AK755" s="377"/>
      <c r="AL755" s="314"/>
      <c r="AM755" s="314"/>
      <c r="AN755" s="314"/>
      <c r="AO755" s="315"/>
      <c r="AP755" s="257"/>
      <c r="AQ755" s="257"/>
      <c r="AR755" s="257"/>
      <c r="AS755" s="315"/>
      <c r="AT755" s="257"/>
      <c r="AU755" s="257"/>
      <c r="AV755" s="316"/>
      <c r="AW755" s="314"/>
      <c r="AX755" s="315"/>
      <c r="AY755" s="315"/>
      <c r="AZ755" s="315"/>
      <c r="BA755" s="315"/>
      <c r="BB755" s="315"/>
      <c r="BC755" s="315"/>
      <c r="BD755" s="319"/>
      <c r="BE755" s="319"/>
      <c r="BF755" s="319"/>
      <c r="BG755" s="319"/>
      <c r="BH755" s="319"/>
      <c r="BI755" s="319"/>
      <c r="BJ755" s="319"/>
      <c r="BK755" s="315"/>
      <c r="BL755" s="316"/>
      <c r="BM755" s="314"/>
      <c r="BN755" s="319"/>
      <c r="BO755" s="315"/>
      <c r="BP755" s="314"/>
      <c r="BQ755" s="316"/>
      <c r="BR755" s="314"/>
      <c r="BS755" s="262"/>
      <c r="BT755" s="262"/>
    </row>
    <row r="756" spans="1:72" ht="45.75" customHeight="1">
      <c r="A756" s="342"/>
      <c r="B756" s="342"/>
      <c r="C756" s="342"/>
      <c r="D756" s="343"/>
      <c r="E756" s="342"/>
      <c r="F756" s="342"/>
      <c r="G756" s="344"/>
      <c r="H756" s="344"/>
      <c r="I756" s="344"/>
      <c r="J756" s="334"/>
      <c r="K756" s="335"/>
      <c r="L756" s="336"/>
      <c r="M756" s="336"/>
      <c r="N756" s="337"/>
      <c r="O756" s="337"/>
      <c r="P756" s="315"/>
      <c r="Q756" s="314"/>
      <c r="R756" s="317"/>
      <c r="S756" s="315"/>
      <c r="T756" s="315"/>
      <c r="U756" s="315"/>
      <c r="V756" s="258"/>
      <c r="W756" s="322"/>
      <c r="X756" s="318"/>
      <c r="Y756" s="315"/>
      <c r="Z756" s="318"/>
      <c r="AA756" s="314"/>
      <c r="AB756" s="336"/>
      <c r="AC756" s="314"/>
      <c r="AD756" s="316"/>
      <c r="AE756" s="315"/>
      <c r="AF756" s="315"/>
      <c r="AG756" s="315"/>
      <c r="AH756" s="315"/>
      <c r="AI756" s="377"/>
      <c r="AJ756" s="407"/>
      <c r="AK756" s="377"/>
      <c r="AL756" s="314"/>
      <c r="AM756" s="314"/>
      <c r="AN756" s="314"/>
      <c r="AO756" s="315"/>
      <c r="AP756" s="257"/>
      <c r="AQ756" s="257"/>
      <c r="AR756" s="257"/>
      <c r="AS756" s="315"/>
      <c r="AT756" s="257"/>
      <c r="AU756" s="257"/>
      <c r="AV756" s="316"/>
      <c r="AW756" s="314"/>
      <c r="AX756" s="315"/>
      <c r="AY756" s="315"/>
      <c r="AZ756" s="315"/>
      <c r="BA756" s="315"/>
      <c r="BB756" s="315"/>
      <c r="BC756" s="315"/>
      <c r="BD756" s="319"/>
      <c r="BE756" s="319"/>
      <c r="BF756" s="319"/>
      <c r="BG756" s="319"/>
      <c r="BH756" s="319"/>
      <c r="BI756" s="319"/>
      <c r="BJ756" s="319"/>
      <c r="BK756" s="315"/>
      <c r="BL756" s="316"/>
      <c r="BM756" s="314"/>
      <c r="BN756" s="319"/>
      <c r="BO756" s="315"/>
      <c r="BP756" s="314"/>
      <c r="BQ756" s="316"/>
      <c r="BR756" s="314"/>
      <c r="BS756" s="262"/>
      <c r="BT756" s="262"/>
    </row>
    <row r="757" spans="1:72" ht="45.75" customHeight="1">
      <c r="A757" s="342"/>
      <c r="B757" s="342"/>
      <c r="C757" s="342"/>
      <c r="D757" s="343"/>
      <c r="E757" s="342"/>
      <c r="F757" s="342"/>
      <c r="G757" s="344"/>
      <c r="H757" s="344"/>
      <c r="I757" s="344"/>
      <c r="J757" s="334"/>
      <c r="K757" s="335"/>
      <c r="L757" s="336"/>
      <c r="M757" s="336"/>
      <c r="N757" s="337"/>
      <c r="O757" s="337"/>
      <c r="P757" s="315"/>
      <c r="Q757" s="314"/>
      <c r="R757" s="317"/>
      <c r="S757" s="315"/>
      <c r="T757" s="315"/>
      <c r="U757" s="315"/>
      <c r="V757" s="258"/>
      <c r="W757" s="322"/>
      <c r="X757" s="318"/>
      <c r="Y757" s="315"/>
      <c r="Z757" s="318"/>
      <c r="AA757" s="314"/>
      <c r="AB757" s="336"/>
      <c r="AC757" s="314"/>
      <c r="AD757" s="316"/>
      <c r="AE757" s="315"/>
      <c r="AF757" s="315"/>
      <c r="AG757" s="315"/>
      <c r="AH757" s="315"/>
      <c r="AI757" s="377"/>
      <c r="AJ757" s="407"/>
      <c r="AK757" s="377"/>
      <c r="AL757" s="314"/>
      <c r="AM757" s="314"/>
      <c r="AN757" s="314"/>
      <c r="AO757" s="315"/>
      <c r="AP757" s="257"/>
      <c r="AQ757" s="257"/>
      <c r="AR757" s="257"/>
      <c r="AS757" s="315"/>
      <c r="AT757" s="257"/>
      <c r="AU757" s="257"/>
      <c r="AV757" s="316"/>
      <c r="AW757" s="314"/>
      <c r="AX757" s="315"/>
      <c r="AY757" s="315"/>
      <c r="AZ757" s="315"/>
      <c r="BA757" s="315"/>
      <c r="BB757" s="315"/>
      <c r="BC757" s="315"/>
      <c r="BD757" s="319"/>
      <c r="BE757" s="319"/>
      <c r="BF757" s="319"/>
      <c r="BG757" s="319"/>
      <c r="BH757" s="319"/>
      <c r="BI757" s="319"/>
      <c r="BJ757" s="319"/>
      <c r="BK757" s="315"/>
      <c r="BL757" s="316"/>
      <c r="BM757" s="314"/>
      <c r="BN757" s="319"/>
      <c r="BO757" s="315"/>
      <c r="BP757" s="314"/>
      <c r="BQ757" s="316"/>
      <c r="BR757" s="314"/>
      <c r="BS757" s="262"/>
      <c r="BT757" s="262"/>
    </row>
    <row r="758" spans="1:72" ht="45.75" customHeight="1">
      <c r="A758" s="342"/>
      <c r="B758" s="342"/>
      <c r="C758" s="342"/>
      <c r="D758" s="343"/>
      <c r="E758" s="342"/>
      <c r="F758" s="342"/>
      <c r="G758" s="344"/>
      <c r="H758" s="344"/>
      <c r="I758" s="344"/>
      <c r="J758" s="334"/>
      <c r="K758" s="335"/>
      <c r="L758" s="336"/>
      <c r="M758" s="336"/>
      <c r="N758" s="337"/>
      <c r="O758" s="337"/>
      <c r="P758" s="315"/>
      <c r="Q758" s="314"/>
      <c r="R758" s="317"/>
      <c r="S758" s="315"/>
      <c r="T758" s="315"/>
      <c r="U758" s="315"/>
      <c r="V758" s="258"/>
      <c r="W758" s="322"/>
      <c r="X758" s="318"/>
      <c r="Y758" s="315"/>
      <c r="Z758" s="318"/>
      <c r="AA758" s="314"/>
      <c r="AB758" s="336"/>
      <c r="AC758" s="314"/>
      <c r="AD758" s="316"/>
      <c r="AE758" s="315"/>
      <c r="AF758" s="315"/>
      <c r="AG758" s="315"/>
      <c r="AH758" s="315"/>
      <c r="AI758" s="377"/>
      <c r="AJ758" s="407"/>
      <c r="AK758" s="377"/>
      <c r="AL758" s="314"/>
      <c r="AM758" s="314"/>
      <c r="AN758" s="314"/>
      <c r="AO758" s="315"/>
      <c r="AP758" s="257"/>
      <c r="AQ758" s="257"/>
      <c r="AR758" s="257"/>
      <c r="AS758" s="315"/>
      <c r="AT758" s="257"/>
      <c r="AU758" s="257"/>
      <c r="AV758" s="316"/>
      <c r="AW758" s="314"/>
      <c r="AX758" s="315"/>
      <c r="AY758" s="315"/>
      <c r="AZ758" s="315"/>
      <c r="BA758" s="315"/>
      <c r="BB758" s="315"/>
      <c r="BC758" s="315"/>
      <c r="BD758" s="319"/>
      <c r="BE758" s="319"/>
      <c r="BF758" s="319"/>
      <c r="BG758" s="319"/>
      <c r="BH758" s="319"/>
      <c r="BI758" s="319"/>
      <c r="BJ758" s="319"/>
      <c r="BK758" s="315"/>
      <c r="BL758" s="316"/>
      <c r="BM758" s="314"/>
      <c r="BN758" s="319"/>
      <c r="BO758" s="315"/>
      <c r="BP758" s="314"/>
      <c r="BQ758" s="316"/>
      <c r="BR758" s="314"/>
      <c r="BS758" s="262"/>
      <c r="BT758" s="262"/>
    </row>
    <row r="759" spans="1:72" ht="45.75" customHeight="1">
      <c r="A759" s="342"/>
      <c r="B759" s="342"/>
      <c r="C759" s="342"/>
      <c r="D759" s="343"/>
      <c r="E759" s="342"/>
      <c r="F759" s="342"/>
      <c r="G759" s="344"/>
      <c r="H759" s="344"/>
      <c r="I759" s="344"/>
      <c r="J759" s="334"/>
      <c r="K759" s="335"/>
      <c r="L759" s="336"/>
      <c r="M759" s="336"/>
      <c r="N759" s="337"/>
      <c r="O759" s="337"/>
      <c r="P759" s="315"/>
      <c r="Q759" s="314"/>
      <c r="R759" s="317"/>
      <c r="S759" s="315"/>
      <c r="T759" s="315"/>
      <c r="U759" s="315"/>
      <c r="V759" s="258"/>
      <c r="W759" s="322"/>
      <c r="X759" s="318"/>
      <c r="Y759" s="315"/>
      <c r="Z759" s="318"/>
      <c r="AA759" s="314"/>
      <c r="AB759" s="336"/>
      <c r="AC759" s="314"/>
      <c r="AD759" s="316"/>
      <c r="AE759" s="315"/>
      <c r="AF759" s="315"/>
      <c r="AG759" s="315"/>
      <c r="AH759" s="315"/>
      <c r="AI759" s="377"/>
      <c r="AJ759" s="407"/>
      <c r="AK759" s="377"/>
      <c r="AL759" s="314"/>
      <c r="AM759" s="314"/>
      <c r="AN759" s="314"/>
      <c r="AO759" s="315"/>
      <c r="AP759" s="257"/>
      <c r="AQ759" s="257"/>
      <c r="AR759" s="257"/>
      <c r="AS759" s="315"/>
      <c r="AT759" s="257"/>
      <c r="AU759" s="257"/>
      <c r="AV759" s="316"/>
      <c r="AW759" s="314"/>
      <c r="AX759" s="315"/>
      <c r="AY759" s="315"/>
      <c r="AZ759" s="315"/>
      <c r="BA759" s="315"/>
      <c r="BB759" s="315"/>
      <c r="BC759" s="315"/>
      <c r="BD759" s="319"/>
      <c r="BE759" s="319"/>
      <c r="BF759" s="319"/>
      <c r="BG759" s="319"/>
      <c r="BH759" s="319"/>
      <c r="BI759" s="319"/>
      <c r="BJ759" s="319"/>
      <c r="BK759" s="315"/>
      <c r="BL759" s="316"/>
      <c r="BM759" s="314"/>
      <c r="BN759" s="319"/>
      <c r="BO759" s="315"/>
      <c r="BP759" s="314"/>
      <c r="BQ759" s="316"/>
      <c r="BR759" s="314"/>
      <c r="BS759" s="262"/>
      <c r="BT759" s="262"/>
    </row>
    <row r="760" spans="1:72" ht="45.75" customHeight="1">
      <c r="A760" s="342"/>
      <c r="B760" s="342"/>
      <c r="C760" s="342"/>
      <c r="D760" s="343"/>
      <c r="E760" s="342"/>
      <c r="F760" s="342"/>
      <c r="G760" s="344"/>
      <c r="H760" s="344"/>
      <c r="I760" s="344"/>
      <c r="J760" s="334"/>
      <c r="K760" s="335"/>
      <c r="L760" s="336"/>
      <c r="M760" s="336"/>
      <c r="N760" s="337"/>
      <c r="O760" s="337"/>
      <c r="P760" s="315"/>
      <c r="Q760" s="314"/>
      <c r="R760" s="317"/>
      <c r="S760" s="315"/>
      <c r="T760" s="315"/>
      <c r="U760" s="315"/>
      <c r="V760" s="258"/>
      <c r="W760" s="322"/>
      <c r="X760" s="318"/>
      <c r="Y760" s="315"/>
      <c r="Z760" s="318"/>
      <c r="AA760" s="314"/>
      <c r="AB760" s="336"/>
      <c r="AC760" s="314"/>
      <c r="AD760" s="316"/>
      <c r="AE760" s="315"/>
      <c r="AF760" s="315"/>
      <c r="AG760" s="315"/>
      <c r="AH760" s="315"/>
      <c r="AI760" s="377"/>
      <c r="AJ760" s="407"/>
      <c r="AK760" s="377"/>
      <c r="AL760" s="314"/>
      <c r="AM760" s="314"/>
      <c r="AN760" s="314"/>
      <c r="AO760" s="315"/>
      <c r="AP760" s="257"/>
      <c r="AQ760" s="257"/>
      <c r="AR760" s="257"/>
      <c r="AS760" s="315"/>
      <c r="AT760" s="257"/>
      <c r="AU760" s="257"/>
      <c r="AV760" s="316"/>
      <c r="AW760" s="314"/>
      <c r="AX760" s="315"/>
      <c r="AY760" s="315"/>
      <c r="AZ760" s="315"/>
      <c r="BA760" s="315"/>
      <c r="BB760" s="315"/>
      <c r="BC760" s="315"/>
      <c r="BD760" s="319"/>
      <c r="BE760" s="319"/>
      <c r="BF760" s="319"/>
      <c r="BG760" s="319"/>
      <c r="BH760" s="319"/>
      <c r="BI760" s="319"/>
      <c r="BJ760" s="319"/>
      <c r="BK760" s="315"/>
      <c r="BL760" s="316"/>
      <c r="BM760" s="314"/>
      <c r="BN760" s="319"/>
      <c r="BO760" s="315"/>
      <c r="BP760" s="314"/>
      <c r="BQ760" s="316"/>
      <c r="BR760" s="314"/>
      <c r="BS760" s="262"/>
      <c r="BT760" s="262"/>
    </row>
    <row r="761" spans="1:72" ht="45.75" customHeight="1">
      <c r="A761" s="342"/>
      <c r="B761" s="342"/>
      <c r="C761" s="342"/>
      <c r="D761" s="343"/>
      <c r="E761" s="342"/>
      <c r="F761" s="342"/>
      <c r="G761" s="344"/>
      <c r="H761" s="344"/>
      <c r="I761" s="344"/>
      <c r="J761" s="334"/>
      <c r="K761" s="335"/>
      <c r="L761" s="336"/>
      <c r="M761" s="336"/>
      <c r="N761" s="337"/>
      <c r="O761" s="337"/>
      <c r="P761" s="315"/>
      <c r="Q761" s="314"/>
      <c r="R761" s="317"/>
      <c r="S761" s="315"/>
      <c r="T761" s="315"/>
      <c r="U761" s="315"/>
      <c r="V761" s="258"/>
      <c r="W761" s="322"/>
      <c r="X761" s="318"/>
      <c r="Y761" s="315"/>
      <c r="Z761" s="318"/>
      <c r="AA761" s="314"/>
      <c r="AB761" s="336"/>
      <c r="AC761" s="314"/>
      <c r="AD761" s="316"/>
      <c r="AE761" s="315"/>
      <c r="AF761" s="315"/>
      <c r="AG761" s="315"/>
      <c r="AH761" s="315"/>
      <c r="AI761" s="377"/>
      <c r="AJ761" s="407"/>
      <c r="AK761" s="377"/>
      <c r="AL761" s="314"/>
      <c r="AM761" s="314"/>
      <c r="AN761" s="314"/>
      <c r="AO761" s="315"/>
      <c r="AP761" s="257"/>
      <c r="AQ761" s="257"/>
      <c r="AR761" s="257"/>
      <c r="AS761" s="315"/>
      <c r="AT761" s="257"/>
      <c r="AU761" s="257"/>
      <c r="AV761" s="316"/>
      <c r="AW761" s="314"/>
      <c r="AX761" s="315"/>
      <c r="AY761" s="315"/>
      <c r="AZ761" s="315"/>
      <c r="BA761" s="315"/>
      <c r="BB761" s="315"/>
      <c r="BC761" s="315"/>
      <c r="BD761" s="319"/>
      <c r="BE761" s="319"/>
      <c r="BF761" s="319"/>
      <c r="BG761" s="319"/>
      <c r="BH761" s="319"/>
      <c r="BI761" s="319"/>
      <c r="BJ761" s="319"/>
      <c r="BK761" s="315"/>
      <c r="BL761" s="316"/>
      <c r="BM761" s="314"/>
      <c r="BN761" s="319"/>
      <c r="BO761" s="315"/>
      <c r="BP761" s="314"/>
      <c r="BQ761" s="316"/>
      <c r="BR761" s="314"/>
      <c r="BS761" s="262"/>
      <c r="BT761" s="262"/>
    </row>
    <row r="762" spans="1:72" ht="45.75" customHeight="1">
      <c r="A762" s="342"/>
      <c r="B762" s="342"/>
      <c r="C762" s="342"/>
      <c r="D762" s="343"/>
      <c r="E762" s="342"/>
      <c r="F762" s="342"/>
      <c r="G762" s="344"/>
      <c r="H762" s="344"/>
      <c r="I762" s="344"/>
      <c r="J762" s="334"/>
      <c r="K762" s="335"/>
      <c r="L762" s="336"/>
      <c r="M762" s="336"/>
      <c r="N762" s="337"/>
      <c r="O762" s="337"/>
      <c r="P762" s="315"/>
      <c r="Q762" s="314"/>
      <c r="R762" s="317"/>
      <c r="S762" s="315"/>
      <c r="T762" s="315"/>
      <c r="U762" s="315"/>
      <c r="V762" s="258"/>
      <c r="W762" s="322"/>
      <c r="X762" s="318"/>
      <c r="Y762" s="315"/>
      <c r="Z762" s="318"/>
      <c r="AA762" s="314"/>
      <c r="AB762" s="336"/>
      <c r="AC762" s="314"/>
      <c r="AD762" s="316"/>
      <c r="AE762" s="315"/>
      <c r="AF762" s="315"/>
      <c r="AG762" s="315"/>
      <c r="AH762" s="315"/>
      <c r="AI762" s="377"/>
      <c r="AJ762" s="407"/>
      <c r="AK762" s="377"/>
      <c r="AL762" s="314"/>
      <c r="AM762" s="314"/>
      <c r="AN762" s="314"/>
      <c r="AO762" s="315"/>
      <c r="AP762" s="257"/>
      <c r="AQ762" s="257"/>
      <c r="AR762" s="257"/>
      <c r="AS762" s="315"/>
      <c r="AT762" s="257"/>
      <c r="AU762" s="257"/>
      <c r="AV762" s="316"/>
      <c r="AW762" s="314"/>
      <c r="AX762" s="315"/>
      <c r="AY762" s="315"/>
      <c r="AZ762" s="315"/>
      <c r="BA762" s="315"/>
      <c r="BB762" s="315"/>
      <c r="BC762" s="315"/>
      <c r="BD762" s="319"/>
      <c r="BE762" s="319"/>
      <c r="BF762" s="319"/>
      <c r="BG762" s="319"/>
      <c r="BH762" s="319"/>
      <c r="BI762" s="319"/>
      <c r="BJ762" s="319"/>
      <c r="BK762" s="315"/>
      <c r="BL762" s="316"/>
      <c r="BM762" s="314"/>
      <c r="BN762" s="319"/>
      <c r="BO762" s="315"/>
      <c r="BP762" s="314"/>
      <c r="BQ762" s="316"/>
      <c r="BR762" s="314"/>
      <c r="BS762" s="262"/>
      <c r="BT762" s="262"/>
    </row>
    <row r="763" spans="1:72" ht="45.75" customHeight="1">
      <c r="A763" s="342"/>
      <c r="B763" s="342"/>
      <c r="C763" s="342"/>
      <c r="D763" s="343"/>
      <c r="E763" s="342"/>
      <c r="F763" s="342"/>
      <c r="G763" s="344"/>
      <c r="H763" s="344"/>
      <c r="I763" s="344"/>
      <c r="J763" s="334"/>
      <c r="K763" s="335"/>
      <c r="L763" s="336"/>
      <c r="M763" s="336"/>
      <c r="N763" s="337"/>
      <c r="O763" s="337"/>
      <c r="P763" s="315"/>
      <c r="Q763" s="314"/>
      <c r="R763" s="317"/>
      <c r="S763" s="315"/>
      <c r="T763" s="315"/>
      <c r="U763" s="315"/>
      <c r="V763" s="258"/>
      <c r="W763" s="322"/>
      <c r="X763" s="318"/>
      <c r="Y763" s="315"/>
      <c r="Z763" s="318"/>
      <c r="AA763" s="314"/>
      <c r="AB763" s="336"/>
      <c r="AC763" s="314"/>
      <c r="AD763" s="316"/>
      <c r="AE763" s="315"/>
      <c r="AF763" s="315"/>
      <c r="AG763" s="315"/>
      <c r="AH763" s="315"/>
      <c r="AI763" s="377"/>
      <c r="AJ763" s="407"/>
      <c r="AK763" s="377"/>
      <c r="AL763" s="314"/>
      <c r="AM763" s="314"/>
      <c r="AN763" s="314"/>
      <c r="AO763" s="315"/>
      <c r="AP763" s="257"/>
      <c r="AQ763" s="257"/>
      <c r="AR763" s="257"/>
      <c r="AS763" s="315"/>
      <c r="AT763" s="257"/>
      <c r="AU763" s="257"/>
      <c r="AV763" s="316"/>
      <c r="AW763" s="314"/>
      <c r="AX763" s="315"/>
      <c r="AY763" s="315"/>
      <c r="AZ763" s="315"/>
      <c r="BA763" s="315"/>
      <c r="BB763" s="315"/>
      <c r="BC763" s="315"/>
      <c r="BD763" s="319"/>
      <c r="BE763" s="319"/>
      <c r="BF763" s="319"/>
      <c r="BG763" s="319"/>
      <c r="BH763" s="319"/>
      <c r="BI763" s="319"/>
      <c r="BJ763" s="319"/>
      <c r="BK763" s="315"/>
      <c r="BL763" s="316"/>
      <c r="BM763" s="314"/>
      <c r="BN763" s="319"/>
      <c r="BO763" s="315"/>
      <c r="BP763" s="314"/>
      <c r="BQ763" s="316"/>
      <c r="BR763" s="314"/>
      <c r="BS763" s="262"/>
      <c r="BT763" s="262"/>
    </row>
    <row r="764" spans="1:72" ht="45.75" customHeight="1">
      <c r="A764" s="342"/>
      <c r="B764" s="342"/>
      <c r="C764" s="342"/>
      <c r="D764" s="343"/>
      <c r="E764" s="342"/>
      <c r="F764" s="342"/>
      <c r="G764" s="344"/>
      <c r="H764" s="344"/>
      <c r="I764" s="344"/>
      <c r="J764" s="334"/>
      <c r="K764" s="335"/>
      <c r="L764" s="336"/>
      <c r="M764" s="336"/>
      <c r="N764" s="337"/>
      <c r="O764" s="337"/>
      <c r="P764" s="315"/>
      <c r="Q764" s="314"/>
      <c r="R764" s="317"/>
      <c r="S764" s="315"/>
      <c r="T764" s="315"/>
      <c r="U764" s="315"/>
      <c r="V764" s="258"/>
      <c r="W764" s="322"/>
      <c r="X764" s="318"/>
      <c r="Y764" s="315"/>
      <c r="Z764" s="318"/>
      <c r="AA764" s="314"/>
      <c r="AB764" s="336"/>
      <c r="AC764" s="314"/>
      <c r="AD764" s="316"/>
      <c r="AE764" s="315"/>
      <c r="AF764" s="315"/>
      <c r="AG764" s="315"/>
      <c r="AH764" s="315"/>
      <c r="AI764" s="377"/>
      <c r="AJ764" s="407"/>
      <c r="AK764" s="377"/>
      <c r="AL764" s="314"/>
      <c r="AM764" s="314"/>
      <c r="AN764" s="314"/>
      <c r="AO764" s="315"/>
      <c r="AP764" s="257"/>
      <c r="AQ764" s="257"/>
      <c r="AR764" s="257"/>
      <c r="AS764" s="315"/>
      <c r="AT764" s="257"/>
      <c r="AU764" s="257"/>
      <c r="AV764" s="316"/>
      <c r="AW764" s="314"/>
      <c r="AX764" s="315"/>
      <c r="AY764" s="315"/>
      <c r="AZ764" s="315"/>
      <c r="BA764" s="315"/>
      <c r="BB764" s="315"/>
      <c r="BC764" s="315"/>
      <c r="BD764" s="319"/>
      <c r="BE764" s="319"/>
      <c r="BF764" s="319"/>
      <c r="BG764" s="319"/>
      <c r="BH764" s="319"/>
      <c r="BI764" s="319"/>
      <c r="BJ764" s="319"/>
      <c r="BK764" s="315"/>
      <c r="BL764" s="316"/>
      <c r="BM764" s="314"/>
      <c r="BN764" s="319"/>
      <c r="BO764" s="315"/>
      <c r="BP764" s="314"/>
      <c r="BQ764" s="316"/>
      <c r="BR764" s="314"/>
      <c r="BS764" s="262"/>
      <c r="BT764" s="262"/>
    </row>
    <row r="765" spans="1:72" ht="45.75" customHeight="1">
      <c r="A765" s="342"/>
      <c r="B765" s="342"/>
      <c r="C765" s="342"/>
      <c r="D765" s="343"/>
      <c r="E765" s="342"/>
      <c r="F765" s="342"/>
      <c r="G765" s="344"/>
      <c r="H765" s="344"/>
      <c r="I765" s="344"/>
      <c r="J765" s="334"/>
      <c r="K765" s="335"/>
      <c r="L765" s="336"/>
      <c r="M765" s="336"/>
      <c r="N765" s="337"/>
      <c r="O765" s="337"/>
      <c r="P765" s="315"/>
      <c r="Q765" s="314"/>
      <c r="R765" s="317"/>
      <c r="S765" s="315"/>
      <c r="T765" s="315"/>
      <c r="U765" s="315"/>
      <c r="V765" s="258"/>
      <c r="W765" s="322"/>
      <c r="X765" s="318"/>
      <c r="Y765" s="315"/>
      <c r="Z765" s="318"/>
      <c r="AA765" s="314"/>
      <c r="AB765" s="336"/>
      <c r="AC765" s="314"/>
      <c r="AD765" s="316"/>
      <c r="AE765" s="315"/>
      <c r="AF765" s="315"/>
      <c r="AG765" s="315"/>
      <c r="AH765" s="315"/>
      <c r="AI765" s="377"/>
      <c r="AJ765" s="407"/>
      <c r="AK765" s="377"/>
      <c r="AL765" s="314"/>
      <c r="AM765" s="314"/>
      <c r="AN765" s="314"/>
      <c r="AO765" s="315"/>
      <c r="AP765" s="257"/>
      <c r="AQ765" s="257"/>
      <c r="AR765" s="257"/>
      <c r="AS765" s="315"/>
      <c r="AT765" s="257"/>
      <c r="AU765" s="257"/>
      <c r="AV765" s="316"/>
      <c r="AW765" s="314"/>
      <c r="AX765" s="315"/>
      <c r="AY765" s="315"/>
      <c r="AZ765" s="315"/>
      <c r="BA765" s="315"/>
      <c r="BB765" s="315"/>
      <c r="BC765" s="315"/>
      <c r="BD765" s="319"/>
      <c r="BE765" s="319"/>
      <c r="BF765" s="319"/>
      <c r="BG765" s="319"/>
      <c r="BH765" s="319"/>
      <c r="BI765" s="319"/>
      <c r="BJ765" s="319"/>
      <c r="BK765" s="315"/>
      <c r="BL765" s="316"/>
      <c r="BM765" s="314"/>
      <c r="BN765" s="319"/>
      <c r="BO765" s="315"/>
      <c r="BP765" s="314"/>
      <c r="BQ765" s="316"/>
      <c r="BR765" s="314"/>
      <c r="BS765" s="262"/>
      <c r="BT765" s="262"/>
    </row>
    <row r="766" spans="1:72" ht="45.75" customHeight="1">
      <c r="A766" s="342"/>
      <c r="B766" s="342"/>
      <c r="C766" s="342"/>
      <c r="D766" s="343"/>
      <c r="E766" s="342"/>
      <c r="F766" s="342"/>
      <c r="G766" s="344"/>
      <c r="H766" s="344"/>
      <c r="I766" s="344"/>
      <c r="J766" s="334"/>
      <c r="K766" s="335"/>
      <c r="L766" s="336"/>
      <c r="M766" s="336"/>
      <c r="N766" s="337"/>
      <c r="O766" s="337"/>
      <c r="P766" s="315"/>
      <c r="Q766" s="314"/>
      <c r="R766" s="317"/>
      <c r="S766" s="315"/>
      <c r="T766" s="315"/>
      <c r="U766" s="315"/>
      <c r="V766" s="258"/>
      <c r="W766" s="322"/>
      <c r="X766" s="318"/>
      <c r="Y766" s="315"/>
      <c r="Z766" s="318"/>
      <c r="AA766" s="314"/>
      <c r="AB766" s="336"/>
      <c r="AC766" s="314"/>
      <c r="AD766" s="316"/>
      <c r="AE766" s="315"/>
      <c r="AF766" s="315"/>
      <c r="AG766" s="315"/>
      <c r="AH766" s="315"/>
      <c r="AI766" s="377"/>
      <c r="AJ766" s="407"/>
      <c r="AK766" s="377"/>
      <c r="AL766" s="314"/>
      <c r="AM766" s="314"/>
      <c r="AN766" s="314"/>
      <c r="AO766" s="315"/>
      <c r="AP766" s="257"/>
      <c r="AQ766" s="257"/>
      <c r="AR766" s="257"/>
      <c r="AS766" s="315"/>
      <c r="AT766" s="257"/>
      <c r="AU766" s="257"/>
      <c r="AV766" s="316"/>
      <c r="AW766" s="314"/>
      <c r="AX766" s="315"/>
      <c r="AY766" s="315"/>
      <c r="AZ766" s="315"/>
      <c r="BA766" s="315"/>
      <c r="BB766" s="315"/>
      <c r="BC766" s="315"/>
      <c r="BD766" s="319"/>
      <c r="BE766" s="319"/>
      <c r="BF766" s="319"/>
      <c r="BG766" s="319"/>
      <c r="BH766" s="319"/>
      <c r="BI766" s="319"/>
      <c r="BJ766" s="319"/>
      <c r="BK766" s="315"/>
      <c r="BL766" s="316"/>
      <c r="BM766" s="314"/>
      <c r="BN766" s="319"/>
      <c r="BO766" s="315"/>
      <c r="BP766" s="314"/>
      <c r="BQ766" s="316"/>
      <c r="BR766" s="314"/>
      <c r="BS766" s="262"/>
      <c r="BT766" s="262"/>
    </row>
    <row r="767" spans="1:72" ht="45.75" customHeight="1">
      <c r="A767" s="342"/>
      <c r="B767" s="342"/>
      <c r="C767" s="342"/>
      <c r="D767" s="343"/>
      <c r="E767" s="342"/>
      <c r="F767" s="342"/>
      <c r="G767" s="344"/>
      <c r="H767" s="344"/>
      <c r="I767" s="344"/>
      <c r="J767" s="334"/>
      <c r="K767" s="335"/>
      <c r="L767" s="336"/>
      <c r="M767" s="336"/>
      <c r="N767" s="337"/>
      <c r="O767" s="337"/>
      <c r="P767" s="315"/>
      <c r="Q767" s="314"/>
      <c r="R767" s="317"/>
      <c r="S767" s="315"/>
      <c r="T767" s="315"/>
      <c r="U767" s="315"/>
      <c r="V767" s="258"/>
      <c r="W767" s="322"/>
      <c r="X767" s="318"/>
      <c r="Y767" s="315"/>
      <c r="Z767" s="318"/>
      <c r="AA767" s="314"/>
      <c r="AB767" s="336"/>
      <c r="AC767" s="314"/>
      <c r="AD767" s="316"/>
      <c r="AE767" s="315"/>
      <c r="AF767" s="315"/>
      <c r="AG767" s="315"/>
      <c r="AH767" s="315"/>
      <c r="AI767" s="377"/>
      <c r="AJ767" s="407"/>
      <c r="AK767" s="377"/>
      <c r="AL767" s="314"/>
      <c r="AM767" s="314"/>
      <c r="AN767" s="314"/>
      <c r="AO767" s="315"/>
      <c r="AP767" s="257"/>
      <c r="AQ767" s="257"/>
      <c r="AR767" s="257"/>
      <c r="AS767" s="315"/>
      <c r="AT767" s="257"/>
      <c r="AU767" s="257"/>
      <c r="AV767" s="316"/>
      <c r="AW767" s="314"/>
      <c r="AX767" s="315"/>
      <c r="AY767" s="315"/>
      <c r="AZ767" s="315"/>
      <c r="BA767" s="315"/>
      <c r="BB767" s="315"/>
      <c r="BC767" s="315"/>
      <c r="BD767" s="319"/>
      <c r="BE767" s="319"/>
      <c r="BF767" s="319"/>
      <c r="BG767" s="319"/>
      <c r="BH767" s="319"/>
      <c r="BI767" s="319"/>
      <c r="BJ767" s="319"/>
      <c r="BK767" s="315"/>
      <c r="BL767" s="316"/>
      <c r="BM767" s="314"/>
      <c r="BN767" s="319"/>
      <c r="BO767" s="315"/>
      <c r="BP767" s="314"/>
      <c r="BQ767" s="316"/>
      <c r="BR767" s="314"/>
      <c r="BS767" s="262"/>
      <c r="BT767" s="262"/>
    </row>
    <row r="768" spans="1:72" ht="45.75" customHeight="1">
      <c r="A768" s="342"/>
      <c r="B768" s="342"/>
      <c r="C768" s="342"/>
      <c r="D768" s="343"/>
      <c r="E768" s="342"/>
      <c r="F768" s="342"/>
      <c r="G768" s="344"/>
      <c r="H768" s="344"/>
      <c r="I768" s="344"/>
      <c r="J768" s="334"/>
      <c r="K768" s="335"/>
      <c r="L768" s="336"/>
      <c r="M768" s="336"/>
      <c r="N768" s="337"/>
      <c r="O768" s="337"/>
      <c r="P768" s="315"/>
      <c r="Q768" s="314"/>
      <c r="R768" s="317"/>
      <c r="S768" s="315"/>
      <c r="T768" s="315"/>
      <c r="U768" s="315"/>
      <c r="V768" s="258"/>
      <c r="W768" s="322"/>
      <c r="X768" s="318"/>
      <c r="Y768" s="315"/>
      <c r="Z768" s="318"/>
      <c r="AA768" s="314"/>
      <c r="AB768" s="336"/>
      <c r="AC768" s="314"/>
      <c r="AD768" s="316"/>
      <c r="AE768" s="315"/>
      <c r="AF768" s="315"/>
      <c r="AG768" s="315"/>
      <c r="AH768" s="315"/>
      <c r="AI768" s="377"/>
      <c r="AJ768" s="407"/>
      <c r="AK768" s="377"/>
      <c r="AL768" s="314"/>
      <c r="AM768" s="314"/>
      <c r="AN768" s="314"/>
      <c r="AO768" s="315"/>
      <c r="AP768" s="257"/>
      <c r="AQ768" s="257"/>
      <c r="AR768" s="257"/>
      <c r="AS768" s="315"/>
      <c r="AT768" s="257"/>
      <c r="AU768" s="257"/>
      <c r="AV768" s="316"/>
      <c r="AW768" s="314"/>
      <c r="AX768" s="315"/>
      <c r="AY768" s="315"/>
      <c r="AZ768" s="315"/>
      <c r="BA768" s="315"/>
      <c r="BB768" s="315"/>
      <c r="BC768" s="315"/>
      <c r="BD768" s="319"/>
      <c r="BE768" s="319"/>
      <c r="BF768" s="319"/>
      <c r="BG768" s="319"/>
      <c r="BH768" s="319"/>
      <c r="BI768" s="319"/>
      <c r="BJ768" s="319"/>
      <c r="BK768" s="315"/>
      <c r="BL768" s="316"/>
      <c r="BM768" s="314"/>
      <c r="BN768" s="319"/>
      <c r="BO768" s="315"/>
      <c r="BP768" s="314"/>
      <c r="BQ768" s="316"/>
      <c r="BR768" s="314"/>
      <c r="BS768" s="262"/>
      <c r="BT768" s="262"/>
    </row>
    <row r="769" spans="1:72" ht="45.75" customHeight="1">
      <c r="A769" s="342"/>
      <c r="B769" s="342"/>
      <c r="C769" s="342"/>
      <c r="D769" s="343"/>
      <c r="E769" s="342"/>
      <c r="F769" s="342"/>
      <c r="G769" s="344"/>
      <c r="H769" s="344"/>
      <c r="I769" s="344"/>
      <c r="J769" s="334"/>
      <c r="K769" s="335"/>
      <c r="L769" s="336"/>
      <c r="M769" s="336"/>
      <c r="N769" s="337"/>
      <c r="O769" s="337"/>
      <c r="P769" s="315"/>
      <c r="Q769" s="314"/>
      <c r="R769" s="317"/>
      <c r="S769" s="315"/>
      <c r="T769" s="315"/>
      <c r="U769" s="315"/>
      <c r="V769" s="258"/>
      <c r="W769" s="322"/>
      <c r="X769" s="318"/>
      <c r="Y769" s="315"/>
      <c r="Z769" s="318"/>
      <c r="AA769" s="314"/>
      <c r="AB769" s="336"/>
      <c r="AC769" s="314"/>
      <c r="AD769" s="316"/>
      <c r="AE769" s="315"/>
      <c r="AF769" s="315"/>
      <c r="AG769" s="315"/>
      <c r="AH769" s="315"/>
      <c r="AI769" s="377"/>
      <c r="AJ769" s="407"/>
      <c r="AK769" s="377"/>
      <c r="AL769" s="314"/>
      <c r="AM769" s="314"/>
      <c r="AN769" s="314"/>
      <c r="AO769" s="315"/>
      <c r="AP769" s="257"/>
      <c r="AQ769" s="257"/>
      <c r="AR769" s="257"/>
      <c r="AS769" s="315"/>
      <c r="AT769" s="257"/>
      <c r="AU769" s="257"/>
      <c r="AV769" s="316"/>
      <c r="AW769" s="314"/>
      <c r="AX769" s="315"/>
      <c r="AY769" s="315"/>
      <c r="AZ769" s="315"/>
      <c r="BA769" s="315"/>
      <c r="BB769" s="315"/>
      <c r="BC769" s="315"/>
      <c r="BD769" s="319"/>
      <c r="BE769" s="319"/>
      <c r="BF769" s="319"/>
      <c r="BG769" s="319"/>
      <c r="BH769" s="319"/>
      <c r="BI769" s="319"/>
      <c r="BJ769" s="319"/>
      <c r="BK769" s="315"/>
      <c r="BL769" s="316"/>
      <c r="BM769" s="314"/>
      <c r="BN769" s="319"/>
      <c r="BO769" s="315"/>
      <c r="BP769" s="314"/>
      <c r="BQ769" s="316"/>
      <c r="BR769" s="314"/>
      <c r="BS769" s="262"/>
      <c r="BT769" s="262"/>
    </row>
    <row r="770" spans="1:72" ht="45.75" customHeight="1">
      <c r="A770" s="342"/>
      <c r="B770" s="342"/>
      <c r="C770" s="342"/>
      <c r="D770" s="343"/>
      <c r="E770" s="342"/>
      <c r="F770" s="342"/>
      <c r="G770" s="344"/>
      <c r="H770" s="344"/>
      <c r="I770" s="344"/>
      <c r="J770" s="334"/>
      <c r="K770" s="335"/>
      <c r="L770" s="336"/>
      <c r="M770" s="336"/>
      <c r="N770" s="337"/>
      <c r="O770" s="337"/>
      <c r="P770" s="315"/>
      <c r="Q770" s="314"/>
      <c r="R770" s="317"/>
      <c r="S770" s="315"/>
      <c r="T770" s="315"/>
      <c r="U770" s="315"/>
      <c r="V770" s="258"/>
      <c r="W770" s="322"/>
      <c r="X770" s="318"/>
      <c r="Y770" s="315"/>
      <c r="Z770" s="318"/>
      <c r="AA770" s="314"/>
      <c r="AB770" s="336"/>
      <c r="AC770" s="314"/>
      <c r="AD770" s="316"/>
      <c r="AE770" s="315"/>
      <c r="AF770" s="315"/>
      <c r="AG770" s="315"/>
      <c r="AH770" s="315"/>
      <c r="AI770" s="377"/>
      <c r="AJ770" s="407"/>
      <c r="AK770" s="377"/>
      <c r="AL770" s="314"/>
      <c r="AM770" s="314"/>
      <c r="AN770" s="314"/>
      <c r="AO770" s="315"/>
      <c r="AP770" s="257"/>
      <c r="AQ770" s="257"/>
      <c r="AR770" s="257"/>
      <c r="AS770" s="315"/>
      <c r="AT770" s="257"/>
      <c r="AU770" s="257"/>
      <c r="AV770" s="316"/>
      <c r="AW770" s="314"/>
      <c r="AX770" s="315"/>
      <c r="AY770" s="315"/>
      <c r="AZ770" s="315"/>
      <c r="BA770" s="315"/>
      <c r="BB770" s="315"/>
      <c r="BC770" s="315"/>
      <c r="BD770" s="319"/>
      <c r="BE770" s="319"/>
      <c r="BF770" s="319"/>
      <c r="BG770" s="319"/>
      <c r="BH770" s="319"/>
      <c r="BI770" s="319"/>
      <c r="BJ770" s="319"/>
      <c r="BK770" s="315"/>
      <c r="BL770" s="316"/>
      <c r="BM770" s="314"/>
      <c r="BN770" s="319"/>
      <c r="BO770" s="315"/>
      <c r="BP770" s="314"/>
      <c r="BQ770" s="316"/>
      <c r="BR770" s="314"/>
      <c r="BS770" s="262"/>
      <c r="BT770" s="262"/>
    </row>
    <row r="771" spans="1:72" ht="45.75" customHeight="1">
      <c r="A771" s="342"/>
      <c r="B771" s="342"/>
      <c r="C771" s="342"/>
      <c r="D771" s="343"/>
      <c r="E771" s="342"/>
      <c r="F771" s="342"/>
      <c r="G771" s="344"/>
      <c r="H771" s="344"/>
      <c r="I771" s="344"/>
      <c r="J771" s="334"/>
      <c r="K771" s="335"/>
      <c r="L771" s="336"/>
      <c r="M771" s="336"/>
      <c r="N771" s="337"/>
      <c r="O771" s="337"/>
      <c r="P771" s="315"/>
      <c r="Q771" s="314"/>
      <c r="R771" s="317"/>
      <c r="S771" s="315"/>
      <c r="T771" s="315"/>
      <c r="U771" s="315"/>
      <c r="V771" s="258"/>
      <c r="W771" s="322"/>
      <c r="X771" s="318"/>
      <c r="Y771" s="315"/>
      <c r="Z771" s="318"/>
      <c r="AA771" s="314"/>
      <c r="AB771" s="336"/>
      <c r="AC771" s="314"/>
      <c r="AD771" s="316"/>
      <c r="AE771" s="315"/>
      <c r="AF771" s="315"/>
      <c r="AG771" s="315"/>
      <c r="AH771" s="315"/>
      <c r="AI771" s="377"/>
      <c r="AJ771" s="407"/>
      <c r="AK771" s="377"/>
      <c r="AL771" s="314"/>
      <c r="AM771" s="314"/>
      <c r="AN771" s="314"/>
      <c r="AO771" s="315"/>
      <c r="AP771" s="257"/>
      <c r="AQ771" s="257"/>
      <c r="AR771" s="257"/>
      <c r="AS771" s="315"/>
      <c r="AT771" s="257"/>
      <c r="AU771" s="257"/>
      <c r="AV771" s="316"/>
      <c r="AW771" s="314"/>
      <c r="AX771" s="315"/>
      <c r="AY771" s="315"/>
      <c r="AZ771" s="315"/>
      <c r="BA771" s="315"/>
      <c r="BB771" s="315"/>
      <c r="BC771" s="315"/>
      <c r="BD771" s="319"/>
      <c r="BE771" s="319"/>
      <c r="BF771" s="319"/>
      <c r="BG771" s="319"/>
      <c r="BH771" s="319"/>
      <c r="BI771" s="319"/>
      <c r="BJ771" s="319"/>
      <c r="BK771" s="315"/>
      <c r="BL771" s="316"/>
      <c r="BM771" s="314"/>
      <c r="BN771" s="319"/>
      <c r="BO771" s="315"/>
      <c r="BP771" s="314"/>
      <c r="BQ771" s="316"/>
      <c r="BR771" s="314"/>
      <c r="BS771" s="262"/>
      <c r="BT771" s="262"/>
    </row>
    <row r="772" spans="1:72" ht="45.75" customHeight="1">
      <c r="A772" s="342"/>
      <c r="B772" s="342"/>
      <c r="C772" s="342"/>
      <c r="D772" s="343"/>
      <c r="E772" s="342"/>
      <c r="F772" s="342"/>
      <c r="G772" s="344"/>
      <c r="H772" s="344"/>
      <c r="I772" s="344"/>
      <c r="J772" s="334"/>
      <c r="K772" s="335"/>
      <c r="L772" s="336"/>
      <c r="M772" s="336"/>
      <c r="N772" s="337"/>
      <c r="O772" s="337"/>
      <c r="P772" s="315"/>
      <c r="Q772" s="314"/>
      <c r="R772" s="317"/>
      <c r="S772" s="315"/>
      <c r="T772" s="315"/>
      <c r="U772" s="315"/>
      <c r="V772" s="258"/>
      <c r="W772" s="322"/>
      <c r="X772" s="318"/>
      <c r="Y772" s="315"/>
      <c r="Z772" s="318"/>
      <c r="AA772" s="314"/>
      <c r="AB772" s="336"/>
      <c r="AC772" s="314"/>
      <c r="AD772" s="316"/>
      <c r="AE772" s="315"/>
      <c r="AF772" s="315"/>
      <c r="AG772" s="315"/>
      <c r="AH772" s="315"/>
      <c r="AI772" s="377"/>
      <c r="AJ772" s="407"/>
      <c r="AK772" s="377"/>
      <c r="AL772" s="314"/>
      <c r="AM772" s="314"/>
      <c r="AN772" s="314"/>
      <c r="AO772" s="315"/>
      <c r="AP772" s="257"/>
      <c r="AQ772" s="257"/>
      <c r="AR772" s="257"/>
      <c r="AS772" s="315"/>
      <c r="AT772" s="257"/>
      <c r="AU772" s="257"/>
      <c r="AV772" s="316"/>
      <c r="AW772" s="314"/>
      <c r="AX772" s="315"/>
      <c r="AY772" s="315"/>
      <c r="AZ772" s="315"/>
      <c r="BA772" s="315"/>
      <c r="BB772" s="315"/>
      <c r="BC772" s="315"/>
      <c r="BD772" s="319"/>
      <c r="BE772" s="319"/>
      <c r="BF772" s="319"/>
      <c r="BG772" s="319"/>
      <c r="BH772" s="319"/>
      <c r="BI772" s="319"/>
      <c r="BJ772" s="319"/>
      <c r="BK772" s="315"/>
      <c r="BL772" s="316"/>
      <c r="BM772" s="314"/>
      <c r="BN772" s="319"/>
      <c r="BO772" s="315"/>
      <c r="BP772" s="314"/>
      <c r="BQ772" s="316"/>
      <c r="BR772" s="314"/>
      <c r="BS772" s="262"/>
      <c r="BT772" s="262"/>
    </row>
    <row r="773" spans="1:72" ht="45.75" customHeight="1">
      <c r="A773" s="342"/>
      <c r="B773" s="342"/>
      <c r="C773" s="342"/>
      <c r="D773" s="343"/>
      <c r="E773" s="342"/>
      <c r="F773" s="342"/>
      <c r="G773" s="344"/>
      <c r="H773" s="344"/>
      <c r="I773" s="344"/>
      <c r="J773" s="334"/>
      <c r="K773" s="335"/>
      <c r="L773" s="336"/>
      <c r="M773" s="336"/>
      <c r="N773" s="337"/>
      <c r="O773" s="337"/>
      <c r="P773" s="315"/>
      <c r="Q773" s="314"/>
      <c r="R773" s="317"/>
      <c r="S773" s="315"/>
      <c r="T773" s="315"/>
      <c r="U773" s="315"/>
      <c r="V773" s="258"/>
      <c r="W773" s="322"/>
      <c r="X773" s="318"/>
      <c r="Y773" s="315"/>
      <c r="Z773" s="318"/>
      <c r="AA773" s="314"/>
      <c r="AB773" s="336"/>
      <c r="AC773" s="314"/>
      <c r="AD773" s="316"/>
      <c r="AE773" s="315"/>
      <c r="AF773" s="315"/>
      <c r="AG773" s="315"/>
      <c r="AH773" s="315"/>
      <c r="AI773" s="377"/>
      <c r="AJ773" s="407"/>
      <c r="AK773" s="377"/>
      <c r="AL773" s="314"/>
      <c r="AM773" s="314"/>
      <c r="AN773" s="314"/>
      <c r="AO773" s="315"/>
      <c r="AP773" s="257"/>
      <c r="AQ773" s="257"/>
      <c r="AR773" s="257"/>
      <c r="AS773" s="315"/>
      <c r="AT773" s="257"/>
      <c r="AU773" s="257"/>
      <c r="AV773" s="316"/>
      <c r="AW773" s="314"/>
      <c r="AX773" s="315"/>
      <c r="AY773" s="315"/>
      <c r="AZ773" s="315"/>
      <c r="BA773" s="315"/>
      <c r="BB773" s="315"/>
      <c r="BC773" s="315"/>
      <c r="BD773" s="319"/>
      <c r="BE773" s="319"/>
      <c r="BF773" s="319"/>
      <c r="BG773" s="319"/>
      <c r="BH773" s="319"/>
      <c r="BI773" s="319"/>
      <c r="BJ773" s="319"/>
      <c r="BK773" s="315"/>
      <c r="BL773" s="316"/>
      <c r="BM773" s="314"/>
      <c r="BN773" s="319"/>
      <c r="BO773" s="315"/>
      <c r="BP773" s="314"/>
      <c r="BQ773" s="316"/>
      <c r="BR773" s="314"/>
      <c r="BS773" s="262"/>
      <c r="BT773" s="262"/>
    </row>
    <row r="774" spans="1:72" ht="45.75" customHeight="1">
      <c r="A774" s="342"/>
      <c r="B774" s="342"/>
      <c r="C774" s="342"/>
      <c r="D774" s="343"/>
      <c r="E774" s="342"/>
      <c r="F774" s="342"/>
      <c r="G774" s="344"/>
      <c r="H774" s="344"/>
      <c r="I774" s="344"/>
      <c r="J774" s="334"/>
      <c r="K774" s="335"/>
      <c r="L774" s="336"/>
      <c r="M774" s="336"/>
      <c r="N774" s="337"/>
      <c r="O774" s="337"/>
      <c r="P774" s="315"/>
      <c r="Q774" s="314"/>
      <c r="R774" s="317"/>
      <c r="S774" s="315"/>
      <c r="T774" s="315"/>
      <c r="U774" s="315"/>
      <c r="V774" s="258"/>
      <c r="W774" s="322"/>
      <c r="X774" s="318"/>
      <c r="Y774" s="315"/>
      <c r="Z774" s="318"/>
      <c r="AA774" s="314"/>
      <c r="AB774" s="336"/>
      <c r="AC774" s="314"/>
      <c r="AD774" s="316"/>
      <c r="AE774" s="315"/>
      <c r="AF774" s="315"/>
      <c r="AG774" s="315"/>
      <c r="AH774" s="315"/>
      <c r="AI774" s="377"/>
      <c r="AJ774" s="407"/>
      <c r="AK774" s="377"/>
      <c r="AL774" s="314"/>
      <c r="AM774" s="314"/>
      <c r="AN774" s="314"/>
      <c r="AO774" s="315"/>
      <c r="AP774" s="257"/>
      <c r="AQ774" s="257"/>
      <c r="AR774" s="257"/>
      <c r="AS774" s="315"/>
      <c r="AT774" s="257"/>
      <c r="AU774" s="257"/>
      <c r="AV774" s="316"/>
      <c r="AW774" s="314"/>
      <c r="AX774" s="315"/>
      <c r="AY774" s="315"/>
      <c r="AZ774" s="315"/>
      <c r="BA774" s="315"/>
      <c r="BB774" s="315"/>
      <c r="BC774" s="315"/>
      <c r="BD774" s="319"/>
      <c r="BE774" s="319"/>
      <c r="BF774" s="319"/>
      <c r="BG774" s="319"/>
      <c r="BH774" s="319"/>
      <c r="BI774" s="319"/>
      <c r="BJ774" s="319"/>
      <c r="BK774" s="315"/>
      <c r="BL774" s="316"/>
      <c r="BM774" s="314"/>
      <c r="BN774" s="319"/>
      <c r="BO774" s="315"/>
      <c r="BP774" s="314"/>
      <c r="BQ774" s="316"/>
      <c r="BR774" s="314"/>
      <c r="BS774" s="262"/>
      <c r="BT774" s="262"/>
    </row>
    <row r="775" spans="1:72" ht="45.75" customHeight="1">
      <c r="A775" s="342"/>
      <c r="B775" s="342"/>
      <c r="C775" s="342"/>
      <c r="D775" s="343"/>
      <c r="E775" s="342"/>
      <c r="F775" s="342"/>
      <c r="G775" s="344"/>
      <c r="H775" s="344"/>
      <c r="I775" s="344"/>
      <c r="J775" s="334"/>
      <c r="K775" s="335"/>
      <c r="L775" s="336"/>
      <c r="M775" s="336"/>
      <c r="N775" s="337"/>
      <c r="O775" s="337"/>
      <c r="P775" s="315"/>
      <c r="Q775" s="314"/>
      <c r="R775" s="317"/>
      <c r="S775" s="315"/>
      <c r="T775" s="315"/>
      <c r="U775" s="315"/>
      <c r="V775" s="258"/>
      <c r="W775" s="322"/>
      <c r="X775" s="318"/>
      <c r="Y775" s="315"/>
      <c r="Z775" s="318"/>
      <c r="AA775" s="314"/>
      <c r="AB775" s="336"/>
      <c r="AC775" s="314"/>
      <c r="AD775" s="316"/>
      <c r="AE775" s="315"/>
      <c r="AF775" s="315"/>
      <c r="AG775" s="315"/>
      <c r="AH775" s="315"/>
      <c r="AI775" s="377"/>
      <c r="AJ775" s="407"/>
      <c r="AK775" s="377"/>
      <c r="AL775" s="314"/>
      <c r="AM775" s="314"/>
      <c r="AN775" s="314"/>
      <c r="AO775" s="315"/>
      <c r="AP775" s="257"/>
      <c r="AQ775" s="257"/>
      <c r="AR775" s="257"/>
      <c r="AS775" s="315"/>
      <c r="AT775" s="257"/>
      <c r="AU775" s="257"/>
      <c r="AV775" s="316"/>
      <c r="AW775" s="314"/>
      <c r="AX775" s="315"/>
      <c r="AY775" s="315"/>
      <c r="AZ775" s="315"/>
      <c r="BA775" s="315"/>
      <c r="BB775" s="315"/>
      <c r="BC775" s="315"/>
      <c r="BD775" s="319"/>
      <c r="BE775" s="319"/>
      <c r="BF775" s="319"/>
      <c r="BG775" s="319"/>
      <c r="BH775" s="319"/>
      <c r="BI775" s="319"/>
      <c r="BJ775" s="319"/>
      <c r="BK775" s="315"/>
      <c r="BL775" s="316"/>
      <c r="BM775" s="314"/>
      <c r="BN775" s="319"/>
      <c r="BO775" s="315"/>
      <c r="BP775" s="314"/>
      <c r="BQ775" s="316"/>
      <c r="BR775" s="314"/>
      <c r="BS775" s="262"/>
      <c r="BT775" s="262"/>
    </row>
    <row r="776" spans="1:72" ht="45.75" customHeight="1">
      <c r="A776" s="342"/>
      <c r="B776" s="342"/>
      <c r="C776" s="342"/>
      <c r="D776" s="343"/>
      <c r="E776" s="342"/>
      <c r="F776" s="342"/>
      <c r="G776" s="344"/>
      <c r="H776" s="344"/>
      <c r="I776" s="344"/>
      <c r="J776" s="334"/>
      <c r="K776" s="335"/>
      <c r="L776" s="336"/>
      <c r="M776" s="336"/>
      <c r="N776" s="337"/>
      <c r="O776" s="337"/>
      <c r="P776" s="315"/>
      <c r="Q776" s="314"/>
      <c r="R776" s="317"/>
      <c r="S776" s="315"/>
      <c r="T776" s="315"/>
      <c r="U776" s="315"/>
      <c r="V776" s="258"/>
      <c r="W776" s="322"/>
      <c r="X776" s="318"/>
      <c r="Y776" s="315"/>
      <c r="Z776" s="318"/>
      <c r="AA776" s="314"/>
      <c r="AB776" s="336"/>
      <c r="AC776" s="314"/>
      <c r="AD776" s="316"/>
      <c r="AE776" s="315"/>
      <c r="AF776" s="315"/>
      <c r="AG776" s="315"/>
      <c r="AH776" s="315"/>
      <c r="AI776" s="377"/>
      <c r="AJ776" s="407"/>
      <c r="AK776" s="377"/>
      <c r="AL776" s="314"/>
      <c r="AM776" s="314"/>
      <c r="AN776" s="314"/>
      <c r="AO776" s="315"/>
      <c r="AP776" s="257"/>
      <c r="AQ776" s="257"/>
      <c r="AR776" s="257"/>
      <c r="AS776" s="315"/>
      <c r="AT776" s="257"/>
      <c r="AU776" s="257"/>
      <c r="AV776" s="316"/>
      <c r="AW776" s="314"/>
      <c r="AX776" s="315"/>
      <c r="AY776" s="315"/>
      <c r="AZ776" s="315"/>
      <c r="BA776" s="315"/>
      <c r="BB776" s="315"/>
      <c r="BC776" s="315"/>
      <c r="BD776" s="319"/>
      <c r="BE776" s="319"/>
      <c r="BF776" s="319"/>
      <c r="BG776" s="319"/>
      <c r="BH776" s="319"/>
      <c r="BI776" s="319"/>
      <c r="BJ776" s="319"/>
      <c r="BK776" s="315"/>
      <c r="BL776" s="316"/>
      <c r="BM776" s="314"/>
      <c r="BN776" s="319"/>
      <c r="BO776" s="315"/>
      <c r="BP776" s="314"/>
      <c r="BQ776" s="316"/>
      <c r="BR776" s="314"/>
      <c r="BS776" s="262"/>
      <c r="BT776" s="262"/>
    </row>
    <row r="777" spans="1:72" ht="45.75" customHeight="1">
      <c r="A777" s="342"/>
      <c r="B777" s="342"/>
      <c r="C777" s="342"/>
      <c r="D777" s="343"/>
      <c r="E777" s="342"/>
      <c r="F777" s="342"/>
      <c r="G777" s="344"/>
      <c r="H777" s="344"/>
      <c r="I777" s="344"/>
      <c r="J777" s="334"/>
      <c r="K777" s="335"/>
      <c r="L777" s="336"/>
      <c r="M777" s="336"/>
      <c r="N777" s="337"/>
      <c r="O777" s="337"/>
      <c r="P777" s="315"/>
      <c r="Q777" s="314"/>
      <c r="R777" s="317"/>
      <c r="S777" s="315"/>
      <c r="T777" s="315"/>
      <c r="U777" s="315"/>
      <c r="V777" s="258"/>
      <c r="W777" s="322"/>
      <c r="X777" s="318"/>
      <c r="Y777" s="315"/>
      <c r="Z777" s="318"/>
      <c r="AA777" s="314"/>
      <c r="AB777" s="336"/>
      <c r="AC777" s="314"/>
      <c r="AD777" s="316"/>
      <c r="AE777" s="315"/>
      <c r="AF777" s="315"/>
      <c r="AG777" s="315"/>
      <c r="AH777" s="315"/>
      <c r="AI777" s="377"/>
      <c r="AJ777" s="407"/>
      <c r="AK777" s="377"/>
      <c r="AL777" s="314"/>
      <c r="AM777" s="314"/>
      <c r="AN777" s="314"/>
      <c r="AO777" s="315"/>
      <c r="AP777" s="257"/>
      <c r="AQ777" s="257"/>
      <c r="AR777" s="257"/>
      <c r="AS777" s="315"/>
      <c r="AT777" s="257"/>
      <c r="AU777" s="257"/>
      <c r="AV777" s="316"/>
      <c r="AW777" s="314"/>
      <c r="AX777" s="315"/>
      <c r="AY777" s="315"/>
      <c r="AZ777" s="315"/>
      <c r="BA777" s="315"/>
      <c r="BB777" s="315"/>
      <c r="BC777" s="315"/>
      <c r="BD777" s="319"/>
      <c r="BE777" s="319"/>
      <c r="BF777" s="319"/>
      <c r="BG777" s="319"/>
      <c r="BH777" s="319"/>
      <c r="BI777" s="319"/>
      <c r="BJ777" s="319"/>
      <c r="BK777" s="315"/>
      <c r="BL777" s="316"/>
      <c r="BM777" s="314"/>
      <c r="BN777" s="319"/>
      <c r="BO777" s="315"/>
      <c r="BP777" s="314"/>
      <c r="BQ777" s="316"/>
      <c r="BR777" s="314"/>
      <c r="BS777" s="262"/>
      <c r="BT777" s="262"/>
    </row>
    <row r="778" spans="1:72" ht="45.75" customHeight="1">
      <c r="A778" s="342"/>
      <c r="B778" s="342"/>
      <c r="C778" s="342"/>
      <c r="D778" s="343"/>
      <c r="E778" s="342"/>
      <c r="F778" s="342"/>
      <c r="G778" s="344"/>
      <c r="H778" s="344"/>
      <c r="I778" s="344"/>
      <c r="J778" s="334"/>
      <c r="K778" s="335"/>
      <c r="L778" s="336"/>
      <c r="M778" s="336"/>
      <c r="N778" s="337"/>
      <c r="O778" s="337"/>
      <c r="P778" s="315"/>
      <c r="Q778" s="314"/>
      <c r="R778" s="317"/>
      <c r="S778" s="315"/>
      <c r="T778" s="315"/>
      <c r="U778" s="315"/>
      <c r="V778" s="258"/>
      <c r="W778" s="322"/>
      <c r="X778" s="318"/>
      <c r="Y778" s="315"/>
      <c r="Z778" s="318"/>
      <c r="AA778" s="314"/>
      <c r="AB778" s="336"/>
      <c r="AC778" s="314"/>
      <c r="AD778" s="316"/>
      <c r="AE778" s="315"/>
      <c r="AF778" s="315"/>
      <c r="AG778" s="315"/>
      <c r="AH778" s="315"/>
      <c r="AI778" s="377"/>
      <c r="AJ778" s="407"/>
      <c r="AK778" s="377"/>
      <c r="AL778" s="314"/>
      <c r="AM778" s="314"/>
      <c r="AN778" s="314"/>
      <c r="AO778" s="315"/>
      <c r="AP778" s="257"/>
      <c r="AQ778" s="257"/>
      <c r="AR778" s="257"/>
      <c r="AS778" s="315"/>
      <c r="AT778" s="257"/>
      <c r="AU778" s="257"/>
      <c r="AV778" s="316"/>
      <c r="AW778" s="314"/>
      <c r="AX778" s="315"/>
      <c r="AY778" s="315"/>
      <c r="AZ778" s="315"/>
      <c r="BA778" s="315"/>
      <c r="BB778" s="315"/>
      <c r="BC778" s="315"/>
      <c r="BD778" s="319"/>
      <c r="BE778" s="319"/>
      <c r="BF778" s="319"/>
      <c r="BG778" s="319"/>
      <c r="BH778" s="319"/>
      <c r="BI778" s="319"/>
      <c r="BJ778" s="319"/>
      <c r="BK778" s="315"/>
      <c r="BL778" s="316"/>
      <c r="BM778" s="314"/>
      <c r="BN778" s="319"/>
      <c r="BO778" s="315"/>
      <c r="BP778" s="314"/>
      <c r="BQ778" s="316"/>
      <c r="BR778" s="314"/>
      <c r="BS778" s="262"/>
      <c r="BT778" s="262"/>
    </row>
    <row r="779" spans="1:72" ht="45.75" customHeight="1">
      <c r="A779" s="342"/>
      <c r="B779" s="342"/>
      <c r="C779" s="342"/>
      <c r="D779" s="343"/>
      <c r="E779" s="342"/>
      <c r="F779" s="342"/>
      <c r="G779" s="344"/>
      <c r="H779" s="344"/>
      <c r="I779" s="344"/>
      <c r="J779" s="334"/>
      <c r="K779" s="335"/>
      <c r="L779" s="336"/>
      <c r="M779" s="336"/>
      <c r="N779" s="337"/>
      <c r="O779" s="337"/>
      <c r="P779" s="315"/>
      <c r="Q779" s="314"/>
      <c r="R779" s="317"/>
      <c r="S779" s="315"/>
      <c r="T779" s="315"/>
      <c r="U779" s="315"/>
      <c r="V779" s="258"/>
      <c r="W779" s="322"/>
      <c r="X779" s="318"/>
      <c r="Y779" s="315"/>
      <c r="Z779" s="318"/>
      <c r="AA779" s="314"/>
      <c r="AB779" s="336"/>
      <c r="AC779" s="314"/>
      <c r="AD779" s="316"/>
      <c r="AE779" s="315"/>
      <c r="AF779" s="315"/>
      <c r="AG779" s="315"/>
      <c r="AH779" s="315"/>
      <c r="AI779" s="377"/>
      <c r="AJ779" s="407"/>
      <c r="AK779" s="377"/>
      <c r="AL779" s="314"/>
      <c r="AM779" s="314"/>
      <c r="AN779" s="314"/>
      <c r="AO779" s="315"/>
      <c r="AP779" s="257"/>
      <c r="AQ779" s="257"/>
      <c r="AR779" s="257"/>
      <c r="AS779" s="315"/>
      <c r="AT779" s="257"/>
      <c r="AU779" s="257"/>
      <c r="AV779" s="316"/>
      <c r="AW779" s="314"/>
      <c r="AX779" s="315"/>
      <c r="AY779" s="315"/>
      <c r="AZ779" s="315"/>
      <c r="BA779" s="315"/>
      <c r="BB779" s="315"/>
      <c r="BC779" s="315"/>
      <c r="BD779" s="319"/>
      <c r="BE779" s="319"/>
      <c r="BF779" s="319"/>
      <c r="BG779" s="319"/>
      <c r="BH779" s="319"/>
      <c r="BI779" s="319"/>
      <c r="BJ779" s="319"/>
      <c r="BK779" s="315"/>
      <c r="BL779" s="316"/>
      <c r="BM779" s="314"/>
      <c r="BN779" s="319"/>
      <c r="BO779" s="315"/>
      <c r="BP779" s="314"/>
      <c r="BQ779" s="316"/>
      <c r="BR779" s="314"/>
      <c r="BS779" s="262"/>
      <c r="BT779" s="262"/>
    </row>
    <row r="780" spans="1:72" ht="45.75" customHeight="1">
      <c r="A780" s="342"/>
      <c r="B780" s="342"/>
      <c r="C780" s="342"/>
      <c r="D780" s="343"/>
      <c r="E780" s="342"/>
      <c r="F780" s="342"/>
      <c r="G780" s="344"/>
      <c r="H780" s="344"/>
      <c r="I780" s="344"/>
      <c r="J780" s="334"/>
      <c r="K780" s="335"/>
      <c r="L780" s="336"/>
      <c r="M780" s="336"/>
      <c r="N780" s="337"/>
      <c r="O780" s="337"/>
      <c r="P780" s="315"/>
      <c r="Q780" s="314"/>
      <c r="R780" s="317"/>
      <c r="S780" s="315"/>
      <c r="T780" s="315"/>
      <c r="U780" s="315"/>
      <c r="V780" s="258"/>
      <c r="W780" s="322"/>
      <c r="X780" s="318"/>
      <c r="Y780" s="315"/>
      <c r="Z780" s="318"/>
      <c r="AA780" s="314"/>
      <c r="AB780" s="336"/>
      <c r="AC780" s="314"/>
      <c r="AD780" s="316"/>
      <c r="AE780" s="315"/>
      <c r="AF780" s="315"/>
      <c r="AG780" s="315"/>
      <c r="AH780" s="315"/>
      <c r="AI780" s="377"/>
      <c r="AJ780" s="407"/>
      <c r="AK780" s="377"/>
      <c r="AL780" s="314"/>
      <c r="AM780" s="314"/>
      <c r="AN780" s="314"/>
      <c r="AO780" s="315"/>
      <c r="AP780" s="257"/>
      <c r="AQ780" s="257"/>
      <c r="AR780" s="257"/>
      <c r="AS780" s="315"/>
      <c r="AT780" s="257"/>
      <c r="AU780" s="257"/>
      <c r="AV780" s="316"/>
      <c r="AW780" s="314"/>
      <c r="AX780" s="315"/>
      <c r="AY780" s="315"/>
      <c r="AZ780" s="315"/>
      <c r="BA780" s="315"/>
      <c r="BB780" s="315"/>
      <c r="BC780" s="315"/>
      <c r="BD780" s="319"/>
      <c r="BE780" s="319"/>
      <c r="BF780" s="319"/>
      <c r="BG780" s="319"/>
      <c r="BH780" s="319"/>
      <c r="BI780" s="319"/>
      <c r="BJ780" s="319"/>
      <c r="BK780" s="315"/>
      <c r="BL780" s="316"/>
      <c r="BM780" s="314"/>
      <c r="BN780" s="319"/>
      <c r="BO780" s="315"/>
      <c r="BP780" s="314"/>
      <c r="BQ780" s="316"/>
      <c r="BR780" s="314"/>
      <c r="BS780" s="262"/>
      <c r="BT780" s="262"/>
    </row>
    <row r="781" spans="1:72" ht="45.75" customHeight="1">
      <c r="A781" s="342"/>
      <c r="B781" s="342"/>
      <c r="C781" s="342"/>
      <c r="D781" s="343"/>
      <c r="E781" s="342"/>
      <c r="F781" s="342"/>
      <c r="G781" s="344"/>
      <c r="H781" s="344"/>
      <c r="I781" s="344"/>
      <c r="J781" s="334"/>
      <c r="K781" s="335"/>
      <c r="L781" s="336"/>
      <c r="M781" s="336"/>
      <c r="N781" s="337"/>
      <c r="O781" s="337"/>
      <c r="P781" s="315"/>
      <c r="Q781" s="314"/>
      <c r="R781" s="317"/>
      <c r="S781" s="315"/>
      <c r="T781" s="315"/>
      <c r="U781" s="315"/>
      <c r="V781" s="258"/>
      <c r="W781" s="322"/>
      <c r="X781" s="318"/>
      <c r="Y781" s="315"/>
      <c r="Z781" s="318"/>
      <c r="AA781" s="314"/>
      <c r="AB781" s="336"/>
      <c r="AC781" s="314"/>
      <c r="AD781" s="316"/>
      <c r="AE781" s="315"/>
      <c r="AF781" s="315"/>
      <c r="AG781" s="315"/>
      <c r="AH781" s="315"/>
      <c r="AI781" s="377"/>
      <c r="AJ781" s="407"/>
      <c r="AK781" s="377"/>
      <c r="AL781" s="314"/>
      <c r="AM781" s="314"/>
      <c r="AN781" s="314"/>
      <c r="AO781" s="315"/>
      <c r="AP781" s="257"/>
      <c r="AQ781" s="257"/>
      <c r="AR781" s="257"/>
      <c r="AS781" s="315"/>
      <c r="AT781" s="257"/>
      <c r="AU781" s="257"/>
      <c r="AV781" s="316"/>
      <c r="AW781" s="314"/>
      <c r="AX781" s="315"/>
      <c r="AY781" s="315"/>
      <c r="AZ781" s="315"/>
      <c r="BA781" s="315"/>
      <c r="BB781" s="315"/>
      <c r="BC781" s="315"/>
      <c r="BD781" s="319"/>
      <c r="BE781" s="319"/>
      <c r="BF781" s="319"/>
      <c r="BG781" s="319"/>
      <c r="BH781" s="319"/>
      <c r="BI781" s="319"/>
      <c r="BJ781" s="319"/>
      <c r="BK781" s="315"/>
      <c r="BL781" s="316"/>
      <c r="BM781" s="314"/>
      <c r="BN781" s="319"/>
      <c r="BO781" s="315"/>
      <c r="BP781" s="314"/>
      <c r="BQ781" s="316"/>
      <c r="BR781" s="314"/>
      <c r="BS781" s="262"/>
      <c r="BT781" s="262"/>
    </row>
    <row r="782" spans="1:72" ht="45.75" customHeight="1">
      <c r="A782" s="342"/>
      <c r="B782" s="342"/>
      <c r="C782" s="342"/>
      <c r="D782" s="343"/>
      <c r="E782" s="342"/>
      <c r="F782" s="342"/>
      <c r="G782" s="344"/>
      <c r="H782" s="344"/>
      <c r="I782" s="344"/>
      <c r="J782" s="334"/>
      <c r="K782" s="335"/>
      <c r="L782" s="336"/>
      <c r="M782" s="336"/>
      <c r="N782" s="337"/>
      <c r="O782" s="337"/>
      <c r="P782" s="315"/>
      <c r="Q782" s="314"/>
      <c r="R782" s="317"/>
      <c r="S782" s="315"/>
      <c r="T782" s="315"/>
      <c r="U782" s="315"/>
      <c r="V782" s="258"/>
      <c r="W782" s="322"/>
      <c r="X782" s="318"/>
      <c r="Y782" s="315"/>
      <c r="Z782" s="318"/>
      <c r="AA782" s="314"/>
      <c r="AB782" s="336"/>
      <c r="AC782" s="314"/>
      <c r="AD782" s="316"/>
      <c r="AE782" s="315"/>
      <c r="AF782" s="315"/>
      <c r="AG782" s="315"/>
      <c r="AH782" s="315"/>
      <c r="AI782" s="377"/>
      <c r="AJ782" s="407"/>
      <c r="AK782" s="377"/>
      <c r="AL782" s="314"/>
      <c r="AM782" s="314"/>
      <c r="AN782" s="314"/>
      <c r="AO782" s="315"/>
      <c r="AP782" s="257"/>
      <c r="AQ782" s="257"/>
      <c r="AR782" s="257"/>
      <c r="AS782" s="315"/>
      <c r="AT782" s="257"/>
      <c r="AU782" s="257"/>
      <c r="AV782" s="316"/>
      <c r="AW782" s="314"/>
      <c r="AX782" s="315"/>
      <c r="AY782" s="315"/>
      <c r="AZ782" s="315"/>
      <c r="BA782" s="315"/>
      <c r="BB782" s="315"/>
      <c r="BC782" s="315"/>
      <c r="BD782" s="319"/>
      <c r="BE782" s="319"/>
      <c r="BF782" s="319"/>
      <c r="BG782" s="319"/>
      <c r="BH782" s="319"/>
      <c r="BI782" s="319"/>
      <c r="BJ782" s="319"/>
      <c r="BK782" s="315"/>
      <c r="BL782" s="316"/>
      <c r="BM782" s="314"/>
      <c r="BN782" s="319"/>
      <c r="BO782" s="315"/>
      <c r="BP782" s="314"/>
      <c r="BQ782" s="316"/>
      <c r="BR782" s="314"/>
      <c r="BS782" s="262"/>
      <c r="BT782" s="262"/>
    </row>
    <row r="783" spans="1:72" ht="45.75" customHeight="1">
      <c r="A783" s="342"/>
      <c r="B783" s="342"/>
      <c r="C783" s="342"/>
      <c r="D783" s="343"/>
      <c r="E783" s="342"/>
      <c r="F783" s="342"/>
      <c r="G783" s="344"/>
      <c r="H783" s="344"/>
      <c r="I783" s="344"/>
      <c r="J783" s="334"/>
      <c r="K783" s="335"/>
      <c r="L783" s="336"/>
      <c r="M783" s="336"/>
      <c r="N783" s="337"/>
      <c r="O783" s="337"/>
      <c r="P783" s="315"/>
      <c r="Q783" s="314"/>
      <c r="R783" s="317"/>
      <c r="S783" s="315"/>
      <c r="T783" s="315"/>
      <c r="U783" s="315"/>
      <c r="V783" s="258"/>
      <c r="W783" s="322"/>
      <c r="X783" s="318"/>
      <c r="Y783" s="315"/>
      <c r="Z783" s="318"/>
      <c r="AA783" s="314"/>
      <c r="AB783" s="336"/>
      <c r="AC783" s="314"/>
      <c r="AD783" s="316"/>
      <c r="AE783" s="315"/>
      <c r="AF783" s="315"/>
      <c r="AG783" s="315"/>
      <c r="AH783" s="315"/>
      <c r="AI783" s="377"/>
      <c r="AJ783" s="407"/>
      <c r="AK783" s="377"/>
      <c r="AL783" s="314"/>
      <c r="AM783" s="314"/>
      <c r="AN783" s="314"/>
      <c r="AO783" s="315"/>
      <c r="AP783" s="257"/>
      <c r="AQ783" s="257"/>
      <c r="AR783" s="257"/>
      <c r="AS783" s="315"/>
      <c r="AT783" s="257"/>
      <c r="AU783" s="257"/>
      <c r="AV783" s="316"/>
      <c r="AW783" s="314"/>
      <c r="AX783" s="315"/>
      <c r="AY783" s="315"/>
      <c r="AZ783" s="315"/>
      <c r="BA783" s="315"/>
      <c r="BB783" s="315"/>
      <c r="BC783" s="315"/>
      <c r="BD783" s="319"/>
      <c r="BE783" s="319"/>
      <c r="BF783" s="319"/>
      <c r="BG783" s="319"/>
      <c r="BH783" s="319"/>
      <c r="BI783" s="319"/>
      <c r="BJ783" s="319"/>
      <c r="BK783" s="315"/>
      <c r="BL783" s="316"/>
      <c r="BM783" s="314"/>
      <c r="BN783" s="319"/>
      <c r="BO783" s="315"/>
      <c r="BP783" s="314"/>
      <c r="BQ783" s="316"/>
      <c r="BR783" s="314"/>
      <c r="BS783" s="262"/>
      <c r="BT783" s="262"/>
    </row>
    <row r="784" spans="1:72" ht="45.75" customHeight="1">
      <c r="A784" s="342"/>
      <c r="B784" s="342"/>
      <c r="C784" s="342"/>
      <c r="D784" s="343"/>
      <c r="E784" s="342"/>
      <c r="F784" s="342"/>
      <c r="G784" s="344"/>
      <c r="H784" s="344"/>
      <c r="I784" s="344"/>
      <c r="J784" s="334"/>
      <c r="K784" s="335"/>
      <c r="L784" s="336"/>
      <c r="M784" s="336"/>
      <c r="N784" s="337"/>
      <c r="O784" s="337"/>
      <c r="P784" s="315"/>
      <c r="Q784" s="314"/>
      <c r="R784" s="317"/>
      <c r="S784" s="315"/>
      <c r="T784" s="315"/>
      <c r="U784" s="315"/>
      <c r="V784" s="258"/>
      <c r="W784" s="322"/>
      <c r="X784" s="318"/>
      <c r="Y784" s="315"/>
      <c r="Z784" s="318"/>
      <c r="AA784" s="314"/>
      <c r="AB784" s="336"/>
      <c r="AC784" s="314"/>
      <c r="AD784" s="316"/>
      <c r="AE784" s="315"/>
      <c r="AF784" s="315"/>
      <c r="AG784" s="315"/>
      <c r="AH784" s="315"/>
      <c r="AI784" s="377"/>
      <c r="AJ784" s="407"/>
      <c r="AK784" s="377"/>
      <c r="AL784" s="314"/>
      <c r="AM784" s="314"/>
      <c r="AN784" s="314"/>
      <c r="AO784" s="315"/>
      <c r="AP784" s="257"/>
      <c r="AQ784" s="257"/>
      <c r="AR784" s="257"/>
      <c r="AS784" s="315"/>
      <c r="AT784" s="257"/>
      <c r="AU784" s="257"/>
      <c r="AV784" s="316"/>
      <c r="AW784" s="314"/>
      <c r="AX784" s="315"/>
      <c r="AY784" s="315"/>
      <c r="AZ784" s="315"/>
      <c r="BA784" s="315"/>
      <c r="BB784" s="315"/>
      <c r="BC784" s="315"/>
      <c r="BD784" s="319"/>
      <c r="BE784" s="319"/>
      <c r="BF784" s="319"/>
      <c r="BG784" s="319"/>
      <c r="BH784" s="319"/>
      <c r="BI784" s="319"/>
      <c r="BJ784" s="319"/>
      <c r="BK784" s="315"/>
      <c r="BL784" s="316"/>
      <c r="BM784" s="314"/>
      <c r="BN784" s="319"/>
      <c r="BO784" s="315"/>
      <c r="BP784" s="314"/>
      <c r="BQ784" s="316"/>
      <c r="BR784" s="314"/>
      <c r="BS784" s="262"/>
      <c r="BT784" s="262"/>
    </row>
    <row r="785" spans="1:72" ht="45.75" customHeight="1">
      <c r="A785" s="342"/>
      <c r="B785" s="342"/>
      <c r="C785" s="342"/>
      <c r="D785" s="343"/>
      <c r="E785" s="342"/>
      <c r="F785" s="342"/>
      <c r="G785" s="344"/>
      <c r="H785" s="344"/>
      <c r="I785" s="344"/>
      <c r="J785" s="334"/>
      <c r="K785" s="335"/>
      <c r="L785" s="336"/>
      <c r="M785" s="336"/>
      <c r="N785" s="337"/>
      <c r="O785" s="337"/>
      <c r="P785" s="315"/>
      <c r="Q785" s="314"/>
      <c r="R785" s="317"/>
      <c r="S785" s="315"/>
      <c r="T785" s="315"/>
      <c r="U785" s="315"/>
      <c r="V785" s="258"/>
      <c r="W785" s="322"/>
      <c r="X785" s="318"/>
      <c r="Y785" s="315"/>
      <c r="Z785" s="318"/>
      <c r="AA785" s="314"/>
      <c r="AB785" s="336"/>
      <c r="AC785" s="314"/>
      <c r="AD785" s="316"/>
      <c r="AE785" s="315"/>
      <c r="AF785" s="315"/>
      <c r="AG785" s="315"/>
      <c r="AH785" s="315"/>
      <c r="AI785" s="377"/>
      <c r="AJ785" s="407"/>
      <c r="AK785" s="377"/>
      <c r="AL785" s="314"/>
      <c r="AM785" s="314"/>
      <c r="AN785" s="314"/>
      <c r="AO785" s="315"/>
      <c r="AP785" s="257"/>
      <c r="AQ785" s="257"/>
      <c r="AR785" s="257"/>
      <c r="AS785" s="315"/>
      <c r="AT785" s="257"/>
      <c r="AU785" s="257"/>
      <c r="AV785" s="316"/>
      <c r="AW785" s="314"/>
      <c r="AX785" s="315"/>
      <c r="AY785" s="315"/>
      <c r="AZ785" s="315"/>
      <c r="BA785" s="315"/>
      <c r="BB785" s="315"/>
      <c r="BC785" s="315"/>
      <c r="BD785" s="319"/>
      <c r="BE785" s="319"/>
      <c r="BF785" s="319"/>
      <c r="BG785" s="319"/>
      <c r="BH785" s="319"/>
      <c r="BI785" s="319"/>
      <c r="BJ785" s="319"/>
      <c r="BK785" s="315"/>
      <c r="BL785" s="316"/>
      <c r="BM785" s="314"/>
      <c r="BN785" s="319"/>
      <c r="BO785" s="315"/>
      <c r="BP785" s="314"/>
      <c r="BQ785" s="316"/>
      <c r="BR785" s="314"/>
      <c r="BS785" s="262"/>
      <c r="BT785" s="262"/>
    </row>
    <row r="786" spans="1:72" ht="45.75" customHeight="1">
      <c r="A786" s="342"/>
      <c r="B786" s="342"/>
      <c r="C786" s="342"/>
      <c r="D786" s="343"/>
      <c r="E786" s="342"/>
      <c r="F786" s="342"/>
      <c r="G786" s="344"/>
      <c r="H786" s="344"/>
      <c r="I786" s="344"/>
      <c r="J786" s="334"/>
      <c r="K786" s="335"/>
      <c r="L786" s="336"/>
      <c r="M786" s="336"/>
      <c r="N786" s="337"/>
      <c r="O786" s="337"/>
      <c r="P786" s="315"/>
      <c r="Q786" s="314"/>
      <c r="R786" s="317"/>
      <c r="S786" s="315"/>
      <c r="T786" s="315"/>
      <c r="U786" s="315"/>
      <c r="V786" s="258"/>
      <c r="W786" s="322"/>
      <c r="X786" s="318"/>
      <c r="Y786" s="315"/>
      <c r="Z786" s="318"/>
      <c r="AA786" s="314"/>
      <c r="AB786" s="336"/>
      <c r="AC786" s="314"/>
      <c r="AD786" s="316"/>
      <c r="AE786" s="315"/>
      <c r="AF786" s="315"/>
      <c r="AG786" s="315"/>
      <c r="AH786" s="315"/>
      <c r="AI786" s="377"/>
      <c r="AJ786" s="407"/>
      <c r="AK786" s="377"/>
      <c r="AL786" s="314"/>
      <c r="AM786" s="314"/>
      <c r="AN786" s="314"/>
      <c r="AO786" s="315"/>
      <c r="AP786" s="257"/>
      <c r="AQ786" s="257"/>
      <c r="AR786" s="257"/>
      <c r="AS786" s="315"/>
      <c r="AT786" s="257"/>
      <c r="AU786" s="257"/>
      <c r="AV786" s="316"/>
      <c r="AW786" s="314"/>
      <c r="AX786" s="315"/>
      <c r="AY786" s="315"/>
      <c r="AZ786" s="315"/>
      <c r="BA786" s="315"/>
      <c r="BB786" s="315"/>
      <c r="BC786" s="315"/>
      <c r="BD786" s="319"/>
      <c r="BE786" s="319"/>
      <c r="BF786" s="319"/>
      <c r="BG786" s="319"/>
      <c r="BH786" s="319"/>
      <c r="BI786" s="319"/>
      <c r="BJ786" s="319"/>
      <c r="BK786" s="315"/>
      <c r="BL786" s="316"/>
      <c r="BM786" s="314"/>
      <c r="BN786" s="319"/>
      <c r="BO786" s="315"/>
      <c r="BP786" s="314"/>
      <c r="BQ786" s="316"/>
      <c r="BR786" s="314"/>
      <c r="BS786" s="262"/>
      <c r="BT786" s="262"/>
    </row>
    <row r="787" spans="1:72" ht="45.75" customHeight="1">
      <c r="A787" s="342"/>
      <c r="B787" s="342"/>
      <c r="C787" s="342"/>
      <c r="D787" s="343"/>
      <c r="E787" s="342"/>
      <c r="F787" s="342"/>
      <c r="G787" s="344"/>
      <c r="H787" s="344"/>
      <c r="I787" s="344"/>
      <c r="J787" s="334"/>
      <c r="K787" s="335"/>
      <c r="L787" s="336"/>
      <c r="M787" s="336"/>
      <c r="N787" s="337"/>
      <c r="O787" s="337"/>
      <c r="P787" s="315"/>
      <c r="Q787" s="314"/>
      <c r="R787" s="317"/>
      <c r="S787" s="315"/>
      <c r="T787" s="315"/>
      <c r="U787" s="315"/>
      <c r="V787" s="258"/>
      <c r="W787" s="322"/>
      <c r="X787" s="318"/>
      <c r="Y787" s="315"/>
      <c r="Z787" s="318"/>
      <c r="AA787" s="314"/>
      <c r="AB787" s="336"/>
      <c r="AC787" s="314"/>
      <c r="AD787" s="316"/>
      <c r="AE787" s="315"/>
      <c r="AF787" s="315"/>
      <c r="AG787" s="315"/>
      <c r="AH787" s="315"/>
      <c r="AI787" s="377"/>
      <c r="AJ787" s="407"/>
      <c r="AK787" s="377"/>
      <c r="AL787" s="314"/>
      <c r="AM787" s="314"/>
      <c r="AN787" s="314"/>
      <c r="AO787" s="315"/>
      <c r="AP787" s="257"/>
      <c r="AQ787" s="257"/>
      <c r="AR787" s="257"/>
      <c r="AS787" s="315"/>
      <c r="AT787" s="257"/>
      <c r="AU787" s="257"/>
      <c r="AV787" s="316"/>
      <c r="AW787" s="314"/>
      <c r="AX787" s="315"/>
      <c r="AY787" s="315"/>
      <c r="AZ787" s="315"/>
      <c r="BA787" s="315"/>
      <c r="BB787" s="315"/>
      <c r="BC787" s="315"/>
      <c r="BD787" s="319"/>
      <c r="BE787" s="319"/>
      <c r="BF787" s="319"/>
      <c r="BG787" s="319"/>
      <c r="BH787" s="319"/>
      <c r="BI787" s="319"/>
      <c r="BJ787" s="319"/>
      <c r="BK787" s="315"/>
      <c r="BL787" s="316"/>
      <c r="BM787" s="314"/>
      <c r="BN787" s="319"/>
      <c r="BO787" s="315"/>
      <c r="BP787" s="314"/>
      <c r="BQ787" s="316"/>
      <c r="BR787" s="314"/>
      <c r="BS787" s="262"/>
      <c r="BT787" s="262"/>
    </row>
    <row r="788" spans="1:72" ht="45.75" customHeight="1">
      <c r="A788" s="342"/>
      <c r="B788" s="342"/>
      <c r="C788" s="342"/>
      <c r="D788" s="343"/>
      <c r="E788" s="342"/>
      <c r="F788" s="342"/>
      <c r="G788" s="344"/>
      <c r="H788" s="344"/>
      <c r="I788" s="344"/>
      <c r="J788" s="334"/>
      <c r="K788" s="335"/>
      <c r="L788" s="336"/>
      <c r="M788" s="336"/>
      <c r="N788" s="337"/>
      <c r="O788" s="337"/>
      <c r="P788" s="315"/>
      <c r="Q788" s="314"/>
      <c r="R788" s="317"/>
      <c r="S788" s="315"/>
      <c r="T788" s="315"/>
      <c r="U788" s="315"/>
      <c r="V788" s="258"/>
      <c r="W788" s="322"/>
      <c r="X788" s="318"/>
      <c r="Y788" s="315"/>
      <c r="Z788" s="318"/>
      <c r="AA788" s="314"/>
      <c r="AB788" s="336"/>
      <c r="AC788" s="314"/>
      <c r="AD788" s="316"/>
      <c r="AE788" s="315"/>
      <c r="AF788" s="315"/>
      <c r="AG788" s="315"/>
      <c r="AH788" s="315"/>
      <c r="AI788" s="377"/>
      <c r="AJ788" s="407"/>
      <c r="AK788" s="377"/>
      <c r="AL788" s="314"/>
      <c r="AM788" s="314"/>
      <c r="AN788" s="314"/>
      <c r="AO788" s="315"/>
      <c r="AP788" s="257"/>
      <c r="AQ788" s="257"/>
      <c r="AR788" s="257"/>
      <c r="AS788" s="315"/>
      <c r="AT788" s="257"/>
      <c r="AU788" s="257"/>
      <c r="AV788" s="316"/>
      <c r="AW788" s="314"/>
      <c r="AX788" s="315"/>
      <c r="AY788" s="315"/>
      <c r="AZ788" s="315"/>
      <c r="BA788" s="315"/>
      <c r="BB788" s="315"/>
      <c r="BC788" s="315"/>
      <c r="BD788" s="319"/>
      <c r="BE788" s="319"/>
      <c r="BF788" s="319"/>
      <c r="BG788" s="319"/>
      <c r="BH788" s="319"/>
      <c r="BI788" s="319"/>
      <c r="BJ788" s="319"/>
      <c r="BK788" s="315"/>
      <c r="BL788" s="316"/>
      <c r="BM788" s="314"/>
      <c r="BN788" s="319"/>
      <c r="BO788" s="315"/>
      <c r="BP788" s="314"/>
      <c r="BQ788" s="316"/>
      <c r="BR788" s="314"/>
      <c r="BS788" s="262"/>
      <c r="BT788" s="262"/>
    </row>
    <row r="789" spans="1:72" ht="45.75" customHeight="1">
      <c r="A789" s="342"/>
      <c r="B789" s="342"/>
      <c r="C789" s="342"/>
      <c r="D789" s="343"/>
      <c r="E789" s="342"/>
      <c r="F789" s="342"/>
      <c r="G789" s="344"/>
      <c r="H789" s="344"/>
      <c r="I789" s="344"/>
      <c r="J789" s="334"/>
      <c r="K789" s="335"/>
      <c r="L789" s="336"/>
      <c r="M789" s="336"/>
      <c r="N789" s="337"/>
      <c r="O789" s="337"/>
      <c r="P789" s="315"/>
      <c r="Q789" s="314"/>
      <c r="R789" s="317"/>
      <c r="S789" s="315"/>
      <c r="T789" s="315"/>
      <c r="U789" s="315"/>
      <c r="V789" s="258"/>
      <c r="W789" s="322"/>
      <c r="X789" s="318"/>
      <c r="Y789" s="315"/>
      <c r="Z789" s="318"/>
      <c r="AA789" s="314"/>
      <c r="AB789" s="336"/>
      <c r="AC789" s="314"/>
      <c r="AD789" s="316"/>
      <c r="AE789" s="315"/>
      <c r="AF789" s="315"/>
      <c r="AG789" s="315"/>
      <c r="AH789" s="315"/>
      <c r="AI789" s="377"/>
      <c r="AJ789" s="407"/>
      <c r="AK789" s="377"/>
      <c r="AL789" s="314"/>
      <c r="AM789" s="314"/>
      <c r="AN789" s="314"/>
      <c r="AO789" s="315"/>
      <c r="AP789" s="257"/>
      <c r="AQ789" s="257"/>
      <c r="AR789" s="257"/>
      <c r="AS789" s="315"/>
      <c r="AT789" s="257"/>
      <c r="AU789" s="257"/>
      <c r="AV789" s="316"/>
      <c r="AW789" s="314"/>
      <c r="AX789" s="315"/>
      <c r="AY789" s="315"/>
      <c r="AZ789" s="315"/>
      <c r="BA789" s="315"/>
      <c r="BB789" s="315"/>
      <c r="BC789" s="315"/>
      <c r="BD789" s="319"/>
      <c r="BE789" s="319"/>
      <c r="BF789" s="319"/>
      <c r="BG789" s="319"/>
      <c r="BH789" s="319"/>
      <c r="BI789" s="319"/>
      <c r="BJ789" s="319"/>
      <c r="BK789" s="315"/>
      <c r="BL789" s="316"/>
      <c r="BM789" s="314"/>
      <c r="BN789" s="319"/>
      <c r="BO789" s="315"/>
      <c r="BP789" s="314"/>
      <c r="BQ789" s="316"/>
      <c r="BR789" s="314"/>
      <c r="BS789" s="262"/>
      <c r="BT789" s="262"/>
    </row>
    <row r="790" spans="1:72" ht="45.75" customHeight="1">
      <c r="A790" s="342"/>
      <c r="B790" s="342"/>
      <c r="C790" s="342"/>
      <c r="D790" s="343"/>
      <c r="E790" s="342"/>
      <c r="F790" s="342"/>
      <c r="G790" s="344"/>
      <c r="H790" s="344"/>
      <c r="I790" s="344"/>
      <c r="J790" s="334"/>
      <c r="K790" s="335"/>
      <c r="L790" s="336"/>
      <c r="M790" s="336"/>
      <c r="N790" s="337"/>
      <c r="O790" s="337"/>
      <c r="P790" s="315"/>
      <c r="Q790" s="314"/>
      <c r="R790" s="317"/>
      <c r="S790" s="315"/>
      <c r="T790" s="315"/>
      <c r="U790" s="315"/>
      <c r="V790" s="258"/>
      <c r="W790" s="322"/>
      <c r="X790" s="318"/>
      <c r="Y790" s="315"/>
      <c r="Z790" s="318"/>
      <c r="AA790" s="314"/>
      <c r="AB790" s="336"/>
      <c r="AC790" s="314"/>
      <c r="AD790" s="316"/>
      <c r="AE790" s="315"/>
      <c r="AF790" s="315"/>
      <c r="AG790" s="315"/>
      <c r="AH790" s="315"/>
      <c r="AI790" s="377"/>
      <c r="AJ790" s="407"/>
      <c r="AK790" s="377"/>
      <c r="AL790" s="314"/>
      <c r="AM790" s="314"/>
      <c r="AN790" s="314"/>
      <c r="AO790" s="315"/>
      <c r="AP790" s="257"/>
      <c r="AQ790" s="257"/>
      <c r="AR790" s="257"/>
      <c r="AS790" s="315"/>
      <c r="AT790" s="257"/>
      <c r="AU790" s="257"/>
      <c r="AV790" s="316"/>
      <c r="AW790" s="314"/>
      <c r="AX790" s="315"/>
      <c r="AY790" s="315"/>
      <c r="AZ790" s="315"/>
      <c r="BA790" s="315"/>
      <c r="BB790" s="315"/>
      <c r="BC790" s="315"/>
      <c r="BD790" s="319"/>
      <c r="BE790" s="319"/>
      <c r="BF790" s="319"/>
      <c r="BG790" s="319"/>
      <c r="BH790" s="319"/>
      <c r="BI790" s="319"/>
      <c r="BJ790" s="319"/>
      <c r="BK790" s="315"/>
      <c r="BL790" s="316"/>
      <c r="BM790" s="314"/>
      <c r="BN790" s="319"/>
      <c r="BO790" s="315"/>
      <c r="BP790" s="314"/>
      <c r="BQ790" s="316"/>
      <c r="BR790" s="314"/>
      <c r="BS790" s="262"/>
      <c r="BT790" s="262"/>
    </row>
    <row r="791" spans="1:72" ht="45.75" customHeight="1">
      <c r="A791" s="342"/>
      <c r="B791" s="342"/>
      <c r="C791" s="342"/>
      <c r="D791" s="343"/>
      <c r="E791" s="342"/>
      <c r="F791" s="342"/>
      <c r="G791" s="344"/>
      <c r="H791" s="344"/>
      <c r="I791" s="344"/>
      <c r="J791" s="334"/>
      <c r="K791" s="335"/>
      <c r="L791" s="336"/>
      <c r="M791" s="336"/>
      <c r="N791" s="337"/>
      <c r="O791" s="337"/>
      <c r="P791" s="315"/>
      <c r="Q791" s="314"/>
      <c r="R791" s="317"/>
      <c r="S791" s="315"/>
      <c r="T791" s="315"/>
      <c r="U791" s="315"/>
      <c r="V791" s="258"/>
      <c r="W791" s="322"/>
      <c r="X791" s="318"/>
      <c r="Y791" s="315"/>
      <c r="Z791" s="318"/>
      <c r="AA791" s="314"/>
      <c r="AB791" s="336"/>
      <c r="AC791" s="314"/>
      <c r="AD791" s="316"/>
      <c r="AE791" s="315"/>
      <c r="AF791" s="315"/>
      <c r="AG791" s="315"/>
      <c r="AH791" s="315"/>
      <c r="AI791" s="377"/>
      <c r="AJ791" s="407"/>
      <c r="AK791" s="377"/>
      <c r="AL791" s="314"/>
      <c r="AM791" s="314"/>
      <c r="AN791" s="314"/>
      <c r="AO791" s="315"/>
      <c r="AP791" s="257"/>
      <c r="AQ791" s="257"/>
      <c r="AR791" s="257"/>
      <c r="AS791" s="315"/>
      <c r="AT791" s="257"/>
      <c r="AU791" s="257"/>
      <c r="AV791" s="316"/>
      <c r="AW791" s="314"/>
      <c r="AX791" s="315"/>
      <c r="AY791" s="315"/>
      <c r="AZ791" s="315"/>
      <c r="BA791" s="315"/>
      <c r="BB791" s="315"/>
      <c r="BC791" s="315"/>
      <c r="BD791" s="319"/>
      <c r="BE791" s="319"/>
      <c r="BF791" s="319"/>
      <c r="BG791" s="319"/>
      <c r="BH791" s="319"/>
      <c r="BI791" s="319"/>
      <c r="BJ791" s="319"/>
      <c r="BK791" s="315"/>
      <c r="BL791" s="316"/>
      <c r="BM791" s="314"/>
      <c r="BN791" s="319"/>
      <c r="BO791" s="315"/>
      <c r="BP791" s="314"/>
      <c r="BQ791" s="316"/>
      <c r="BR791" s="314"/>
      <c r="BS791" s="262"/>
      <c r="BT791" s="262"/>
    </row>
    <row r="792" spans="1:72" ht="45.75" customHeight="1">
      <c r="A792" s="342"/>
      <c r="B792" s="342"/>
      <c r="C792" s="342"/>
      <c r="D792" s="343"/>
      <c r="E792" s="342"/>
      <c r="F792" s="342"/>
      <c r="G792" s="344"/>
      <c r="H792" s="344"/>
      <c r="I792" s="344"/>
      <c r="J792" s="334"/>
      <c r="K792" s="335"/>
      <c r="L792" s="336"/>
      <c r="M792" s="336"/>
      <c r="N792" s="337"/>
      <c r="O792" s="337"/>
      <c r="P792" s="315"/>
      <c r="Q792" s="314"/>
      <c r="R792" s="317"/>
      <c r="S792" s="315"/>
      <c r="T792" s="315"/>
      <c r="U792" s="315"/>
      <c r="V792" s="258"/>
      <c r="W792" s="322"/>
      <c r="X792" s="318"/>
      <c r="Y792" s="315"/>
      <c r="Z792" s="318"/>
      <c r="AA792" s="314"/>
      <c r="AB792" s="336"/>
      <c r="AC792" s="314"/>
      <c r="AD792" s="316"/>
      <c r="AE792" s="315"/>
      <c r="AF792" s="315"/>
      <c r="AG792" s="315"/>
      <c r="AH792" s="315"/>
      <c r="AI792" s="377"/>
      <c r="AJ792" s="407"/>
      <c r="AK792" s="377"/>
      <c r="AL792" s="314"/>
      <c r="AM792" s="314"/>
      <c r="AN792" s="314"/>
      <c r="AO792" s="315"/>
      <c r="AP792" s="257"/>
      <c r="AQ792" s="257"/>
      <c r="AR792" s="257"/>
      <c r="AS792" s="315"/>
      <c r="AT792" s="257"/>
      <c r="AU792" s="257"/>
      <c r="AV792" s="316"/>
      <c r="AW792" s="314"/>
      <c r="AX792" s="315"/>
      <c r="AY792" s="315"/>
      <c r="AZ792" s="315"/>
      <c r="BA792" s="315"/>
      <c r="BB792" s="315"/>
      <c r="BC792" s="315"/>
      <c r="BD792" s="319"/>
      <c r="BE792" s="319"/>
      <c r="BF792" s="319"/>
      <c r="BG792" s="319"/>
      <c r="BH792" s="319"/>
      <c r="BI792" s="319"/>
      <c r="BJ792" s="319"/>
      <c r="BK792" s="315"/>
      <c r="BL792" s="316"/>
      <c r="BM792" s="314"/>
      <c r="BN792" s="319"/>
      <c r="BO792" s="315"/>
      <c r="BP792" s="314"/>
      <c r="BQ792" s="316"/>
      <c r="BR792" s="314"/>
      <c r="BS792" s="262"/>
      <c r="BT792" s="262"/>
    </row>
    <row r="793" spans="1:72" ht="45.75" customHeight="1">
      <c r="A793" s="342"/>
      <c r="B793" s="342"/>
      <c r="C793" s="342"/>
      <c r="D793" s="343"/>
      <c r="E793" s="342"/>
      <c r="F793" s="342"/>
      <c r="G793" s="344"/>
      <c r="H793" s="344"/>
      <c r="I793" s="344"/>
      <c r="J793" s="334"/>
      <c r="K793" s="335"/>
      <c r="L793" s="336"/>
      <c r="M793" s="336"/>
      <c r="N793" s="337"/>
      <c r="O793" s="337"/>
      <c r="P793" s="315"/>
      <c r="Q793" s="314"/>
      <c r="R793" s="317"/>
      <c r="S793" s="315"/>
      <c r="T793" s="315"/>
      <c r="U793" s="315"/>
      <c r="V793" s="258"/>
      <c r="W793" s="322"/>
      <c r="X793" s="318"/>
      <c r="Y793" s="315"/>
      <c r="Z793" s="318"/>
      <c r="AA793" s="314"/>
      <c r="AB793" s="336"/>
      <c r="AC793" s="314"/>
      <c r="AD793" s="316"/>
      <c r="AE793" s="315"/>
      <c r="AF793" s="315"/>
      <c r="AG793" s="315"/>
      <c r="AH793" s="315"/>
      <c r="AI793" s="377"/>
      <c r="AJ793" s="407"/>
      <c r="AK793" s="377"/>
      <c r="AL793" s="314"/>
      <c r="AM793" s="314"/>
      <c r="AN793" s="314"/>
      <c r="AO793" s="315"/>
      <c r="AP793" s="257"/>
      <c r="AQ793" s="257"/>
      <c r="AR793" s="257"/>
      <c r="AS793" s="315"/>
      <c r="AT793" s="257"/>
      <c r="AU793" s="257"/>
      <c r="AV793" s="316"/>
      <c r="AW793" s="314"/>
      <c r="AX793" s="315"/>
      <c r="AY793" s="315"/>
      <c r="AZ793" s="315"/>
      <c r="BA793" s="315"/>
      <c r="BB793" s="315"/>
      <c r="BC793" s="315"/>
      <c r="BD793" s="319"/>
      <c r="BE793" s="319"/>
      <c r="BF793" s="319"/>
      <c r="BG793" s="319"/>
      <c r="BH793" s="319"/>
      <c r="BI793" s="319"/>
      <c r="BJ793" s="319"/>
      <c r="BK793" s="315"/>
      <c r="BL793" s="316"/>
      <c r="BM793" s="314"/>
      <c r="BN793" s="319"/>
      <c r="BO793" s="315"/>
      <c r="BP793" s="314"/>
      <c r="BQ793" s="316"/>
      <c r="BR793" s="314"/>
      <c r="BS793" s="262"/>
      <c r="BT793" s="262"/>
    </row>
    <row r="794" spans="1:72" ht="45.75" customHeight="1">
      <c r="A794" s="342"/>
      <c r="B794" s="342"/>
      <c r="C794" s="342"/>
      <c r="D794" s="343"/>
      <c r="E794" s="342"/>
      <c r="F794" s="342"/>
      <c r="G794" s="344"/>
      <c r="H794" s="344"/>
      <c r="I794" s="344"/>
      <c r="J794" s="334"/>
      <c r="K794" s="335"/>
      <c r="L794" s="336"/>
      <c r="M794" s="336"/>
      <c r="N794" s="337"/>
      <c r="O794" s="337"/>
      <c r="P794" s="315"/>
      <c r="Q794" s="314"/>
      <c r="R794" s="317"/>
      <c r="S794" s="315"/>
      <c r="T794" s="315"/>
      <c r="U794" s="315"/>
      <c r="V794" s="258"/>
      <c r="W794" s="322"/>
      <c r="X794" s="318"/>
      <c r="Y794" s="315"/>
      <c r="Z794" s="318"/>
      <c r="AA794" s="314"/>
      <c r="AB794" s="336"/>
      <c r="AC794" s="314"/>
      <c r="AD794" s="316"/>
      <c r="AE794" s="315"/>
      <c r="AF794" s="315"/>
      <c r="AG794" s="315"/>
      <c r="AH794" s="315"/>
      <c r="AI794" s="377"/>
      <c r="AJ794" s="407"/>
      <c r="AK794" s="377"/>
      <c r="AL794" s="314"/>
      <c r="AM794" s="314"/>
      <c r="AN794" s="314"/>
      <c r="AO794" s="315"/>
      <c r="AP794" s="257"/>
      <c r="AQ794" s="257"/>
      <c r="AR794" s="257"/>
      <c r="AS794" s="315"/>
      <c r="AT794" s="257"/>
      <c r="AU794" s="257"/>
      <c r="AV794" s="316"/>
      <c r="AW794" s="314"/>
      <c r="AX794" s="315"/>
      <c r="AY794" s="315"/>
      <c r="AZ794" s="315"/>
      <c r="BA794" s="315"/>
      <c r="BB794" s="315"/>
      <c r="BC794" s="315"/>
      <c r="BD794" s="319"/>
      <c r="BE794" s="319"/>
      <c r="BF794" s="319"/>
      <c r="BG794" s="319"/>
      <c r="BH794" s="319"/>
      <c r="BI794" s="319"/>
      <c r="BJ794" s="319"/>
      <c r="BK794" s="315"/>
      <c r="BL794" s="316"/>
      <c r="BM794" s="314"/>
      <c r="BN794" s="319"/>
      <c r="BO794" s="315"/>
      <c r="BP794" s="314"/>
      <c r="BQ794" s="316"/>
      <c r="BR794" s="314"/>
      <c r="BS794" s="262"/>
      <c r="BT794" s="262"/>
    </row>
    <row r="795" spans="1:72" ht="45.75" customHeight="1">
      <c r="A795" s="342"/>
      <c r="B795" s="342"/>
      <c r="C795" s="342"/>
      <c r="D795" s="343"/>
      <c r="E795" s="342"/>
      <c r="F795" s="342"/>
      <c r="G795" s="344"/>
      <c r="H795" s="344"/>
      <c r="I795" s="344"/>
      <c r="J795" s="334"/>
      <c r="K795" s="335"/>
      <c r="L795" s="336"/>
      <c r="M795" s="336"/>
      <c r="N795" s="337"/>
      <c r="O795" s="337"/>
      <c r="P795" s="315"/>
      <c r="Q795" s="314"/>
      <c r="R795" s="317"/>
      <c r="S795" s="315"/>
      <c r="T795" s="315"/>
      <c r="U795" s="315"/>
      <c r="V795" s="258"/>
      <c r="W795" s="322"/>
      <c r="X795" s="318"/>
      <c r="Y795" s="315"/>
      <c r="Z795" s="318"/>
      <c r="AA795" s="314"/>
      <c r="AB795" s="336"/>
      <c r="AC795" s="314"/>
      <c r="AD795" s="316"/>
      <c r="AE795" s="315"/>
      <c r="AF795" s="315"/>
      <c r="AG795" s="315"/>
      <c r="AH795" s="315"/>
      <c r="AI795" s="377"/>
      <c r="AJ795" s="407"/>
      <c r="AK795" s="377"/>
      <c r="AL795" s="314"/>
      <c r="AM795" s="314"/>
      <c r="AN795" s="314"/>
      <c r="AO795" s="315"/>
      <c r="AP795" s="257"/>
      <c r="AQ795" s="257"/>
      <c r="AR795" s="257"/>
      <c r="AS795" s="315"/>
      <c r="AT795" s="257"/>
      <c r="AU795" s="257"/>
      <c r="AV795" s="316"/>
      <c r="AW795" s="314"/>
      <c r="AX795" s="315"/>
      <c r="AY795" s="315"/>
      <c r="AZ795" s="315"/>
      <c r="BA795" s="315"/>
      <c r="BB795" s="315"/>
      <c r="BC795" s="315"/>
      <c r="BD795" s="319"/>
      <c r="BE795" s="319"/>
      <c r="BF795" s="319"/>
      <c r="BG795" s="319"/>
      <c r="BH795" s="319"/>
      <c r="BI795" s="319"/>
      <c r="BJ795" s="319"/>
      <c r="BK795" s="315"/>
      <c r="BL795" s="316"/>
      <c r="BM795" s="314"/>
      <c r="BN795" s="319"/>
      <c r="BO795" s="315"/>
      <c r="BP795" s="314"/>
      <c r="BQ795" s="316"/>
      <c r="BR795" s="314"/>
      <c r="BS795" s="262"/>
      <c r="BT795" s="262"/>
    </row>
    <row r="796" spans="1:72" ht="45.75" customHeight="1">
      <c r="A796" s="342"/>
      <c r="B796" s="342"/>
      <c r="C796" s="342"/>
      <c r="D796" s="343"/>
      <c r="E796" s="342"/>
      <c r="F796" s="342"/>
      <c r="G796" s="344"/>
      <c r="H796" s="344"/>
      <c r="I796" s="344"/>
      <c r="J796" s="334"/>
      <c r="K796" s="335"/>
      <c r="L796" s="336"/>
      <c r="M796" s="336"/>
      <c r="N796" s="337"/>
      <c r="O796" s="337"/>
      <c r="P796" s="315"/>
      <c r="Q796" s="314"/>
      <c r="R796" s="317"/>
      <c r="S796" s="315"/>
      <c r="T796" s="315"/>
      <c r="U796" s="315"/>
      <c r="V796" s="258"/>
      <c r="W796" s="322"/>
      <c r="X796" s="318"/>
      <c r="Y796" s="315"/>
      <c r="Z796" s="318"/>
      <c r="AA796" s="314"/>
      <c r="AB796" s="336"/>
      <c r="AC796" s="314"/>
      <c r="AD796" s="316"/>
      <c r="AE796" s="315"/>
      <c r="AF796" s="315"/>
      <c r="AG796" s="315"/>
      <c r="AH796" s="315"/>
      <c r="AI796" s="377"/>
      <c r="AJ796" s="407"/>
      <c r="AK796" s="377"/>
      <c r="AL796" s="314"/>
      <c r="AM796" s="314"/>
      <c r="AN796" s="314"/>
      <c r="AO796" s="315"/>
      <c r="AP796" s="257"/>
      <c r="AQ796" s="257"/>
      <c r="AR796" s="257"/>
      <c r="AS796" s="315"/>
      <c r="AT796" s="257"/>
      <c r="AU796" s="257"/>
      <c r="AV796" s="316"/>
      <c r="AW796" s="314"/>
      <c r="AX796" s="315"/>
      <c r="AY796" s="315"/>
      <c r="AZ796" s="315"/>
      <c r="BA796" s="315"/>
      <c r="BB796" s="315"/>
      <c r="BC796" s="315"/>
      <c r="BD796" s="319"/>
      <c r="BE796" s="319"/>
      <c r="BF796" s="319"/>
      <c r="BG796" s="319"/>
      <c r="BH796" s="319"/>
      <c r="BI796" s="319"/>
      <c r="BJ796" s="319"/>
      <c r="BK796" s="315"/>
      <c r="BL796" s="316"/>
      <c r="BM796" s="314"/>
      <c r="BN796" s="319"/>
      <c r="BO796" s="315"/>
      <c r="BP796" s="314"/>
      <c r="BQ796" s="316"/>
      <c r="BR796" s="314"/>
      <c r="BS796" s="262"/>
      <c r="BT796" s="262"/>
    </row>
    <row r="797" spans="1:72" ht="45.75" customHeight="1">
      <c r="A797" s="342"/>
      <c r="B797" s="342"/>
      <c r="C797" s="342"/>
      <c r="D797" s="343"/>
      <c r="E797" s="342"/>
      <c r="F797" s="342"/>
      <c r="G797" s="344"/>
      <c r="H797" s="344"/>
      <c r="I797" s="344"/>
      <c r="J797" s="334"/>
      <c r="K797" s="335"/>
      <c r="L797" s="336"/>
      <c r="M797" s="336"/>
      <c r="N797" s="337"/>
      <c r="O797" s="337"/>
      <c r="P797" s="315"/>
      <c r="Q797" s="314"/>
      <c r="R797" s="317"/>
      <c r="S797" s="315"/>
      <c r="T797" s="315"/>
      <c r="U797" s="315"/>
      <c r="V797" s="258"/>
      <c r="W797" s="322"/>
      <c r="X797" s="318"/>
      <c r="Y797" s="315"/>
      <c r="Z797" s="318"/>
      <c r="AA797" s="314"/>
      <c r="AB797" s="336"/>
      <c r="AC797" s="314"/>
      <c r="AD797" s="316"/>
      <c r="AE797" s="315"/>
      <c r="AF797" s="315"/>
      <c r="AG797" s="315"/>
      <c r="AH797" s="315"/>
      <c r="AI797" s="377"/>
      <c r="AJ797" s="407"/>
      <c r="AK797" s="377"/>
      <c r="AL797" s="314"/>
      <c r="AM797" s="314"/>
      <c r="AN797" s="314"/>
      <c r="AO797" s="315"/>
      <c r="AP797" s="257"/>
      <c r="AQ797" s="257"/>
      <c r="AR797" s="257"/>
      <c r="AS797" s="315"/>
      <c r="AT797" s="257"/>
      <c r="AU797" s="257"/>
      <c r="AV797" s="316"/>
      <c r="AW797" s="314"/>
      <c r="AX797" s="315"/>
      <c r="AY797" s="315"/>
      <c r="AZ797" s="315"/>
      <c r="BA797" s="315"/>
      <c r="BB797" s="315"/>
      <c r="BC797" s="315"/>
      <c r="BD797" s="319"/>
      <c r="BE797" s="319"/>
      <c r="BF797" s="319"/>
      <c r="BG797" s="319"/>
      <c r="BH797" s="319"/>
      <c r="BI797" s="319"/>
      <c r="BJ797" s="319"/>
      <c r="BK797" s="315"/>
      <c r="BL797" s="316"/>
      <c r="BM797" s="314"/>
      <c r="BN797" s="319"/>
      <c r="BO797" s="315"/>
      <c r="BP797" s="314"/>
      <c r="BQ797" s="316"/>
      <c r="BR797" s="314"/>
      <c r="BS797" s="262"/>
      <c r="BT797" s="262"/>
    </row>
    <row r="798" spans="1:72" ht="45.75" customHeight="1">
      <c r="A798" s="342"/>
      <c r="B798" s="342"/>
      <c r="C798" s="342"/>
      <c r="D798" s="343"/>
      <c r="E798" s="342"/>
      <c r="F798" s="342"/>
      <c r="G798" s="344"/>
      <c r="H798" s="344"/>
      <c r="I798" s="344"/>
      <c r="J798" s="334"/>
      <c r="K798" s="335"/>
      <c r="L798" s="336"/>
      <c r="M798" s="336"/>
      <c r="N798" s="337"/>
      <c r="O798" s="337"/>
      <c r="P798" s="315"/>
      <c r="Q798" s="314"/>
      <c r="R798" s="317"/>
      <c r="S798" s="315"/>
      <c r="T798" s="315"/>
      <c r="U798" s="315"/>
      <c r="V798" s="258"/>
      <c r="W798" s="322"/>
      <c r="X798" s="318"/>
      <c r="Y798" s="315"/>
      <c r="Z798" s="318"/>
      <c r="AA798" s="314"/>
      <c r="AB798" s="336"/>
      <c r="AC798" s="314"/>
      <c r="AD798" s="316"/>
      <c r="AE798" s="315"/>
      <c r="AF798" s="315"/>
      <c r="AG798" s="315"/>
      <c r="AH798" s="315"/>
      <c r="AI798" s="377"/>
      <c r="AJ798" s="407"/>
      <c r="AK798" s="377"/>
      <c r="AL798" s="314"/>
      <c r="AM798" s="314"/>
      <c r="AN798" s="314"/>
      <c r="AO798" s="315"/>
      <c r="AP798" s="257"/>
      <c r="AQ798" s="257"/>
      <c r="AR798" s="257"/>
      <c r="AS798" s="315"/>
      <c r="AT798" s="257"/>
      <c r="AU798" s="257"/>
      <c r="AV798" s="316"/>
      <c r="AW798" s="314"/>
      <c r="AX798" s="315"/>
      <c r="AY798" s="315"/>
      <c r="AZ798" s="315"/>
      <c r="BA798" s="315"/>
      <c r="BB798" s="315"/>
      <c r="BC798" s="315"/>
      <c r="BD798" s="319"/>
      <c r="BE798" s="319"/>
      <c r="BF798" s="319"/>
      <c r="BG798" s="319"/>
      <c r="BH798" s="319"/>
      <c r="BI798" s="319"/>
      <c r="BJ798" s="319"/>
      <c r="BK798" s="315"/>
      <c r="BL798" s="316"/>
      <c r="BM798" s="314"/>
      <c r="BN798" s="319"/>
      <c r="BO798" s="315"/>
      <c r="BP798" s="314"/>
      <c r="BQ798" s="316"/>
      <c r="BR798" s="314"/>
      <c r="BS798" s="262"/>
      <c r="BT798" s="262"/>
    </row>
    <row r="799" spans="1:72" ht="45.75" customHeight="1">
      <c r="A799" s="342"/>
      <c r="B799" s="342"/>
      <c r="C799" s="342"/>
      <c r="D799" s="343"/>
      <c r="E799" s="342"/>
      <c r="F799" s="342"/>
      <c r="G799" s="344"/>
      <c r="H799" s="344"/>
      <c r="I799" s="344"/>
      <c r="J799" s="334"/>
      <c r="K799" s="335"/>
      <c r="L799" s="336"/>
      <c r="M799" s="336"/>
      <c r="N799" s="337"/>
      <c r="O799" s="337"/>
      <c r="P799" s="315"/>
      <c r="Q799" s="314"/>
      <c r="R799" s="317"/>
      <c r="S799" s="315"/>
      <c r="T799" s="315"/>
      <c r="U799" s="315"/>
      <c r="V799" s="258"/>
      <c r="W799" s="322"/>
      <c r="X799" s="318"/>
      <c r="Y799" s="315"/>
      <c r="Z799" s="318"/>
      <c r="AA799" s="314"/>
      <c r="AB799" s="336"/>
      <c r="AC799" s="314"/>
      <c r="AD799" s="316"/>
      <c r="AE799" s="315"/>
      <c r="AF799" s="315"/>
      <c r="AG799" s="315"/>
      <c r="AH799" s="315"/>
      <c r="AI799" s="377"/>
      <c r="AJ799" s="407"/>
      <c r="AK799" s="377"/>
      <c r="AL799" s="314"/>
      <c r="AM799" s="314"/>
      <c r="AN799" s="314"/>
      <c r="AO799" s="315"/>
      <c r="AP799" s="257"/>
      <c r="AQ799" s="257"/>
      <c r="AR799" s="257"/>
      <c r="AS799" s="315"/>
      <c r="AT799" s="257"/>
      <c r="AU799" s="257"/>
      <c r="AV799" s="316"/>
      <c r="AW799" s="314"/>
      <c r="AX799" s="315"/>
      <c r="AY799" s="315"/>
      <c r="AZ799" s="315"/>
      <c r="BA799" s="315"/>
      <c r="BB799" s="315"/>
      <c r="BC799" s="315"/>
      <c r="BD799" s="319"/>
      <c r="BE799" s="319"/>
      <c r="BF799" s="319"/>
      <c r="BG799" s="319"/>
      <c r="BH799" s="319"/>
      <c r="BI799" s="319"/>
      <c r="BJ799" s="319"/>
      <c r="BK799" s="315"/>
      <c r="BL799" s="316"/>
      <c r="BM799" s="314"/>
      <c r="BN799" s="319"/>
      <c r="BO799" s="315"/>
      <c r="BP799" s="314"/>
      <c r="BQ799" s="316"/>
      <c r="BR799" s="314"/>
      <c r="BS799" s="262"/>
      <c r="BT799" s="262"/>
    </row>
    <row r="800" spans="1:72" ht="45.75" customHeight="1">
      <c r="A800" s="342"/>
      <c r="B800" s="342"/>
      <c r="C800" s="342"/>
      <c r="D800" s="343"/>
      <c r="E800" s="342"/>
      <c r="F800" s="342"/>
      <c r="G800" s="344"/>
      <c r="H800" s="344"/>
      <c r="I800" s="344"/>
      <c r="J800" s="334"/>
      <c r="K800" s="335"/>
      <c r="L800" s="336"/>
      <c r="M800" s="336"/>
      <c r="N800" s="337"/>
      <c r="O800" s="337"/>
      <c r="P800" s="315"/>
      <c r="Q800" s="314"/>
      <c r="R800" s="317"/>
      <c r="S800" s="315"/>
      <c r="T800" s="315"/>
      <c r="U800" s="315"/>
      <c r="V800" s="258"/>
      <c r="W800" s="322"/>
      <c r="X800" s="318"/>
      <c r="Y800" s="315"/>
      <c r="Z800" s="318"/>
      <c r="AA800" s="314"/>
      <c r="AB800" s="336"/>
      <c r="AC800" s="314"/>
      <c r="AD800" s="316"/>
      <c r="AE800" s="315"/>
      <c r="AF800" s="315"/>
      <c r="AG800" s="315"/>
      <c r="AH800" s="315"/>
      <c r="AI800" s="377"/>
      <c r="AJ800" s="407"/>
      <c r="AK800" s="377"/>
      <c r="AL800" s="314"/>
      <c r="AM800" s="314"/>
      <c r="AN800" s="314"/>
      <c r="AO800" s="315"/>
      <c r="AP800" s="257"/>
      <c r="AQ800" s="257"/>
      <c r="AR800" s="257"/>
      <c r="AS800" s="315"/>
      <c r="AT800" s="257"/>
      <c r="AU800" s="257"/>
      <c r="AV800" s="316"/>
      <c r="AW800" s="314"/>
      <c r="AX800" s="315"/>
      <c r="AY800" s="315"/>
      <c r="AZ800" s="315"/>
      <c r="BA800" s="315"/>
      <c r="BB800" s="315"/>
      <c r="BC800" s="315"/>
      <c r="BD800" s="319"/>
      <c r="BE800" s="319"/>
      <c r="BF800" s="319"/>
      <c r="BG800" s="319"/>
      <c r="BH800" s="319"/>
      <c r="BI800" s="319"/>
      <c r="BJ800" s="319"/>
      <c r="BK800" s="315"/>
      <c r="BL800" s="316"/>
      <c r="BM800" s="314"/>
      <c r="BN800" s="319"/>
      <c r="BO800" s="315"/>
      <c r="BP800" s="314"/>
      <c r="BQ800" s="316"/>
      <c r="BR800" s="314"/>
      <c r="BS800" s="262"/>
      <c r="BT800" s="262"/>
    </row>
    <row r="801" spans="1:72" ht="45.75" customHeight="1">
      <c r="A801" s="342"/>
      <c r="B801" s="342"/>
      <c r="C801" s="342"/>
      <c r="D801" s="343"/>
      <c r="E801" s="342"/>
      <c r="F801" s="342"/>
      <c r="G801" s="344"/>
      <c r="H801" s="344"/>
      <c r="I801" s="344"/>
      <c r="J801" s="334"/>
      <c r="K801" s="335"/>
      <c r="L801" s="336"/>
      <c r="M801" s="336"/>
      <c r="N801" s="337"/>
      <c r="O801" s="337"/>
      <c r="P801" s="315"/>
      <c r="Q801" s="314"/>
      <c r="R801" s="317"/>
      <c r="S801" s="315"/>
      <c r="T801" s="315"/>
      <c r="U801" s="315"/>
      <c r="V801" s="258"/>
      <c r="W801" s="322"/>
      <c r="X801" s="318"/>
      <c r="Y801" s="315"/>
      <c r="Z801" s="318"/>
      <c r="AA801" s="314"/>
      <c r="AB801" s="336"/>
      <c r="AC801" s="314"/>
      <c r="AD801" s="316"/>
      <c r="AE801" s="315"/>
      <c r="AF801" s="315"/>
      <c r="AG801" s="315"/>
      <c r="AH801" s="315"/>
      <c r="AI801" s="377"/>
      <c r="AJ801" s="407"/>
      <c r="AK801" s="377"/>
      <c r="AL801" s="314"/>
      <c r="AM801" s="314"/>
      <c r="AN801" s="314"/>
      <c r="AO801" s="315"/>
      <c r="AP801" s="257"/>
      <c r="AQ801" s="257"/>
      <c r="AR801" s="257"/>
      <c r="AS801" s="315"/>
      <c r="AT801" s="257"/>
      <c r="AU801" s="257"/>
      <c r="AV801" s="316"/>
      <c r="AW801" s="314"/>
      <c r="AX801" s="315"/>
      <c r="AY801" s="315"/>
      <c r="AZ801" s="315"/>
      <c r="BA801" s="315"/>
      <c r="BB801" s="315"/>
      <c r="BC801" s="315"/>
      <c r="BD801" s="319"/>
      <c r="BE801" s="319"/>
      <c r="BF801" s="319"/>
      <c r="BG801" s="319"/>
      <c r="BH801" s="319"/>
      <c r="BI801" s="319"/>
      <c r="BJ801" s="319"/>
      <c r="BK801" s="315"/>
      <c r="BL801" s="316"/>
      <c r="BM801" s="314"/>
      <c r="BN801" s="319"/>
      <c r="BO801" s="315"/>
      <c r="BP801" s="314"/>
      <c r="BQ801" s="316"/>
      <c r="BR801" s="314"/>
      <c r="BS801" s="262"/>
      <c r="BT801" s="262"/>
    </row>
    <row r="802" spans="1:72" ht="45.75" customHeight="1">
      <c r="A802" s="342"/>
      <c r="B802" s="342"/>
      <c r="C802" s="342"/>
      <c r="D802" s="343"/>
      <c r="E802" s="342"/>
      <c r="F802" s="342"/>
      <c r="G802" s="344"/>
      <c r="H802" s="344"/>
      <c r="I802" s="344"/>
      <c r="J802" s="334"/>
      <c r="K802" s="335"/>
      <c r="L802" s="336"/>
      <c r="M802" s="336"/>
      <c r="N802" s="337"/>
      <c r="O802" s="337"/>
      <c r="P802" s="315"/>
      <c r="Q802" s="314"/>
      <c r="R802" s="317"/>
      <c r="S802" s="315"/>
      <c r="T802" s="315"/>
      <c r="U802" s="315"/>
      <c r="V802" s="258"/>
      <c r="W802" s="322"/>
      <c r="X802" s="318"/>
      <c r="Y802" s="315"/>
      <c r="Z802" s="318"/>
      <c r="AA802" s="314"/>
      <c r="AB802" s="336"/>
      <c r="AC802" s="314"/>
      <c r="AD802" s="316"/>
      <c r="AE802" s="315"/>
      <c r="AF802" s="315"/>
      <c r="AG802" s="315"/>
      <c r="AH802" s="315"/>
      <c r="AI802" s="377"/>
      <c r="AJ802" s="407"/>
      <c r="AK802" s="377"/>
      <c r="AL802" s="314"/>
      <c r="AM802" s="314"/>
      <c r="AN802" s="314"/>
      <c r="AO802" s="315"/>
      <c r="AP802" s="257"/>
      <c r="AQ802" s="257"/>
      <c r="AR802" s="257"/>
      <c r="AS802" s="315"/>
      <c r="AT802" s="257"/>
      <c r="AU802" s="257"/>
      <c r="AV802" s="316"/>
      <c r="AW802" s="314"/>
      <c r="AX802" s="315"/>
      <c r="AY802" s="315"/>
      <c r="AZ802" s="315"/>
      <c r="BA802" s="315"/>
      <c r="BB802" s="315"/>
      <c r="BC802" s="315"/>
      <c r="BD802" s="319"/>
      <c r="BE802" s="319"/>
      <c r="BF802" s="319"/>
      <c r="BG802" s="319"/>
      <c r="BH802" s="319"/>
      <c r="BI802" s="319"/>
      <c r="BJ802" s="319"/>
      <c r="BK802" s="315"/>
      <c r="BL802" s="316"/>
      <c r="BM802" s="314"/>
      <c r="BN802" s="319"/>
      <c r="BO802" s="315"/>
      <c r="BP802" s="314"/>
      <c r="BQ802" s="316"/>
      <c r="BR802" s="314"/>
      <c r="BS802" s="262"/>
      <c r="BT802" s="262"/>
    </row>
    <row r="803" spans="1:72" ht="45.75" customHeight="1">
      <c r="A803" s="342"/>
      <c r="B803" s="342"/>
      <c r="C803" s="342"/>
      <c r="D803" s="343"/>
      <c r="E803" s="342"/>
      <c r="F803" s="342"/>
      <c r="G803" s="344"/>
      <c r="H803" s="344"/>
      <c r="I803" s="344"/>
      <c r="J803" s="334"/>
      <c r="K803" s="335"/>
      <c r="L803" s="336"/>
      <c r="M803" s="336"/>
      <c r="N803" s="337"/>
      <c r="O803" s="337"/>
      <c r="P803" s="315"/>
      <c r="Q803" s="314"/>
      <c r="R803" s="317"/>
      <c r="S803" s="315"/>
      <c r="T803" s="315"/>
      <c r="U803" s="315"/>
      <c r="V803" s="258"/>
      <c r="W803" s="322"/>
      <c r="X803" s="318"/>
      <c r="Y803" s="315"/>
      <c r="Z803" s="318"/>
      <c r="AA803" s="314"/>
      <c r="AB803" s="336"/>
      <c r="AC803" s="314"/>
      <c r="AD803" s="316"/>
      <c r="AE803" s="315"/>
      <c r="AF803" s="315"/>
      <c r="AG803" s="315"/>
      <c r="AH803" s="315"/>
      <c r="AI803" s="377"/>
      <c r="AJ803" s="407"/>
      <c r="AK803" s="377"/>
      <c r="AL803" s="314"/>
      <c r="AM803" s="314"/>
      <c r="AN803" s="314"/>
      <c r="AO803" s="315"/>
      <c r="AP803" s="257"/>
      <c r="AQ803" s="257"/>
      <c r="AR803" s="257"/>
      <c r="AS803" s="315"/>
      <c r="AT803" s="257"/>
      <c r="AU803" s="257"/>
      <c r="AV803" s="316"/>
      <c r="AW803" s="314"/>
      <c r="AX803" s="315"/>
      <c r="AY803" s="315"/>
      <c r="AZ803" s="315"/>
      <c r="BA803" s="315"/>
      <c r="BB803" s="315"/>
      <c r="BC803" s="315"/>
      <c r="BD803" s="319"/>
      <c r="BE803" s="319"/>
      <c r="BF803" s="319"/>
      <c r="BG803" s="319"/>
      <c r="BH803" s="319"/>
      <c r="BI803" s="319"/>
      <c r="BJ803" s="319"/>
      <c r="BK803" s="315"/>
      <c r="BL803" s="316"/>
      <c r="BM803" s="314"/>
      <c r="BN803" s="319"/>
      <c r="BO803" s="315"/>
      <c r="BP803" s="314"/>
      <c r="BQ803" s="316"/>
      <c r="BR803" s="314"/>
      <c r="BS803" s="262"/>
      <c r="BT803" s="262"/>
    </row>
    <row r="804" spans="1:72" ht="45.75" customHeight="1">
      <c r="A804" s="342"/>
      <c r="B804" s="342"/>
      <c r="C804" s="342"/>
      <c r="D804" s="343"/>
      <c r="E804" s="342"/>
      <c r="F804" s="342"/>
      <c r="G804" s="344"/>
      <c r="H804" s="344"/>
      <c r="I804" s="344"/>
      <c r="J804" s="334"/>
      <c r="K804" s="335"/>
      <c r="L804" s="336"/>
      <c r="M804" s="336"/>
      <c r="N804" s="337"/>
      <c r="O804" s="337"/>
      <c r="P804" s="315"/>
      <c r="Q804" s="314"/>
      <c r="R804" s="317"/>
      <c r="S804" s="315"/>
      <c r="T804" s="315"/>
      <c r="U804" s="315"/>
      <c r="V804" s="258"/>
      <c r="W804" s="322"/>
      <c r="X804" s="318"/>
      <c r="Y804" s="315"/>
      <c r="Z804" s="318"/>
      <c r="AA804" s="314"/>
      <c r="AB804" s="336"/>
      <c r="AC804" s="314"/>
      <c r="AD804" s="316"/>
      <c r="AE804" s="315"/>
      <c r="AF804" s="315"/>
      <c r="AG804" s="315"/>
      <c r="AH804" s="315"/>
      <c r="AI804" s="377"/>
      <c r="AJ804" s="407"/>
      <c r="AK804" s="377"/>
      <c r="AL804" s="314"/>
      <c r="AM804" s="314"/>
      <c r="AN804" s="314"/>
      <c r="AO804" s="315"/>
      <c r="AP804" s="257"/>
      <c r="AQ804" s="257"/>
      <c r="AR804" s="257"/>
      <c r="AS804" s="315"/>
      <c r="AT804" s="257"/>
      <c r="AU804" s="257"/>
      <c r="AV804" s="316"/>
      <c r="AW804" s="314"/>
      <c r="AX804" s="315"/>
      <c r="AY804" s="315"/>
      <c r="AZ804" s="315"/>
      <c r="BA804" s="315"/>
      <c r="BB804" s="315"/>
      <c r="BC804" s="315"/>
      <c r="BD804" s="319"/>
      <c r="BE804" s="319"/>
      <c r="BF804" s="319"/>
      <c r="BG804" s="319"/>
      <c r="BH804" s="319"/>
      <c r="BI804" s="319"/>
      <c r="BJ804" s="319"/>
      <c r="BK804" s="315"/>
      <c r="BL804" s="316"/>
      <c r="BM804" s="314"/>
      <c r="BN804" s="319"/>
      <c r="BO804" s="315"/>
      <c r="BP804" s="314"/>
      <c r="BQ804" s="316"/>
      <c r="BR804" s="314"/>
      <c r="BS804" s="262"/>
      <c r="BT804" s="262"/>
    </row>
    <row r="805" spans="1:72" ht="45.75" customHeight="1">
      <c r="A805" s="342"/>
      <c r="B805" s="342"/>
      <c r="C805" s="342"/>
      <c r="D805" s="343"/>
      <c r="E805" s="342"/>
      <c r="F805" s="342"/>
      <c r="G805" s="344"/>
      <c r="H805" s="344"/>
      <c r="I805" s="344"/>
      <c r="J805" s="334"/>
      <c r="K805" s="335"/>
      <c r="L805" s="336"/>
      <c r="M805" s="336"/>
      <c r="N805" s="337"/>
      <c r="O805" s="337"/>
      <c r="P805" s="315"/>
      <c r="Q805" s="314"/>
      <c r="R805" s="317"/>
      <c r="S805" s="315"/>
      <c r="T805" s="315"/>
      <c r="U805" s="315"/>
      <c r="V805" s="258"/>
      <c r="W805" s="322"/>
      <c r="X805" s="318"/>
      <c r="Y805" s="315"/>
      <c r="Z805" s="318"/>
      <c r="AA805" s="314"/>
      <c r="AB805" s="336"/>
      <c r="AC805" s="314"/>
      <c r="AD805" s="316"/>
      <c r="AE805" s="315"/>
      <c r="AF805" s="315"/>
      <c r="AG805" s="315"/>
      <c r="AH805" s="315"/>
      <c r="AI805" s="377"/>
      <c r="AJ805" s="407"/>
      <c r="AK805" s="377"/>
      <c r="AL805" s="314"/>
      <c r="AM805" s="314"/>
      <c r="AN805" s="314"/>
      <c r="AO805" s="315"/>
      <c r="AP805" s="257"/>
      <c r="AQ805" s="257"/>
      <c r="AR805" s="257"/>
      <c r="AS805" s="315"/>
      <c r="AT805" s="257"/>
      <c r="AU805" s="257"/>
      <c r="AV805" s="316"/>
      <c r="AW805" s="314"/>
      <c r="AX805" s="315"/>
      <c r="AY805" s="315"/>
      <c r="AZ805" s="315"/>
      <c r="BA805" s="315"/>
      <c r="BB805" s="315"/>
      <c r="BC805" s="315"/>
      <c r="BD805" s="319"/>
      <c r="BE805" s="319"/>
      <c r="BF805" s="319"/>
      <c r="BG805" s="319"/>
      <c r="BH805" s="319"/>
      <c r="BI805" s="319"/>
      <c r="BJ805" s="319"/>
      <c r="BK805" s="315"/>
      <c r="BL805" s="316"/>
      <c r="BM805" s="314"/>
      <c r="BN805" s="319"/>
      <c r="BO805" s="315"/>
      <c r="BP805" s="314"/>
      <c r="BQ805" s="316"/>
      <c r="BR805" s="314"/>
      <c r="BS805" s="262"/>
      <c r="BT805" s="262"/>
    </row>
    <row r="806" spans="1:72" ht="45.75" customHeight="1">
      <c r="A806" s="342"/>
      <c r="B806" s="342"/>
      <c r="C806" s="342"/>
      <c r="D806" s="343"/>
      <c r="E806" s="342"/>
      <c r="F806" s="342"/>
      <c r="G806" s="344"/>
      <c r="H806" s="344"/>
      <c r="I806" s="344"/>
      <c r="J806" s="334"/>
      <c r="K806" s="335"/>
      <c r="L806" s="336"/>
      <c r="M806" s="336"/>
      <c r="N806" s="337"/>
      <c r="O806" s="337"/>
      <c r="P806" s="315"/>
      <c r="Q806" s="314"/>
      <c r="R806" s="317"/>
      <c r="S806" s="315"/>
      <c r="T806" s="315"/>
      <c r="U806" s="315"/>
      <c r="V806" s="258"/>
      <c r="W806" s="322"/>
      <c r="X806" s="318"/>
      <c r="Y806" s="315"/>
      <c r="Z806" s="318"/>
      <c r="AA806" s="314"/>
      <c r="AB806" s="336"/>
      <c r="AC806" s="314"/>
      <c r="AD806" s="316"/>
      <c r="AE806" s="315"/>
      <c r="AF806" s="315"/>
      <c r="AG806" s="315"/>
      <c r="AH806" s="315"/>
      <c r="AI806" s="377"/>
      <c r="AJ806" s="407"/>
      <c r="AK806" s="377"/>
      <c r="AL806" s="314"/>
      <c r="AM806" s="314"/>
      <c r="AN806" s="314"/>
      <c r="AO806" s="315"/>
      <c r="AP806" s="257"/>
      <c r="AQ806" s="257"/>
      <c r="AR806" s="257"/>
      <c r="AS806" s="315"/>
      <c r="AT806" s="257"/>
      <c r="AU806" s="257"/>
      <c r="AV806" s="316"/>
      <c r="AW806" s="314"/>
      <c r="AX806" s="315"/>
      <c r="AY806" s="315"/>
      <c r="AZ806" s="315"/>
      <c r="BA806" s="315"/>
      <c r="BB806" s="315"/>
      <c r="BC806" s="315"/>
      <c r="BD806" s="319"/>
      <c r="BE806" s="319"/>
      <c r="BF806" s="319"/>
      <c r="BG806" s="319"/>
      <c r="BH806" s="319"/>
      <c r="BI806" s="319"/>
      <c r="BJ806" s="319"/>
      <c r="BK806" s="315"/>
      <c r="BL806" s="316"/>
      <c r="BM806" s="314"/>
      <c r="BN806" s="319"/>
      <c r="BO806" s="315"/>
      <c r="BP806" s="314"/>
      <c r="BQ806" s="316"/>
      <c r="BR806" s="314"/>
      <c r="BS806" s="262"/>
      <c r="BT806" s="262"/>
    </row>
    <row r="807" spans="1:72" ht="45.75" customHeight="1">
      <c r="A807" s="342"/>
      <c r="B807" s="342"/>
      <c r="C807" s="342"/>
      <c r="D807" s="343"/>
      <c r="E807" s="342"/>
      <c r="F807" s="342"/>
      <c r="G807" s="344"/>
      <c r="H807" s="344"/>
      <c r="I807" s="344"/>
      <c r="J807" s="334"/>
      <c r="K807" s="335"/>
      <c r="L807" s="336"/>
      <c r="M807" s="336"/>
      <c r="N807" s="337"/>
      <c r="O807" s="337"/>
      <c r="P807" s="315"/>
      <c r="Q807" s="314"/>
      <c r="R807" s="317"/>
      <c r="S807" s="315"/>
      <c r="T807" s="315"/>
      <c r="U807" s="315"/>
      <c r="V807" s="258"/>
      <c r="W807" s="322"/>
      <c r="X807" s="318"/>
      <c r="Y807" s="315"/>
      <c r="Z807" s="318"/>
      <c r="AA807" s="314"/>
      <c r="AB807" s="336"/>
      <c r="AC807" s="314"/>
      <c r="AD807" s="316"/>
      <c r="AE807" s="315"/>
      <c r="AF807" s="315"/>
      <c r="AG807" s="315"/>
      <c r="AH807" s="315"/>
      <c r="AI807" s="377"/>
      <c r="AJ807" s="407"/>
      <c r="AK807" s="377"/>
      <c r="AL807" s="314"/>
      <c r="AM807" s="314"/>
      <c r="AN807" s="314"/>
      <c r="AO807" s="315"/>
      <c r="AP807" s="257"/>
      <c r="AQ807" s="257"/>
      <c r="AR807" s="257"/>
      <c r="AS807" s="315"/>
      <c r="AT807" s="257"/>
      <c r="AU807" s="257"/>
      <c r="AV807" s="316"/>
      <c r="AW807" s="314"/>
      <c r="AX807" s="315"/>
      <c r="AY807" s="315"/>
      <c r="AZ807" s="315"/>
      <c r="BA807" s="315"/>
      <c r="BB807" s="315"/>
      <c r="BC807" s="315"/>
      <c r="BD807" s="319"/>
      <c r="BE807" s="319"/>
      <c r="BF807" s="319"/>
      <c r="BG807" s="319"/>
      <c r="BH807" s="319"/>
      <c r="BI807" s="319"/>
      <c r="BJ807" s="319"/>
      <c r="BK807" s="315"/>
      <c r="BL807" s="316"/>
      <c r="BM807" s="314"/>
      <c r="BN807" s="319"/>
      <c r="BO807" s="315"/>
      <c r="BP807" s="314"/>
      <c r="BQ807" s="316"/>
      <c r="BR807" s="314"/>
      <c r="BS807" s="262"/>
      <c r="BT807" s="262"/>
    </row>
    <row r="808" spans="1:72" ht="45.75" customHeight="1">
      <c r="A808" s="342"/>
      <c r="B808" s="342"/>
      <c r="C808" s="342"/>
      <c r="D808" s="343"/>
      <c r="E808" s="342"/>
      <c r="F808" s="342"/>
      <c r="G808" s="344"/>
      <c r="H808" s="344"/>
      <c r="I808" s="344"/>
      <c r="J808" s="334"/>
      <c r="K808" s="335"/>
      <c r="L808" s="336"/>
      <c r="M808" s="336"/>
      <c r="N808" s="337"/>
      <c r="O808" s="337"/>
      <c r="P808" s="315"/>
      <c r="Q808" s="314"/>
      <c r="R808" s="317"/>
      <c r="S808" s="315"/>
      <c r="T808" s="315"/>
      <c r="U808" s="315"/>
      <c r="V808" s="258"/>
      <c r="W808" s="322"/>
      <c r="X808" s="318"/>
      <c r="Y808" s="315"/>
      <c r="Z808" s="318"/>
      <c r="AA808" s="314"/>
      <c r="AB808" s="336"/>
      <c r="AC808" s="314"/>
      <c r="AD808" s="316"/>
      <c r="AE808" s="315"/>
      <c r="AF808" s="315"/>
      <c r="AG808" s="315"/>
      <c r="AH808" s="315"/>
      <c r="AI808" s="377"/>
      <c r="AJ808" s="407"/>
      <c r="AK808" s="377"/>
      <c r="AL808" s="314"/>
      <c r="AM808" s="314"/>
      <c r="AN808" s="314"/>
      <c r="AO808" s="315"/>
      <c r="AP808" s="257"/>
      <c r="AQ808" s="257"/>
      <c r="AR808" s="257"/>
      <c r="AS808" s="315"/>
      <c r="AT808" s="257"/>
      <c r="AU808" s="257"/>
      <c r="AV808" s="316"/>
      <c r="AW808" s="314"/>
      <c r="AX808" s="315"/>
      <c r="AY808" s="315"/>
      <c r="AZ808" s="315"/>
      <c r="BA808" s="315"/>
      <c r="BB808" s="315"/>
      <c r="BC808" s="315"/>
      <c r="BD808" s="319"/>
      <c r="BE808" s="319"/>
      <c r="BF808" s="319"/>
      <c r="BG808" s="319"/>
      <c r="BH808" s="319"/>
      <c r="BI808" s="319"/>
      <c r="BJ808" s="319"/>
      <c r="BK808" s="315"/>
      <c r="BL808" s="316"/>
      <c r="BM808" s="314"/>
      <c r="BN808" s="319"/>
      <c r="BO808" s="315"/>
      <c r="BP808" s="314"/>
      <c r="BQ808" s="316"/>
      <c r="BR808" s="314"/>
      <c r="BS808" s="262"/>
      <c r="BT808" s="262"/>
    </row>
    <row r="809" spans="1:72" ht="45.75" customHeight="1">
      <c r="A809" s="342"/>
      <c r="B809" s="342"/>
      <c r="C809" s="342"/>
      <c r="D809" s="343"/>
      <c r="E809" s="342"/>
      <c r="F809" s="342"/>
      <c r="G809" s="344"/>
      <c r="H809" s="344"/>
      <c r="I809" s="344"/>
      <c r="J809" s="334"/>
      <c r="K809" s="335"/>
      <c r="L809" s="336"/>
      <c r="M809" s="336"/>
      <c r="N809" s="337"/>
      <c r="O809" s="337"/>
      <c r="P809" s="315"/>
      <c r="Q809" s="314"/>
      <c r="R809" s="317"/>
      <c r="S809" s="315"/>
      <c r="T809" s="315"/>
      <c r="U809" s="315"/>
      <c r="V809" s="258"/>
      <c r="W809" s="322"/>
      <c r="X809" s="318"/>
      <c r="Y809" s="315"/>
      <c r="Z809" s="318"/>
      <c r="AA809" s="314"/>
      <c r="AB809" s="336"/>
      <c r="AC809" s="314"/>
      <c r="AD809" s="316"/>
      <c r="AE809" s="315"/>
      <c r="AF809" s="315"/>
      <c r="AG809" s="315"/>
      <c r="AH809" s="315"/>
      <c r="AI809" s="377"/>
      <c r="AJ809" s="407"/>
      <c r="AK809" s="377"/>
      <c r="AL809" s="314"/>
      <c r="AM809" s="314"/>
      <c r="AN809" s="314"/>
      <c r="AO809" s="315"/>
      <c r="AP809" s="257"/>
      <c r="AQ809" s="257"/>
      <c r="AR809" s="257"/>
      <c r="AS809" s="315"/>
      <c r="AT809" s="257"/>
      <c r="AU809" s="257"/>
      <c r="AV809" s="316"/>
      <c r="AW809" s="314"/>
      <c r="AX809" s="315"/>
      <c r="AY809" s="315"/>
      <c r="AZ809" s="315"/>
      <c r="BA809" s="315"/>
      <c r="BB809" s="315"/>
      <c r="BC809" s="315"/>
      <c r="BD809" s="319"/>
      <c r="BE809" s="319"/>
      <c r="BF809" s="319"/>
      <c r="BG809" s="319"/>
      <c r="BH809" s="319"/>
      <c r="BI809" s="319"/>
      <c r="BJ809" s="319"/>
      <c r="BK809" s="315"/>
      <c r="BL809" s="316"/>
      <c r="BM809" s="314"/>
      <c r="BN809" s="319"/>
      <c r="BO809" s="315"/>
      <c r="BP809" s="314"/>
      <c r="BQ809" s="316"/>
      <c r="BR809" s="314"/>
      <c r="BS809" s="262"/>
      <c r="BT809" s="262"/>
    </row>
    <row r="810" spans="1:72" ht="45.75" customHeight="1">
      <c r="A810" s="342"/>
      <c r="B810" s="342"/>
      <c r="C810" s="342"/>
      <c r="D810" s="343"/>
      <c r="E810" s="342"/>
      <c r="F810" s="342"/>
      <c r="G810" s="344"/>
      <c r="H810" s="344"/>
      <c r="I810" s="344"/>
      <c r="J810" s="334"/>
      <c r="K810" s="335"/>
      <c r="L810" s="336"/>
      <c r="M810" s="336"/>
      <c r="N810" s="337"/>
      <c r="O810" s="337"/>
      <c r="P810" s="315"/>
      <c r="Q810" s="314"/>
      <c r="R810" s="317"/>
      <c r="S810" s="315"/>
      <c r="T810" s="315"/>
      <c r="U810" s="315"/>
      <c r="V810" s="258"/>
      <c r="W810" s="322"/>
      <c r="X810" s="318"/>
      <c r="Y810" s="315"/>
      <c r="Z810" s="318"/>
      <c r="AA810" s="314"/>
      <c r="AB810" s="336"/>
      <c r="AC810" s="314"/>
      <c r="AD810" s="316"/>
      <c r="AE810" s="315"/>
      <c r="AF810" s="315"/>
      <c r="AG810" s="315"/>
      <c r="AH810" s="315"/>
      <c r="AI810" s="377"/>
      <c r="AJ810" s="407"/>
      <c r="AK810" s="377"/>
      <c r="AL810" s="314"/>
      <c r="AM810" s="314"/>
      <c r="AN810" s="314"/>
      <c r="AO810" s="315"/>
      <c r="AP810" s="257"/>
      <c r="AQ810" s="257"/>
      <c r="AR810" s="257"/>
      <c r="AS810" s="315"/>
      <c r="AT810" s="257"/>
      <c r="AU810" s="257"/>
      <c r="AV810" s="316"/>
      <c r="AW810" s="314"/>
      <c r="AX810" s="315"/>
      <c r="AY810" s="315"/>
      <c r="AZ810" s="315"/>
      <c r="BA810" s="315"/>
      <c r="BB810" s="315"/>
      <c r="BC810" s="315"/>
      <c r="BD810" s="319"/>
      <c r="BE810" s="319"/>
      <c r="BF810" s="319"/>
      <c r="BG810" s="319"/>
      <c r="BH810" s="319"/>
      <c r="BI810" s="319"/>
      <c r="BJ810" s="319"/>
      <c r="BK810" s="315"/>
      <c r="BL810" s="316"/>
      <c r="BM810" s="314"/>
      <c r="BN810" s="319"/>
      <c r="BO810" s="315"/>
      <c r="BP810" s="314"/>
      <c r="BQ810" s="316"/>
      <c r="BR810" s="314"/>
      <c r="BS810" s="262"/>
      <c r="BT810" s="262"/>
    </row>
    <row r="811" spans="1:72" ht="45.75" customHeight="1">
      <c r="A811" s="342"/>
      <c r="B811" s="342"/>
      <c r="C811" s="342"/>
      <c r="D811" s="343"/>
      <c r="E811" s="342"/>
      <c r="F811" s="342"/>
      <c r="G811" s="344"/>
      <c r="H811" s="344"/>
      <c r="I811" s="344"/>
      <c r="J811" s="334"/>
      <c r="K811" s="335"/>
      <c r="L811" s="336"/>
      <c r="M811" s="336"/>
      <c r="N811" s="337"/>
      <c r="O811" s="337"/>
      <c r="P811" s="315"/>
      <c r="Q811" s="314"/>
      <c r="R811" s="317"/>
      <c r="S811" s="315"/>
      <c r="T811" s="315"/>
      <c r="U811" s="315"/>
      <c r="V811" s="258"/>
      <c r="W811" s="322"/>
      <c r="X811" s="318"/>
      <c r="Y811" s="315"/>
      <c r="Z811" s="318"/>
      <c r="AA811" s="314"/>
      <c r="AB811" s="336"/>
      <c r="AC811" s="314"/>
      <c r="AD811" s="316"/>
      <c r="AE811" s="315"/>
      <c r="AF811" s="315"/>
      <c r="AG811" s="315"/>
      <c r="AH811" s="315"/>
      <c r="AI811" s="377"/>
      <c r="AJ811" s="407"/>
      <c r="AK811" s="377"/>
      <c r="AL811" s="314"/>
      <c r="AM811" s="314"/>
      <c r="AN811" s="314"/>
      <c r="AO811" s="315"/>
      <c r="AP811" s="257"/>
      <c r="AQ811" s="257"/>
      <c r="AR811" s="257"/>
      <c r="AS811" s="315"/>
      <c r="AT811" s="257"/>
      <c r="AU811" s="257"/>
      <c r="AV811" s="316"/>
      <c r="AW811" s="314"/>
      <c r="AX811" s="315"/>
      <c r="AY811" s="315"/>
      <c r="AZ811" s="315"/>
      <c r="BA811" s="315"/>
      <c r="BB811" s="315"/>
      <c r="BC811" s="315"/>
      <c r="BD811" s="319"/>
      <c r="BE811" s="319"/>
      <c r="BF811" s="319"/>
      <c r="BG811" s="319"/>
      <c r="BH811" s="319"/>
      <c r="BI811" s="319"/>
      <c r="BJ811" s="319"/>
      <c r="BK811" s="315"/>
      <c r="BL811" s="316"/>
      <c r="BM811" s="314"/>
      <c r="BN811" s="319"/>
      <c r="BO811" s="315"/>
      <c r="BP811" s="314"/>
      <c r="BQ811" s="316"/>
      <c r="BR811" s="314"/>
      <c r="BS811" s="262"/>
      <c r="BT811" s="262"/>
    </row>
    <row r="812" spans="1:72" ht="45.75" customHeight="1">
      <c r="A812" s="342"/>
      <c r="B812" s="342"/>
      <c r="C812" s="342"/>
      <c r="D812" s="343"/>
      <c r="E812" s="342"/>
      <c r="F812" s="342"/>
      <c r="G812" s="344"/>
      <c r="H812" s="344"/>
      <c r="I812" s="344"/>
      <c r="J812" s="334"/>
      <c r="K812" s="335"/>
      <c r="L812" s="336"/>
      <c r="M812" s="336"/>
      <c r="N812" s="337"/>
      <c r="O812" s="337"/>
      <c r="P812" s="315"/>
      <c r="Q812" s="314"/>
      <c r="R812" s="317"/>
      <c r="S812" s="315"/>
      <c r="T812" s="315"/>
      <c r="U812" s="315"/>
      <c r="V812" s="258"/>
      <c r="W812" s="322"/>
      <c r="X812" s="318"/>
      <c r="Y812" s="315"/>
      <c r="Z812" s="318"/>
      <c r="AA812" s="314"/>
      <c r="AB812" s="336"/>
      <c r="AC812" s="314"/>
      <c r="AD812" s="316"/>
      <c r="AE812" s="315"/>
      <c r="AF812" s="315"/>
      <c r="AG812" s="315"/>
      <c r="AH812" s="315"/>
      <c r="AI812" s="377"/>
      <c r="AJ812" s="407"/>
      <c r="AK812" s="377"/>
      <c r="AL812" s="314"/>
      <c r="AM812" s="314"/>
      <c r="AN812" s="314"/>
      <c r="AO812" s="315"/>
      <c r="AP812" s="257"/>
      <c r="AQ812" s="257"/>
      <c r="AR812" s="257"/>
      <c r="AS812" s="315"/>
      <c r="AT812" s="257"/>
      <c r="AU812" s="257"/>
      <c r="AV812" s="316"/>
      <c r="AW812" s="314"/>
      <c r="AX812" s="315"/>
      <c r="AY812" s="315"/>
      <c r="AZ812" s="315"/>
      <c r="BA812" s="315"/>
      <c r="BB812" s="315"/>
      <c r="BC812" s="315"/>
      <c r="BD812" s="319"/>
      <c r="BE812" s="319"/>
      <c r="BF812" s="319"/>
      <c r="BG812" s="319"/>
      <c r="BH812" s="319"/>
      <c r="BI812" s="319"/>
      <c r="BJ812" s="319"/>
      <c r="BK812" s="315"/>
      <c r="BL812" s="316"/>
      <c r="BM812" s="314"/>
      <c r="BN812" s="319"/>
      <c r="BO812" s="315"/>
      <c r="BP812" s="314"/>
      <c r="BQ812" s="316"/>
      <c r="BR812" s="314"/>
      <c r="BS812" s="262"/>
      <c r="BT812" s="262"/>
    </row>
    <row r="813" spans="1:72" ht="45.75" customHeight="1">
      <c r="A813" s="342"/>
      <c r="B813" s="342"/>
      <c r="C813" s="342"/>
      <c r="D813" s="343"/>
      <c r="E813" s="342"/>
      <c r="F813" s="342"/>
      <c r="G813" s="344"/>
      <c r="H813" s="344"/>
      <c r="I813" s="344"/>
      <c r="J813" s="334"/>
      <c r="K813" s="335"/>
      <c r="L813" s="336"/>
      <c r="M813" s="336"/>
      <c r="N813" s="337"/>
      <c r="O813" s="337"/>
      <c r="P813" s="315"/>
      <c r="Q813" s="314"/>
      <c r="R813" s="317"/>
      <c r="S813" s="315"/>
      <c r="T813" s="315"/>
      <c r="U813" s="315"/>
      <c r="V813" s="258"/>
      <c r="W813" s="322"/>
      <c r="X813" s="318"/>
      <c r="Y813" s="315"/>
      <c r="Z813" s="318"/>
      <c r="AA813" s="314"/>
      <c r="AB813" s="336"/>
      <c r="AC813" s="314"/>
      <c r="AD813" s="316"/>
      <c r="AE813" s="315"/>
      <c r="AF813" s="315"/>
      <c r="AG813" s="315"/>
      <c r="AH813" s="315"/>
      <c r="AI813" s="377"/>
      <c r="AJ813" s="407"/>
      <c r="AK813" s="377"/>
      <c r="AL813" s="314"/>
      <c r="AM813" s="314"/>
      <c r="AN813" s="314"/>
      <c r="AO813" s="315"/>
      <c r="AP813" s="257"/>
      <c r="AQ813" s="257"/>
      <c r="AR813" s="257"/>
      <c r="AS813" s="315"/>
      <c r="AT813" s="257"/>
      <c r="AU813" s="257"/>
      <c r="AV813" s="316"/>
      <c r="AW813" s="314"/>
      <c r="AX813" s="315"/>
      <c r="AY813" s="315"/>
      <c r="AZ813" s="315"/>
      <c r="BA813" s="315"/>
      <c r="BB813" s="315"/>
      <c r="BC813" s="315"/>
      <c r="BD813" s="319"/>
      <c r="BE813" s="319"/>
      <c r="BF813" s="319"/>
      <c r="BG813" s="319"/>
      <c r="BH813" s="319"/>
      <c r="BI813" s="319"/>
      <c r="BJ813" s="319"/>
      <c r="BK813" s="315"/>
      <c r="BL813" s="316"/>
      <c r="BM813" s="314"/>
      <c r="BN813" s="319"/>
      <c r="BO813" s="315"/>
      <c r="BP813" s="314"/>
      <c r="BQ813" s="316"/>
      <c r="BR813" s="314"/>
      <c r="BS813" s="262"/>
      <c r="BT813" s="262"/>
    </row>
    <row r="814" spans="1:72" ht="45.75" customHeight="1">
      <c r="A814" s="342"/>
      <c r="B814" s="342"/>
      <c r="C814" s="342"/>
      <c r="D814" s="343"/>
      <c r="E814" s="342"/>
      <c r="F814" s="342"/>
      <c r="G814" s="344"/>
      <c r="H814" s="344"/>
      <c r="I814" s="344"/>
      <c r="J814" s="334"/>
      <c r="K814" s="335"/>
      <c r="L814" s="336"/>
      <c r="M814" s="336"/>
      <c r="N814" s="337"/>
      <c r="O814" s="337"/>
      <c r="P814" s="315"/>
      <c r="Q814" s="314"/>
      <c r="R814" s="317"/>
      <c r="S814" s="315"/>
      <c r="T814" s="315"/>
      <c r="U814" s="315"/>
      <c r="V814" s="258"/>
      <c r="W814" s="322"/>
      <c r="X814" s="318"/>
      <c r="Y814" s="315"/>
      <c r="Z814" s="318"/>
      <c r="AA814" s="314"/>
      <c r="AB814" s="336"/>
      <c r="AC814" s="314"/>
      <c r="AD814" s="316"/>
      <c r="AE814" s="315"/>
      <c r="AF814" s="315"/>
      <c r="AG814" s="315"/>
      <c r="AH814" s="315"/>
      <c r="AI814" s="377"/>
      <c r="AJ814" s="407"/>
      <c r="AK814" s="377"/>
      <c r="AL814" s="314"/>
      <c r="AM814" s="314"/>
      <c r="AN814" s="314"/>
      <c r="AO814" s="315"/>
      <c r="AP814" s="257"/>
      <c r="AQ814" s="257"/>
      <c r="AR814" s="257"/>
      <c r="AS814" s="315"/>
      <c r="AT814" s="257"/>
      <c r="AU814" s="257"/>
      <c r="AV814" s="316"/>
      <c r="AW814" s="314"/>
      <c r="AX814" s="315"/>
      <c r="AY814" s="315"/>
      <c r="AZ814" s="315"/>
      <c r="BA814" s="315"/>
      <c r="BB814" s="315"/>
      <c r="BC814" s="315"/>
      <c r="BD814" s="319"/>
      <c r="BE814" s="319"/>
      <c r="BF814" s="319"/>
      <c r="BG814" s="319"/>
      <c r="BH814" s="319"/>
      <c r="BI814" s="319"/>
      <c r="BJ814" s="319"/>
      <c r="BK814" s="315"/>
      <c r="BL814" s="316"/>
      <c r="BM814" s="314"/>
      <c r="BN814" s="319"/>
      <c r="BO814" s="315"/>
      <c r="BP814" s="314"/>
      <c r="BQ814" s="316"/>
      <c r="BR814" s="314"/>
      <c r="BS814" s="262"/>
      <c r="BT814" s="262"/>
    </row>
    <row r="815" spans="1:72" ht="45.75" customHeight="1">
      <c r="A815" s="342"/>
      <c r="B815" s="342"/>
      <c r="C815" s="342"/>
      <c r="D815" s="343"/>
      <c r="E815" s="342"/>
      <c r="F815" s="342"/>
      <c r="G815" s="344"/>
      <c r="H815" s="344"/>
      <c r="I815" s="344"/>
      <c r="J815" s="334"/>
      <c r="K815" s="335"/>
      <c r="L815" s="336"/>
      <c r="M815" s="336"/>
      <c r="N815" s="337"/>
      <c r="O815" s="337"/>
      <c r="P815" s="315"/>
      <c r="Q815" s="314"/>
      <c r="R815" s="317"/>
      <c r="S815" s="315"/>
      <c r="T815" s="315"/>
      <c r="U815" s="315"/>
      <c r="V815" s="258"/>
      <c r="W815" s="322"/>
      <c r="X815" s="318"/>
      <c r="Y815" s="315"/>
      <c r="Z815" s="318"/>
      <c r="AA815" s="314"/>
      <c r="AB815" s="336"/>
      <c r="AC815" s="314"/>
      <c r="AD815" s="316"/>
      <c r="AE815" s="315"/>
      <c r="AF815" s="315"/>
      <c r="AG815" s="315"/>
      <c r="AH815" s="315"/>
      <c r="AI815" s="377"/>
      <c r="AJ815" s="407"/>
      <c r="AK815" s="377"/>
      <c r="AL815" s="314"/>
      <c r="AM815" s="314"/>
      <c r="AN815" s="314"/>
      <c r="AO815" s="315"/>
      <c r="AP815" s="257"/>
      <c r="AQ815" s="257"/>
      <c r="AR815" s="257"/>
      <c r="AS815" s="315"/>
      <c r="AT815" s="257"/>
      <c r="AU815" s="257"/>
      <c r="AV815" s="316"/>
      <c r="AW815" s="314"/>
      <c r="AX815" s="315"/>
      <c r="AY815" s="315"/>
      <c r="AZ815" s="315"/>
      <c r="BA815" s="315"/>
      <c r="BB815" s="315"/>
      <c r="BC815" s="315"/>
      <c r="BD815" s="319"/>
      <c r="BE815" s="319"/>
      <c r="BF815" s="319"/>
      <c r="BG815" s="319"/>
      <c r="BH815" s="319"/>
      <c r="BI815" s="319"/>
      <c r="BJ815" s="319"/>
      <c r="BK815" s="315"/>
      <c r="BL815" s="316"/>
      <c r="BM815" s="314"/>
      <c r="BN815" s="319"/>
      <c r="BO815" s="315"/>
      <c r="BP815" s="314"/>
      <c r="BQ815" s="316"/>
      <c r="BR815" s="314"/>
      <c r="BS815" s="262"/>
      <c r="BT815" s="262"/>
    </row>
    <row r="816" spans="1:72" ht="45.75" customHeight="1">
      <c r="A816" s="342"/>
      <c r="B816" s="342"/>
      <c r="C816" s="342"/>
      <c r="D816" s="343"/>
      <c r="E816" s="342"/>
      <c r="F816" s="342"/>
      <c r="G816" s="344"/>
      <c r="H816" s="344"/>
      <c r="I816" s="344"/>
      <c r="J816" s="334"/>
      <c r="K816" s="335"/>
      <c r="L816" s="336"/>
      <c r="M816" s="336"/>
      <c r="N816" s="337"/>
      <c r="O816" s="337"/>
      <c r="P816" s="315"/>
      <c r="Q816" s="314"/>
      <c r="R816" s="317"/>
      <c r="S816" s="315"/>
      <c r="T816" s="315"/>
      <c r="U816" s="315"/>
      <c r="V816" s="258"/>
      <c r="W816" s="322"/>
      <c r="X816" s="318"/>
      <c r="Y816" s="315"/>
      <c r="Z816" s="318"/>
      <c r="AA816" s="314"/>
      <c r="AB816" s="336"/>
      <c r="AC816" s="314"/>
      <c r="AD816" s="316"/>
      <c r="AE816" s="315"/>
      <c r="AF816" s="315"/>
      <c r="AG816" s="315"/>
      <c r="AH816" s="315"/>
      <c r="AI816" s="377"/>
      <c r="AJ816" s="407"/>
      <c r="AK816" s="377"/>
      <c r="AL816" s="314"/>
      <c r="AM816" s="314"/>
      <c r="AN816" s="314"/>
      <c r="AO816" s="315"/>
      <c r="AP816" s="257"/>
      <c r="AQ816" s="257"/>
      <c r="AR816" s="257"/>
      <c r="AS816" s="315"/>
      <c r="AT816" s="257"/>
      <c r="AU816" s="257"/>
      <c r="AV816" s="316"/>
      <c r="AW816" s="314"/>
      <c r="AX816" s="315"/>
      <c r="AY816" s="315"/>
      <c r="AZ816" s="315"/>
      <c r="BA816" s="315"/>
      <c r="BB816" s="315"/>
      <c r="BC816" s="315"/>
      <c r="BD816" s="319"/>
      <c r="BE816" s="319"/>
      <c r="BF816" s="319"/>
      <c r="BG816" s="319"/>
      <c r="BH816" s="319"/>
      <c r="BI816" s="319"/>
      <c r="BJ816" s="319"/>
      <c r="BK816" s="315"/>
      <c r="BL816" s="316"/>
      <c r="BM816" s="314"/>
      <c r="BN816" s="319"/>
      <c r="BO816" s="315"/>
      <c r="BP816" s="314"/>
      <c r="BQ816" s="316"/>
      <c r="BR816" s="314"/>
      <c r="BS816" s="262"/>
      <c r="BT816" s="262"/>
    </row>
    <row r="817" spans="1:72" ht="45.75" customHeight="1">
      <c r="A817" s="342"/>
      <c r="B817" s="342"/>
      <c r="C817" s="342"/>
      <c r="D817" s="343"/>
      <c r="E817" s="342"/>
      <c r="F817" s="342"/>
      <c r="G817" s="344"/>
      <c r="H817" s="344"/>
      <c r="I817" s="344"/>
      <c r="J817" s="334"/>
      <c r="K817" s="335"/>
      <c r="L817" s="336"/>
      <c r="M817" s="336"/>
      <c r="N817" s="337"/>
      <c r="O817" s="337"/>
      <c r="P817" s="315"/>
      <c r="Q817" s="314"/>
      <c r="R817" s="317"/>
      <c r="S817" s="315"/>
      <c r="T817" s="315"/>
      <c r="U817" s="315"/>
      <c r="V817" s="258"/>
      <c r="W817" s="322"/>
      <c r="X817" s="318"/>
      <c r="Y817" s="315"/>
      <c r="Z817" s="318"/>
      <c r="AA817" s="314"/>
      <c r="AB817" s="336"/>
      <c r="AC817" s="314"/>
      <c r="AD817" s="316"/>
      <c r="AE817" s="315"/>
      <c r="AF817" s="315"/>
      <c r="AG817" s="315"/>
      <c r="AH817" s="315"/>
      <c r="AI817" s="377"/>
      <c r="AJ817" s="407"/>
      <c r="AK817" s="377"/>
      <c r="AL817" s="314"/>
      <c r="AM817" s="314"/>
      <c r="AN817" s="314"/>
      <c r="AO817" s="315"/>
      <c r="AP817" s="257"/>
      <c r="AQ817" s="257"/>
      <c r="AR817" s="257"/>
      <c r="AS817" s="315"/>
      <c r="AT817" s="257"/>
      <c r="AU817" s="257"/>
      <c r="AV817" s="316"/>
      <c r="AW817" s="314"/>
      <c r="AX817" s="315"/>
      <c r="AY817" s="315"/>
      <c r="AZ817" s="315"/>
      <c r="BA817" s="315"/>
      <c r="BB817" s="315"/>
      <c r="BC817" s="315"/>
      <c r="BD817" s="319"/>
      <c r="BE817" s="319"/>
      <c r="BF817" s="319"/>
      <c r="BG817" s="319"/>
      <c r="BH817" s="319"/>
      <c r="BI817" s="319"/>
      <c r="BJ817" s="319"/>
      <c r="BK817" s="315"/>
      <c r="BL817" s="316"/>
      <c r="BM817" s="314"/>
      <c r="BN817" s="319"/>
      <c r="BO817" s="315"/>
      <c r="BP817" s="314"/>
      <c r="BQ817" s="316"/>
      <c r="BR817" s="314"/>
      <c r="BS817" s="262"/>
      <c r="BT817" s="262"/>
    </row>
    <row r="818" spans="1:72" ht="45.75" customHeight="1">
      <c r="A818" s="342"/>
      <c r="B818" s="342"/>
      <c r="C818" s="342"/>
      <c r="D818" s="343"/>
      <c r="E818" s="342"/>
      <c r="F818" s="342"/>
      <c r="G818" s="344"/>
      <c r="H818" s="344"/>
      <c r="I818" s="344"/>
      <c r="J818" s="334"/>
      <c r="K818" s="335"/>
      <c r="L818" s="336"/>
      <c r="M818" s="336"/>
      <c r="N818" s="337"/>
      <c r="O818" s="337"/>
      <c r="P818" s="315"/>
      <c r="Q818" s="314"/>
      <c r="R818" s="317"/>
      <c r="S818" s="315"/>
      <c r="T818" s="315"/>
      <c r="U818" s="315"/>
      <c r="V818" s="258"/>
      <c r="W818" s="322"/>
      <c r="X818" s="318"/>
      <c r="Y818" s="315"/>
      <c r="Z818" s="318"/>
      <c r="AA818" s="314"/>
      <c r="AB818" s="336"/>
      <c r="AC818" s="314"/>
      <c r="AD818" s="316"/>
      <c r="AE818" s="315"/>
      <c r="AF818" s="315"/>
      <c r="AG818" s="315"/>
      <c r="AH818" s="315"/>
      <c r="AI818" s="377"/>
      <c r="AJ818" s="407"/>
      <c r="AK818" s="377"/>
      <c r="AL818" s="314"/>
      <c r="AM818" s="314"/>
      <c r="AN818" s="314"/>
      <c r="AO818" s="315"/>
      <c r="AP818" s="257"/>
      <c r="AQ818" s="257"/>
      <c r="AR818" s="257"/>
      <c r="AS818" s="315"/>
      <c r="AT818" s="257"/>
      <c r="AU818" s="257"/>
      <c r="AV818" s="316"/>
      <c r="AW818" s="314"/>
      <c r="AX818" s="315"/>
      <c r="AY818" s="315"/>
      <c r="AZ818" s="315"/>
      <c r="BA818" s="315"/>
      <c r="BB818" s="315"/>
      <c r="BC818" s="315"/>
      <c r="BD818" s="319"/>
      <c r="BE818" s="319"/>
      <c r="BF818" s="319"/>
      <c r="BG818" s="319"/>
      <c r="BH818" s="319"/>
      <c r="BI818" s="319"/>
      <c r="BJ818" s="319"/>
      <c r="BK818" s="315"/>
      <c r="BL818" s="316"/>
      <c r="BM818" s="314"/>
      <c r="BN818" s="319"/>
      <c r="BO818" s="315"/>
      <c r="BP818" s="314"/>
      <c r="BQ818" s="316"/>
      <c r="BR818" s="314"/>
      <c r="BS818" s="262"/>
      <c r="BT818" s="262"/>
    </row>
    <row r="819" spans="1:72" ht="45.75" customHeight="1">
      <c r="A819" s="342"/>
      <c r="B819" s="342"/>
      <c r="C819" s="342"/>
      <c r="D819" s="343"/>
      <c r="E819" s="342"/>
      <c r="F819" s="342"/>
      <c r="G819" s="344"/>
      <c r="H819" s="344"/>
      <c r="I819" s="344"/>
      <c r="J819" s="334"/>
      <c r="K819" s="335"/>
      <c r="L819" s="336"/>
      <c r="M819" s="336"/>
      <c r="N819" s="337"/>
      <c r="O819" s="337"/>
      <c r="P819" s="315"/>
      <c r="Q819" s="314"/>
      <c r="R819" s="317"/>
      <c r="S819" s="315"/>
      <c r="T819" s="315"/>
      <c r="U819" s="315"/>
      <c r="V819" s="258"/>
      <c r="W819" s="322"/>
      <c r="X819" s="318"/>
      <c r="Y819" s="315"/>
      <c r="Z819" s="318"/>
      <c r="AA819" s="314"/>
      <c r="AB819" s="336"/>
      <c r="AC819" s="314"/>
      <c r="AD819" s="316"/>
      <c r="AE819" s="315"/>
      <c r="AF819" s="315"/>
      <c r="AG819" s="315"/>
      <c r="AH819" s="315"/>
      <c r="AI819" s="377"/>
      <c r="AJ819" s="407"/>
      <c r="AK819" s="377"/>
      <c r="AL819" s="314"/>
      <c r="AM819" s="314"/>
      <c r="AN819" s="314"/>
      <c r="AO819" s="315"/>
      <c r="AP819" s="257"/>
      <c r="AQ819" s="257"/>
      <c r="AR819" s="257"/>
      <c r="AS819" s="315"/>
      <c r="AT819" s="257"/>
      <c r="AU819" s="257"/>
      <c r="AV819" s="316"/>
      <c r="AW819" s="314"/>
      <c r="AX819" s="315"/>
      <c r="AY819" s="315"/>
      <c r="AZ819" s="315"/>
      <c r="BA819" s="315"/>
      <c r="BB819" s="315"/>
      <c r="BC819" s="315"/>
      <c r="BD819" s="319"/>
      <c r="BE819" s="319"/>
      <c r="BF819" s="319"/>
      <c r="BG819" s="319"/>
      <c r="BH819" s="319"/>
      <c r="BI819" s="319"/>
      <c r="BJ819" s="319"/>
      <c r="BK819" s="315"/>
      <c r="BL819" s="316"/>
      <c r="BM819" s="314"/>
      <c r="BN819" s="319"/>
      <c r="BO819" s="315"/>
      <c r="BP819" s="314"/>
      <c r="BQ819" s="316"/>
      <c r="BR819" s="314"/>
      <c r="BS819" s="262"/>
      <c r="BT819" s="262"/>
    </row>
    <row r="820" spans="1:72" ht="45.75" customHeight="1">
      <c r="A820" s="342"/>
      <c r="B820" s="342"/>
      <c r="C820" s="342"/>
      <c r="D820" s="343"/>
      <c r="E820" s="342"/>
      <c r="F820" s="342"/>
      <c r="G820" s="344"/>
      <c r="H820" s="344"/>
      <c r="I820" s="344"/>
      <c r="J820" s="334"/>
      <c r="K820" s="335"/>
      <c r="L820" s="336"/>
      <c r="M820" s="336"/>
      <c r="N820" s="337"/>
      <c r="O820" s="337"/>
      <c r="P820" s="315"/>
      <c r="Q820" s="314"/>
      <c r="R820" s="317"/>
      <c r="S820" s="315"/>
      <c r="T820" s="315"/>
      <c r="U820" s="315"/>
      <c r="V820" s="258"/>
      <c r="W820" s="322"/>
      <c r="X820" s="318"/>
      <c r="Y820" s="315"/>
      <c r="Z820" s="318"/>
      <c r="AA820" s="314"/>
      <c r="AB820" s="336"/>
      <c r="AC820" s="314"/>
      <c r="AD820" s="316"/>
      <c r="AE820" s="315"/>
      <c r="AF820" s="315"/>
      <c r="AG820" s="315"/>
      <c r="AH820" s="315"/>
      <c r="AI820" s="377"/>
      <c r="AJ820" s="407"/>
      <c r="AK820" s="377"/>
      <c r="AL820" s="314"/>
      <c r="AM820" s="314"/>
      <c r="AN820" s="314"/>
      <c r="AO820" s="315"/>
      <c r="AP820" s="257"/>
      <c r="AQ820" s="257"/>
      <c r="AR820" s="257"/>
      <c r="AS820" s="315"/>
      <c r="AT820" s="257"/>
      <c r="AU820" s="257"/>
      <c r="AV820" s="316"/>
      <c r="AW820" s="314"/>
      <c r="AX820" s="315"/>
      <c r="AY820" s="315"/>
      <c r="AZ820" s="315"/>
      <c r="BA820" s="315"/>
      <c r="BB820" s="315"/>
      <c r="BC820" s="315"/>
      <c r="BD820" s="319"/>
      <c r="BE820" s="319"/>
      <c r="BF820" s="319"/>
      <c r="BG820" s="319"/>
      <c r="BH820" s="319"/>
      <c r="BI820" s="319"/>
      <c r="BJ820" s="319"/>
      <c r="BK820" s="315"/>
      <c r="BL820" s="316"/>
      <c r="BM820" s="314"/>
      <c r="BN820" s="319"/>
      <c r="BO820" s="315"/>
      <c r="BP820" s="314"/>
      <c r="BQ820" s="316"/>
      <c r="BR820" s="314"/>
      <c r="BS820" s="262"/>
      <c r="BT820" s="262"/>
    </row>
    <row r="821" spans="1:72" ht="45.75" customHeight="1">
      <c r="A821" s="342"/>
      <c r="B821" s="342"/>
      <c r="C821" s="342"/>
      <c r="D821" s="343"/>
      <c r="E821" s="342"/>
      <c r="F821" s="342"/>
      <c r="G821" s="344"/>
      <c r="H821" s="344"/>
      <c r="I821" s="344"/>
      <c r="J821" s="334"/>
      <c r="K821" s="335"/>
      <c r="L821" s="336"/>
      <c r="M821" s="336"/>
      <c r="N821" s="337"/>
      <c r="O821" s="337"/>
      <c r="P821" s="315"/>
      <c r="Q821" s="314"/>
      <c r="R821" s="317"/>
      <c r="S821" s="315"/>
      <c r="T821" s="315"/>
      <c r="U821" s="315"/>
      <c r="V821" s="258"/>
      <c r="W821" s="322"/>
      <c r="X821" s="318"/>
      <c r="Y821" s="315"/>
      <c r="Z821" s="318"/>
      <c r="AA821" s="314"/>
      <c r="AB821" s="336"/>
      <c r="AC821" s="314"/>
      <c r="AD821" s="316"/>
      <c r="AE821" s="315"/>
      <c r="AF821" s="315"/>
      <c r="AG821" s="315"/>
      <c r="AH821" s="315"/>
      <c r="AI821" s="377"/>
      <c r="AJ821" s="407"/>
      <c r="AK821" s="377"/>
      <c r="AL821" s="314"/>
      <c r="AM821" s="314"/>
      <c r="AN821" s="314"/>
      <c r="AO821" s="315"/>
      <c r="AP821" s="257"/>
      <c r="AQ821" s="257"/>
      <c r="AR821" s="257"/>
      <c r="AS821" s="315"/>
      <c r="AT821" s="257"/>
      <c r="AU821" s="257"/>
      <c r="AV821" s="316"/>
      <c r="AW821" s="314"/>
      <c r="AX821" s="315"/>
      <c r="AY821" s="315"/>
      <c r="AZ821" s="315"/>
      <c r="BA821" s="315"/>
      <c r="BB821" s="315"/>
      <c r="BC821" s="315"/>
      <c r="BD821" s="319"/>
      <c r="BE821" s="319"/>
      <c r="BF821" s="319"/>
      <c r="BG821" s="319"/>
      <c r="BH821" s="319"/>
      <c r="BI821" s="319"/>
      <c r="BJ821" s="319"/>
      <c r="BK821" s="315"/>
      <c r="BL821" s="316"/>
      <c r="BM821" s="314"/>
      <c r="BN821" s="319"/>
      <c r="BO821" s="315"/>
      <c r="BP821" s="314"/>
      <c r="BQ821" s="316"/>
      <c r="BR821" s="314"/>
      <c r="BS821" s="262"/>
      <c r="BT821" s="262"/>
    </row>
    <row r="822" spans="1:72" ht="45.75" customHeight="1">
      <c r="A822" s="342"/>
      <c r="B822" s="342"/>
      <c r="C822" s="342"/>
      <c r="D822" s="343"/>
      <c r="E822" s="342"/>
      <c r="F822" s="342"/>
      <c r="G822" s="344"/>
      <c r="H822" s="344"/>
      <c r="I822" s="344"/>
      <c r="J822" s="334"/>
      <c r="K822" s="335"/>
      <c r="L822" s="336"/>
      <c r="M822" s="336"/>
      <c r="N822" s="337"/>
      <c r="O822" s="337"/>
      <c r="P822" s="315"/>
      <c r="Q822" s="314"/>
      <c r="R822" s="317"/>
      <c r="S822" s="315"/>
      <c r="T822" s="315"/>
      <c r="U822" s="315"/>
      <c r="V822" s="258"/>
      <c r="W822" s="322"/>
      <c r="X822" s="318"/>
      <c r="Y822" s="315"/>
      <c r="Z822" s="318"/>
      <c r="AA822" s="314"/>
      <c r="AB822" s="336"/>
      <c r="AC822" s="314"/>
      <c r="AD822" s="316"/>
      <c r="AE822" s="315"/>
      <c r="AF822" s="315"/>
      <c r="AG822" s="315"/>
      <c r="AH822" s="315"/>
      <c r="AI822" s="377"/>
      <c r="AJ822" s="407"/>
      <c r="AK822" s="377"/>
      <c r="AL822" s="314"/>
      <c r="AM822" s="314"/>
      <c r="AN822" s="314"/>
      <c r="AO822" s="315"/>
      <c r="AP822" s="257"/>
      <c r="AQ822" s="257"/>
      <c r="AR822" s="257"/>
      <c r="AS822" s="315"/>
      <c r="AT822" s="257"/>
      <c r="AU822" s="257"/>
      <c r="AV822" s="316"/>
      <c r="AW822" s="314"/>
      <c r="AX822" s="315"/>
      <c r="AY822" s="315"/>
      <c r="AZ822" s="315"/>
      <c r="BA822" s="315"/>
      <c r="BB822" s="315"/>
      <c r="BC822" s="315"/>
      <c r="BD822" s="319"/>
      <c r="BE822" s="319"/>
      <c r="BF822" s="319"/>
      <c r="BG822" s="319"/>
      <c r="BH822" s="319"/>
      <c r="BI822" s="319"/>
      <c r="BJ822" s="319"/>
      <c r="BK822" s="315"/>
      <c r="BL822" s="316"/>
      <c r="BM822" s="314"/>
      <c r="BN822" s="319"/>
      <c r="BO822" s="315"/>
      <c r="BP822" s="314"/>
      <c r="BQ822" s="316"/>
      <c r="BR822" s="314"/>
      <c r="BS822" s="262"/>
      <c r="BT822" s="262"/>
    </row>
    <row r="823" spans="1:72" ht="45.75" customHeight="1">
      <c r="A823" s="342"/>
      <c r="B823" s="342"/>
      <c r="C823" s="342"/>
      <c r="D823" s="343"/>
      <c r="E823" s="342"/>
      <c r="F823" s="342"/>
      <c r="G823" s="344"/>
      <c r="H823" s="344"/>
      <c r="I823" s="344"/>
      <c r="J823" s="334"/>
      <c r="K823" s="335"/>
      <c r="L823" s="336"/>
      <c r="M823" s="336"/>
      <c r="N823" s="337"/>
      <c r="O823" s="337"/>
      <c r="P823" s="315"/>
      <c r="Q823" s="314"/>
      <c r="R823" s="317"/>
      <c r="S823" s="315"/>
      <c r="T823" s="315"/>
      <c r="U823" s="315"/>
      <c r="V823" s="258"/>
      <c r="W823" s="322"/>
      <c r="X823" s="318"/>
      <c r="Y823" s="315"/>
      <c r="Z823" s="318"/>
      <c r="AA823" s="314"/>
      <c r="AB823" s="336"/>
      <c r="AC823" s="314"/>
      <c r="AD823" s="316"/>
      <c r="AE823" s="315"/>
      <c r="AF823" s="315"/>
      <c r="AG823" s="315"/>
      <c r="AH823" s="315"/>
      <c r="AI823" s="377"/>
      <c r="AJ823" s="407"/>
      <c r="AK823" s="377"/>
      <c r="AL823" s="314"/>
      <c r="AM823" s="314"/>
      <c r="AN823" s="314"/>
      <c r="AO823" s="315"/>
      <c r="AP823" s="257"/>
      <c r="AQ823" s="257"/>
      <c r="AR823" s="257"/>
      <c r="AS823" s="315"/>
      <c r="AT823" s="257"/>
      <c r="AU823" s="257"/>
      <c r="AV823" s="316"/>
      <c r="AW823" s="314"/>
      <c r="AX823" s="315"/>
      <c r="AY823" s="315"/>
      <c r="AZ823" s="315"/>
      <c r="BA823" s="315"/>
      <c r="BB823" s="315"/>
      <c r="BC823" s="315"/>
      <c r="BD823" s="319"/>
      <c r="BE823" s="319"/>
      <c r="BF823" s="319"/>
      <c r="BG823" s="319"/>
      <c r="BH823" s="319"/>
      <c r="BI823" s="319"/>
      <c r="BJ823" s="319"/>
      <c r="BK823" s="315"/>
      <c r="BL823" s="316"/>
      <c r="BM823" s="314"/>
      <c r="BN823" s="319"/>
      <c r="BO823" s="315"/>
      <c r="BP823" s="314"/>
      <c r="BQ823" s="316"/>
      <c r="BR823" s="314"/>
      <c r="BS823" s="262"/>
      <c r="BT823" s="262"/>
    </row>
    <row r="824" spans="1:72" ht="45.75" customHeight="1">
      <c r="A824" s="342"/>
      <c r="B824" s="342"/>
      <c r="C824" s="342"/>
      <c r="D824" s="343"/>
      <c r="E824" s="342"/>
      <c r="F824" s="342"/>
      <c r="G824" s="344"/>
      <c r="H824" s="344"/>
      <c r="I824" s="344"/>
      <c r="J824" s="334"/>
      <c r="K824" s="335"/>
      <c r="L824" s="336"/>
      <c r="M824" s="336"/>
      <c r="N824" s="337"/>
      <c r="O824" s="337"/>
      <c r="P824" s="315"/>
      <c r="Q824" s="314"/>
      <c r="R824" s="317"/>
      <c r="S824" s="315"/>
      <c r="T824" s="315"/>
      <c r="U824" s="315"/>
      <c r="V824" s="258"/>
      <c r="W824" s="322"/>
      <c r="X824" s="318"/>
      <c r="Y824" s="315"/>
      <c r="Z824" s="318"/>
      <c r="AA824" s="314"/>
      <c r="AB824" s="336"/>
      <c r="AC824" s="314"/>
      <c r="AD824" s="316"/>
      <c r="AE824" s="315"/>
      <c r="AF824" s="315"/>
      <c r="AG824" s="315"/>
      <c r="AH824" s="315"/>
      <c r="AI824" s="377"/>
      <c r="AJ824" s="407"/>
      <c r="AK824" s="377"/>
      <c r="AL824" s="314"/>
      <c r="AM824" s="314"/>
      <c r="AN824" s="314"/>
      <c r="AO824" s="315"/>
      <c r="AP824" s="257"/>
      <c r="AQ824" s="257"/>
      <c r="AR824" s="257"/>
      <c r="AS824" s="315"/>
      <c r="AT824" s="257"/>
      <c r="AU824" s="257"/>
      <c r="AV824" s="316"/>
      <c r="AW824" s="314"/>
      <c r="AX824" s="315"/>
      <c r="AY824" s="315"/>
      <c r="AZ824" s="315"/>
      <c r="BA824" s="315"/>
      <c r="BB824" s="315"/>
      <c r="BC824" s="315"/>
      <c r="BD824" s="319"/>
      <c r="BE824" s="319"/>
      <c r="BF824" s="319"/>
      <c r="BG824" s="319"/>
      <c r="BH824" s="319"/>
      <c r="BI824" s="319"/>
      <c r="BJ824" s="319"/>
      <c r="BK824" s="315"/>
      <c r="BL824" s="316"/>
      <c r="BM824" s="314"/>
      <c r="BN824" s="319"/>
      <c r="BO824" s="315"/>
      <c r="BP824" s="314"/>
      <c r="BQ824" s="316"/>
      <c r="BR824" s="314"/>
      <c r="BS824" s="262"/>
      <c r="BT824" s="262"/>
    </row>
    <row r="825" spans="1:72" ht="45.75" customHeight="1">
      <c r="A825" s="342"/>
      <c r="B825" s="342"/>
      <c r="C825" s="342"/>
      <c r="D825" s="343"/>
      <c r="E825" s="342"/>
      <c r="F825" s="342"/>
      <c r="G825" s="344"/>
      <c r="H825" s="344"/>
      <c r="I825" s="344"/>
      <c r="J825" s="334"/>
      <c r="K825" s="335"/>
      <c r="L825" s="336"/>
      <c r="M825" s="336"/>
      <c r="N825" s="337"/>
      <c r="O825" s="337"/>
      <c r="P825" s="315"/>
      <c r="Q825" s="314"/>
      <c r="R825" s="317"/>
      <c r="S825" s="315"/>
      <c r="T825" s="315"/>
      <c r="U825" s="315"/>
      <c r="V825" s="258"/>
      <c r="W825" s="322"/>
      <c r="X825" s="318"/>
      <c r="Y825" s="315"/>
      <c r="Z825" s="318"/>
      <c r="AA825" s="314"/>
      <c r="AB825" s="336"/>
      <c r="AC825" s="314"/>
      <c r="AD825" s="316"/>
      <c r="AE825" s="315"/>
      <c r="AF825" s="315"/>
      <c r="AG825" s="315"/>
      <c r="AH825" s="315"/>
      <c r="AI825" s="377"/>
      <c r="AJ825" s="407"/>
      <c r="AK825" s="377"/>
      <c r="AL825" s="314"/>
      <c r="AM825" s="314"/>
      <c r="AN825" s="314"/>
      <c r="AO825" s="315"/>
      <c r="AP825" s="257"/>
      <c r="AQ825" s="257"/>
      <c r="AR825" s="257"/>
      <c r="AS825" s="315"/>
      <c r="AT825" s="257"/>
      <c r="AU825" s="257"/>
      <c r="AV825" s="316"/>
      <c r="AW825" s="314"/>
      <c r="AX825" s="315"/>
      <c r="AY825" s="315"/>
      <c r="AZ825" s="315"/>
      <c r="BA825" s="315"/>
      <c r="BB825" s="315"/>
      <c r="BC825" s="315"/>
      <c r="BD825" s="319"/>
      <c r="BE825" s="319"/>
      <c r="BF825" s="319"/>
      <c r="BG825" s="319"/>
      <c r="BH825" s="319"/>
      <c r="BI825" s="319"/>
      <c r="BJ825" s="319"/>
      <c r="BK825" s="315"/>
      <c r="BL825" s="316"/>
      <c r="BM825" s="314"/>
      <c r="BN825" s="319"/>
      <c r="BO825" s="315"/>
      <c r="BP825" s="314"/>
      <c r="BQ825" s="316"/>
      <c r="BR825" s="314"/>
      <c r="BS825" s="262"/>
      <c r="BT825" s="262"/>
    </row>
    <row r="826" spans="1:72" ht="45.75" customHeight="1">
      <c r="A826" s="342"/>
      <c r="B826" s="342"/>
      <c r="C826" s="342"/>
      <c r="D826" s="343"/>
      <c r="E826" s="342"/>
      <c r="F826" s="342"/>
      <c r="G826" s="344"/>
      <c r="H826" s="344"/>
      <c r="I826" s="344"/>
      <c r="J826" s="334"/>
      <c r="K826" s="335"/>
      <c r="L826" s="336"/>
      <c r="M826" s="336"/>
      <c r="N826" s="337"/>
      <c r="O826" s="337"/>
      <c r="P826" s="315"/>
      <c r="Q826" s="314"/>
      <c r="R826" s="317"/>
      <c r="S826" s="315"/>
      <c r="T826" s="315"/>
      <c r="U826" s="315"/>
      <c r="V826" s="258"/>
      <c r="W826" s="322"/>
      <c r="X826" s="318"/>
      <c r="Y826" s="315"/>
      <c r="Z826" s="318"/>
      <c r="AA826" s="314"/>
      <c r="AB826" s="336"/>
      <c r="AC826" s="314"/>
      <c r="AD826" s="316"/>
      <c r="AE826" s="315"/>
      <c r="AF826" s="315"/>
      <c r="AG826" s="315"/>
      <c r="AH826" s="315"/>
      <c r="AI826" s="377"/>
      <c r="AJ826" s="407"/>
      <c r="AK826" s="377"/>
      <c r="AL826" s="314"/>
      <c r="AM826" s="314"/>
      <c r="AN826" s="314"/>
      <c r="AO826" s="315"/>
      <c r="AP826" s="257"/>
      <c r="AQ826" s="257"/>
      <c r="AR826" s="257"/>
      <c r="AS826" s="315"/>
      <c r="AT826" s="257"/>
      <c r="AU826" s="257"/>
      <c r="AV826" s="316"/>
      <c r="AW826" s="314"/>
      <c r="AX826" s="315"/>
      <c r="AY826" s="315"/>
      <c r="AZ826" s="315"/>
      <c r="BA826" s="315"/>
      <c r="BB826" s="315"/>
      <c r="BC826" s="315"/>
      <c r="BD826" s="319"/>
      <c r="BE826" s="319"/>
      <c r="BF826" s="319"/>
      <c r="BG826" s="319"/>
      <c r="BH826" s="319"/>
      <c r="BI826" s="319"/>
      <c r="BJ826" s="319"/>
      <c r="BK826" s="315"/>
      <c r="BL826" s="316"/>
      <c r="BM826" s="314"/>
      <c r="BN826" s="319"/>
      <c r="BO826" s="315"/>
      <c r="BP826" s="314"/>
      <c r="BQ826" s="316"/>
      <c r="BR826" s="314"/>
      <c r="BS826" s="262"/>
      <c r="BT826" s="262"/>
    </row>
    <row r="827" spans="1:72" ht="45.75" customHeight="1">
      <c r="A827" s="342"/>
      <c r="B827" s="342"/>
      <c r="C827" s="342"/>
      <c r="D827" s="343"/>
      <c r="E827" s="342"/>
      <c r="F827" s="342"/>
      <c r="G827" s="344"/>
      <c r="H827" s="344"/>
      <c r="I827" s="344"/>
      <c r="J827" s="334"/>
      <c r="K827" s="335"/>
      <c r="L827" s="336"/>
      <c r="M827" s="336"/>
      <c r="N827" s="337"/>
      <c r="O827" s="337"/>
      <c r="P827" s="315"/>
      <c r="Q827" s="314"/>
      <c r="R827" s="317"/>
      <c r="S827" s="315"/>
      <c r="T827" s="315"/>
      <c r="U827" s="315"/>
      <c r="V827" s="258"/>
      <c r="W827" s="322"/>
      <c r="X827" s="318"/>
      <c r="Y827" s="315"/>
      <c r="Z827" s="318"/>
      <c r="AA827" s="314"/>
      <c r="AB827" s="336"/>
      <c r="AC827" s="314"/>
      <c r="AD827" s="316"/>
      <c r="AE827" s="315"/>
      <c r="AF827" s="315"/>
      <c r="AG827" s="315"/>
      <c r="AH827" s="315"/>
      <c r="AI827" s="377"/>
      <c r="AJ827" s="407"/>
      <c r="AK827" s="377"/>
      <c r="AL827" s="314"/>
      <c r="AM827" s="314"/>
      <c r="AN827" s="314"/>
      <c r="AO827" s="315"/>
      <c r="AP827" s="257"/>
      <c r="AQ827" s="257"/>
      <c r="AR827" s="257"/>
      <c r="AS827" s="315"/>
      <c r="AT827" s="257"/>
      <c r="AU827" s="257"/>
      <c r="AV827" s="316"/>
      <c r="AW827" s="314"/>
      <c r="AX827" s="315"/>
      <c r="AY827" s="315"/>
      <c r="AZ827" s="315"/>
      <c r="BA827" s="315"/>
      <c r="BB827" s="315"/>
      <c r="BC827" s="315"/>
      <c r="BD827" s="319"/>
      <c r="BE827" s="319"/>
      <c r="BF827" s="319"/>
      <c r="BG827" s="319"/>
      <c r="BH827" s="319"/>
      <c r="BI827" s="319"/>
      <c r="BJ827" s="319"/>
      <c r="BK827" s="315"/>
      <c r="BL827" s="316"/>
      <c r="BM827" s="314"/>
      <c r="BN827" s="319"/>
      <c r="BO827" s="315"/>
      <c r="BP827" s="314"/>
      <c r="BQ827" s="316"/>
      <c r="BR827" s="314"/>
      <c r="BS827" s="262"/>
      <c r="BT827" s="262"/>
    </row>
    <row r="828" spans="1:72" ht="45.75" customHeight="1">
      <c r="A828" s="342"/>
      <c r="B828" s="342"/>
      <c r="C828" s="342"/>
      <c r="D828" s="343"/>
      <c r="E828" s="342"/>
      <c r="F828" s="342"/>
      <c r="G828" s="344"/>
      <c r="H828" s="344"/>
      <c r="I828" s="344"/>
      <c r="J828" s="334"/>
      <c r="K828" s="335"/>
      <c r="L828" s="336"/>
      <c r="M828" s="336"/>
      <c r="N828" s="337"/>
      <c r="O828" s="337"/>
      <c r="P828" s="315"/>
      <c r="Q828" s="314"/>
      <c r="R828" s="317"/>
      <c r="S828" s="315"/>
      <c r="T828" s="315"/>
      <c r="U828" s="315"/>
      <c r="V828" s="258"/>
      <c r="W828" s="322"/>
      <c r="X828" s="318"/>
      <c r="Y828" s="315"/>
      <c r="Z828" s="318"/>
      <c r="AA828" s="314"/>
      <c r="AB828" s="336"/>
      <c r="AC828" s="314"/>
      <c r="AD828" s="316"/>
      <c r="AE828" s="315"/>
      <c r="AF828" s="315"/>
      <c r="AG828" s="315"/>
      <c r="AH828" s="315"/>
      <c r="AI828" s="377"/>
      <c r="AJ828" s="407"/>
      <c r="AK828" s="377"/>
      <c r="AL828" s="314"/>
      <c r="AM828" s="314"/>
      <c r="AN828" s="314"/>
      <c r="AO828" s="315"/>
      <c r="AP828" s="257"/>
      <c r="AQ828" s="257"/>
      <c r="AR828" s="257"/>
      <c r="AS828" s="315"/>
      <c r="AT828" s="257"/>
      <c r="AU828" s="257"/>
      <c r="AV828" s="316"/>
      <c r="AW828" s="314"/>
      <c r="AX828" s="315"/>
      <c r="AY828" s="315"/>
      <c r="AZ828" s="315"/>
      <c r="BA828" s="315"/>
      <c r="BB828" s="315"/>
      <c r="BC828" s="315"/>
      <c r="BD828" s="319"/>
      <c r="BE828" s="319"/>
      <c r="BF828" s="319"/>
      <c r="BG828" s="319"/>
      <c r="BH828" s="319"/>
      <c r="BI828" s="319"/>
      <c r="BJ828" s="319"/>
      <c r="BK828" s="315"/>
      <c r="BL828" s="316"/>
      <c r="BM828" s="314"/>
      <c r="BN828" s="319"/>
      <c r="BO828" s="315"/>
      <c r="BP828" s="314"/>
      <c r="BQ828" s="316"/>
      <c r="BR828" s="314"/>
      <c r="BS828" s="262"/>
      <c r="BT828" s="262"/>
    </row>
    <row r="829" spans="1:72" ht="45.75" customHeight="1">
      <c r="A829" s="342"/>
      <c r="B829" s="342"/>
      <c r="C829" s="342"/>
      <c r="D829" s="343"/>
      <c r="E829" s="342"/>
      <c r="F829" s="342"/>
      <c r="G829" s="344"/>
      <c r="H829" s="344"/>
      <c r="I829" s="344"/>
      <c r="J829" s="334"/>
      <c r="K829" s="335"/>
      <c r="L829" s="336"/>
      <c r="M829" s="336"/>
      <c r="N829" s="337"/>
      <c r="O829" s="337"/>
      <c r="P829" s="315"/>
      <c r="Q829" s="314"/>
      <c r="R829" s="317"/>
      <c r="S829" s="315"/>
      <c r="T829" s="315"/>
      <c r="U829" s="315"/>
      <c r="V829" s="258"/>
      <c r="W829" s="322"/>
      <c r="X829" s="318"/>
      <c r="Y829" s="315"/>
      <c r="Z829" s="318"/>
      <c r="AA829" s="314"/>
      <c r="AB829" s="336"/>
      <c r="AC829" s="314"/>
      <c r="AD829" s="316"/>
      <c r="AE829" s="315"/>
      <c r="AF829" s="315"/>
      <c r="AG829" s="315"/>
      <c r="AH829" s="315"/>
      <c r="AI829" s="377"/>
      <c r="AJ829" s="407"/>
      <c r="AK829" s="377"/>
      <c r="AL829" s="314"/>
      <c r="AM829" s="314"/>
      <c r="AN829" s="314"/>
      <c r="AO829" s="315"/>
      <c r="AP829" s="257"/>
      <c r="AQ829" s="257"/>
      <c r="AR829" s="257"/>
      <c r="AS829" s="315"/>
      <c r="AT829" s="257"/>
      <c r="AU829" s="257"/>
      <c r="AV829" s="316"/>
      <c r="AW829" s="314"/>
      <c r="AX829" s="315"/>
      <c r="AY829" s="315"/>
      <c r="AZ829" s="315"/>
      <c r="BA829" s="315"/>
      <c r="BB829" s="315"/>
      <c r="BC829" s="315"/>
      <c r="BD829" s="319"/>
      <c r="BE829" s="319"/>
      <c r="BF829" s="319"/>
      <c r="BG829" s="319"/>
      <c r="BH829" s="319"/>
      <c r="BI829" s="319"/>
      <c r="BJ829" s="319"/>
      <c r="BK829" s="315"/>
      <c r="BL829" s="316"/>
      <c r="BM829" s="314"/>
      <c r="BN829" s="319"/>
      <c r="BO829" s="315"/>
      <c r="BP829" s="314"/>
      <c r="BQ829" s="316"/>
      <c r="BR829" s="314"/>
      <c r="BS829" s="262"/>
      <c r="BT829" s="262"/>
    </row>
    <row r="830" spans="1:72" ht="45.75" customHeight="1">
      <c r="A830" s="342"/>
      <c r="B830" s="342"/>
      <c r="C830" s="342"/>
      <c r="D830" s="343"/>
      <c r="E830" s="342"/>
      <c r="F830" s="342"/>
      <c r="G830" s="344"/>
      <c r="H830" s="344"/>
      <c r="I830" s="344"/>
      <c r="J830" s="334"/>
      <c r="K830" s="335"/>
      <c r="L830" s="336"/>
      <c r="M830" s="336"/>
      <c r="N830" s="337"/>
      <c r="O830" s="337"/>
      <c r="P830" s="315"/>
      <c r="Q830" s="314"/>
      <c r="R830" s="317"/>
      <c r="S830" s="315"/>
      <c r="T830" s="315"/>
      <c r="U830" s="315"/>
      <c r="V830" s="258"/>
      <c r="W830" s="322"/>
      <c r="X830" s="318"/>
      <c r="Y830" s="315"/>
      <c r="Z830" s="318"/>
      <c r="AA830" s="314"/>
      <c r="AB830" s="336"/>
      <c r="AC830" s="314"/>
      <c r="AD830" s="316"/>
      <c r="AE830" s="315"/>
      <c r="AF830" s="315"/>
      <c r="AG830" s="315"/>
      <c r="AH830" s="315"/>
      <c r="AI830" s="377"/>
      <c r="AJ830" s="407"/>
      <c r="AK830" s="377"/>
      <c r="AL830" s="314"/>
      <c r="AM830" s="314"/>
      <c r="AN830" s="314"/>
      <c r="AO830" s="315"/>
      <c r="AP830" s="257"/>
      <c r="AQ830" s="257"/>
      <c r="AR830" s="257"/>
      <c r="AS830" s="315"/>
      <c r="AT830" s="257"/>
      <c r="AU830" s="257"/>
      <c r="AV830" s="316"/>
      <c r="AW830" s="314"/>
      <c r="AX830" s="315"/>
      <c r="AY830" s="315"/>
      <c r="AZ830" s="315"/>
      <c r="BA830" s="315"/>
      <c r="BB830" s="315"/>
      <c r="BC830" s="315"/>
      <c r="BD830" s="319"/>
      <c r="BE830" s="319"/>
      <c r="BF830" s="319"/>
      <c r="BG830" s="319"/>
      <c r="BH830" s="319"/>
      <c r="BI830" s="319"/>
      <c r="BJ830" s="319"/>
      <c r="BK830" s="315"/>
      <c r="BL830" s="316"/>
      <c r="BM830" s="314"/>
      <c r="BN830" s="319"/>
      <c r="BO830" s="315"/>
      <c r="BP830" s="314"/>
      <c r="BQ830" s="316"/>
      <c r="BR830" s="314"/>
      <c r="BS830" s="262"/>
      <c r="BT830" s="262"/>
    </row>
    <row r="831" spans="1:72" ht="45.75" customHeight="1">
      <c r="A831" s="342"/>
      <c r="B831" s="342"/>
      <c r="C831" s="342"/>
      <c r="D831" s="343"/>
      <c r="E831" s="342"/>
      <c r="F831" s="342"/>
      <c r="G831" s="344"/>
      <c r="H831" s="344"/>
      <c r="I831" s="344"/>
      <c r="J831" s="334"/>
      <c r="K831" s="335"/>
      <c r="L831" s="336"/>
      <c r="M831" s="336"/>
      <c r="N831" s="337"/>
      <c r="O831" s="337"/>
      <c r="P831" s="315"/>
      <c r="Q831" s="314"/>
      <c r="R831" s="317"/>
      <c r="S831" s="315"/>
      <c r="T831" s="315"/>
      <c r="U831" s="315"/>
      <c r="V831" s="258"/>
      <c r="W831" s="322"/>
      <c r="X831" s="318"/>
      <c r="Y831" s="315"/>
      <c r="Z831" s="318"/>
      <c r="AA831" s="314"/>
      <c r="AB831" s="336"/>
      <c r="AC831" s="314"/>
      <c r="AD831" s="316"/>
      <c r="AE831" s="315"/>
      <c r="AF831" s="315"/>
      <c r="AG831" s="315"/>
      <c r="AH831" s="315"/>
      <c r="AI831" s="377"/>
      <c r="AJ831" s="407"/>
      <c r="AK831" s="377"/>
      <c r="AL831" s="314"/>
      <c r="AM831" s="314"/>
      <c r="AN831" s="314"/>
      <c r="AO831" s="315"/>
      <c r="AP831" s="257"/>
      <c r="AQ831" s="257"/>
      <c r="AR831" s="257"/>
      <c r="AS831" s="315"/>
      <c r="AT831" s="257"/>
      <c r="AU831" s="257"/>
      <c r="AV831" s="316"/>
      <c r="AW831" s="314"/>
      <c r="AX831" s="315"/>
      <c r="AY831" s="315"/>
      <c r="AZ831" s="315"/>
      <c r="BA831" s="315"/>
      <c r="BB831" s="315"/>
      <c r="BC831" s="315"/>
      <c r="BD831" s="319"/>
      <c r="BE831" s="319"/>
      <c r="BF831" s="319"/>
      <c r="BG831" s="319"/>
      <c r="BH831" s="319"/>
      <c r="BI831" s="319"/>
      <c r="BJ831" s="319"/>
      <c r="BK831" s="315"/>
      <c r="BL831" s="316"/>
      <c r="BM831" s="314"/>
      <c r="BN831" s="319"/>
      <c r="BO831" s="315"/>
      <c r="BP831" s="314"/>
      <c r="BQ831" s="316"/>
      <c r="BR831" s="314"/>
      <c r="BS831" s="262"/>
      <c r="BT831" s="262"/>
    </row>
    <row r="832" spans="1:72" ht="45.75" customHeight="1">
      <c r="A832" s="342"/>
      <c r="B832" s="342"/>
      <c r="C832" s="342"/>
      <c r="D832" s="343"/>
      <c r="E832" s="342"/>
      <c r="F832" s="342"/>
      <c r="G832" s="344"/>
      <c r="H832" s="344"/>
      <c r="I832" s="344"/>
      <c r="J832" s="334"/>
      <c r="K832" s="335"/>
      <c r="L832" s="336"/>
      <c r="M832" s="336"/>
      <c r="N832" s="337"/>
      <c r="O832" s="337"/>
      <c r="P832" s="315"/>
      <c r="Q832" s="314"/>
      <c r="R832" s="317"/>
      <c r="S832" s="315"/>
      <c r="T832" s="315"/>
      <c r="U832" s="315"/>
      <c r="V832" s="258"/>
      <c r="W832" s="322"/>
      <c r="X832" s="318"/>
      <c r="Y832" s="315"/>
      <c r="Z832" s="318"/>
      <c r="AA832" s="314"/>
      <c r="AB832" s="336"/>
      <c r="AC832" s="314"/>
      <c r="AD832" s="316"/>
      <c r="AE832" s="315"/>
      <c r="AF832" s="315"/>
      <c r="AG832" s="315"/>
      <c r="AH832" s="315"/>
      <c r="AI832" s="377"/>
      <c r="AJ832" s="407"/>
      <c r="AK832" s="377"/>
      <c r="AL832" s="314"/>
      <c r="AM832" s="314"/>
      <c r="AN832" s="314"/>
      <c r="AO832" s="315"/>
      <c r="AP832" s="257"/>
      <c r="AQ832" s="257"/>
      <c r="AR832" s="257"/>
      <c r="AS832" s="315"/>
      <c r="AT832" s="257"/>
      <c r="AU832" s="257"/>
      <c r="AV832" s="316"/>
      <c r="AW832" s="314"/>
      <c r="AX832" s="315"/>
      <c r="AY832" s="315"/>
      <c r="AZ832" s="315"/>
      <c r="BA832" s="315"/>
      <c r="BB832" s="315"/>
      <c r="BC832" s="315"/>
      <c r="BD832" s="319"/>
      <c r="BE832" s="319"/>
      <c r="BF832" s="319"/>
      <c r="BG832" s="319"/>
      <c r="BH832" s="319"/>
      <c r="BI832" s="319"/>
      <c r="BJ832" s="319"/>
      <c r="BK832" s="315"/>
      <c r="BL832" s="316"/>
      <c r="BM832" s="314"/>
      <c r="BN832" s="319"/>
      <c r="BO832" s="315"/>
      <c r="BP832" s="314"/>
      <c r="BQ832" s="316"/>
      <c r="BR832" s="314"/>
      <c r="BS832" s="262"/>
      <c r="BT832" s="262"/>
    </row>
    <row r="833" spans="1:72" ht="45.75" customHeight="1">
      <c r="A833" s="342"/>
      <c r="B833" s="342"/>
      <c r="C833" s="342"/>
      <c r="D833" s="343"/>
      <c r="E833" s="342"/>
      <c r="F833" s="342"/>
      <c r="G833" s="344"/>
      <c r="H833" s="344"/>
      <c r="I833" s="344"/>
      <c r="J833" s="334"/>
      <c r="K833" s="335"/>
      <c r="L833" s="336"/>
      <c r="M833" s="336"/>
      <c r="N833" s="337"/>
      <c r="O833" s="337"/>
      <c r="P833" s="315"/>
      <c r="Q833" s="314"/>
      <c r="R833" s="317"/>
      <c r="S833" s="315"/>
      <c r="T833" s="315"/>
      <c r="U833" s="315"/>
      <c r="V833" s="258"/>
      <c r="W833" s="322"/>
      <c r="X833" s="318"/>
      <c r="Y833" s="315"/>
      <c r="Z833" s="318"/>
      <c r="AA833" s="314"/>
      <c r="AB833" s="336"/>
      <c r="AC833" s="314"/>
      <c r="AD833" s="316"/>
      <c r="AE833" s="315"/>
      <c r="AF833" s="315"/>
      <c r="AG833" s="315"/>
      <c r="AH833" s="315"/>
      <c r="AI833" s="377"/>
      <c r="AJ833" s="407"/>
      <c r="AK833" s="377"/>
      <c r="AL833" s="314"/>
      <c r="AM833" s="314"/>
      <c r="AN833" s="314"/>
      <c r="AO833" s="315"/>
      <c r="AP833" s="257"/>
      <c r="AQ833" s="257"/>
      <c r="AR833" s="257"/>
      <c r="AS833" s="315"/>
      <c r="AT833" s="257"/>
      <c r="AU833" s="257"/>
      <c r="AV833" s="316"/>
      <c r="AW833" s="314"/>
      <c r="AX833" s="315"/>
      <c r="AY833" s="315"/>
      <c r="AZ833" s="315"/>
      <c r="BA833" s="315"/>
      <c r="BB833" s="315"/>
      <c r="BC833" s="315"/>
      <c r="BD833" s="319"/>
      <c r="BE833" s="319"/>
      <c r="BF833" s="319"/>
      <c r="BG833" s="319"/>
      <c r="BH833" s="319"/>
      <c r="BI833" s="319"/>
      <c r="BJ833" s="319"/>
      <c r="BK833" s="315"/>
      <c r="BL833" s="316"/>
      <c r="BM833" s="314"/>
      <c r="BN833" s="319"/>
      <c r="BO833" s="315"/>
      <c r="BP833" s="314"/>
      <c r="BQ833" s="316"/>
      <c r="BR833" s="314"/>
      <c r="BS833" s="262"/>
      <c r="BT833" s="262"/>
    </row>
    <row r="834" spans="1:72" ht="45.75" customHeight="1">
      <c r="A834" s="342"/>
      <c r="B834" s="342"/>
      <c r="C834" s="342"/>
      <c r="D834" s="343"/>
      <c r="E834" s="342"/>
      <c r="F834" s="342"/>
      <c r="G834" s="344"/>
      <c r="H834" s="344"/>
      <c r="I834" s="344"/>
      <c r="J834" s="334"/>
      <c r="K834" s="335"/>
      <c r="L834" s="336"/>
      <c r="M834" s="336"/>
      <c r="N834" s="337"/>
      <c r="O834" s="337"/>
      <c r="P834" s="315"/>
      <c r="Q834" s="314"/>
      <c r="R834" s="317"/>
      <c r="S834" s="315"/>
      <c r="T834" s="315"/>
      <c r="U834" s="315"/>
      <c r="V834" s="258"/>
      <c r="W834" s="322"/>
      <c r="X834" s="318"/>
      <c r="Y834" s="315"/>
      <c r="Z834" s="318"/>
      <c r="AA834" s="314"/>
      <c r="AB834" s="336"/>
      <c r="AC834" s="314"/>
      <c r="AD834" s="316"/>
      <c r="AE834" s="315"/>
      <c r="AF834" s="315"/>
      <c r="AG834" s="315"/>
      <c r="AH834" s="315"/>
      <c r="AI834" s="377"/>
      <c r="AJ834" s="407"/>
      <c r="AK834" s="377"/>
      <c r="AL834" s="314"/>
      <c r="AM834" s="314"/>
      <c r="AN834" s="314"/>
      <c r="AO834" s="315"/>
      <c r="AP834" s="257"/>
      <c r="AQ834" s="257"/>
      <c r="AR834" s="257"/>
      <c r="AS834" s="315"/>
      <c r="AT834" s="257"/>
      <c r="AU834" s="257"/>
      <c r="AV834" s="316"/>
      <c r="AW834" s="314"/>
      <c r="AX834" s="315"/>
      <c r="AY834" s="315"/>
      <c r="AZ834" s="315"/>
      <c r="BA834" s="315"/>
      <c r="BB834" s="315"/>
      <c r="BC834" s="315"/>
      <c r="BD834" s="319"/>
      <c r="BE834" s="319"/>
      <c r="BF834" s="319"/>
      <c r="BG834" s="319"/>
      <c r="BH834" s="319"/>
      <c r="BI834" s="319"/>
      <c r="BJ834" s="319"/>
      <c r="BK834" s="315"/>
      <c r="BL834" s="316"/>
      <c r="BM834" s="314"/>
      <c r="BN834" s="319"/>
      <c r="BO834" s="315"/>
      <c r="BP834" s="314"/>
      <c r="BQ834" s="316"/>
      <c r="BR834" s="314"/>
      <c r="BS834" s="262"/>
      <c r="BT834" s="262"/>
    </row>
    <row r="835" spans="1:72" ht="45.75" customHeight="1">
      <c r="A835" s="342"/>
      <c r="B835" s="342"/>
      <c r="C835" s="342"/>
      <c r="D835" s="343"/>
      <c r="E835" s="342"/>
      <c r="F835" s="342"/>
      <c r="G835" s="344"/>
      <c r="H835" s="344"/>
      <c r="I835" s="344"/>
      <c r="J835" s="334"/>
      <c r="K835" s="335"/>
      <c r="L835" s="336"/>
      <c r="M835" s="336"/>
      <c r="N835" s="337"/>
      <c r="O835" s="337"/>
      <c r="P835" s="315"/>
      <c r="Q835" s="314"/>
      <c r="R835" s="317"/>
      <c r="S835" s="315"/>
      <c r="T835" s="315"/>
      <c r="U835" s="315"/>
      <c r="V835" s="258"/>
      <c r="W835" s="322"/>
      <c r="X835" s="318"/>
      <c r="Y835" s="315"/>
      <c r="Z835" s="318"/>
      <c r="AA835" s="314"/>
      <c r="AB835" s="336"/>
      <c r="AC835" s="314"/>
      <c r="AD835" s="316"/>
      <c r="AE835" s="315"/>
      <c r="AF835" s="315"/>
      <c r="AG835" s="315"/>
      <c r="AH835" s="315"/>
      <c r="AI835" s="377"/>
      <c r="AJ835" s="407"/>
      <c r="AK835" s="377"/>
      <c r="AL835" s="314"/>
      <c r="AM835" s="314"/>
      <c r="AN835" s="314"/>
      <c r="AO835" s="315"/>
      <c r="AP835" s="257"/>
      <c r="AQ835" s="257"/>
      <c r="AR835" s="257"/>
      <c r="AS835" s="315"/>
      <c r="AT835" s="257"/>
      <c r="AU835" s="257"/>
      <c r="AV835" s="316"/>
      <c r="AW835" s="314"/>
      <c r="AX835" s="315"/>
      <c r="AY835" s="315"/>
      <c r="AZ835" s="315"/>
      <c r="BA835" s="315"/>
      <c r="BB835" s="315"/>
      <c r="BC835" s="315"/>
      <c r="BD835" s="319"/>
      <c r="BE835" s="319"/>
      <c r="BF835" s="319"/>
      <c r="BG835" s="319"/>
      <c r="BH835" s="319"/>
      <c r="BI835" s="319"/>
      <c r="BJ835" s="319"/>
      <c r="BK835" s="315"/>
      <c r="BL835" s="316"/>
      <c r="BM835" s="314"/>
      <c r="BN835" s="319"/>
      <c r="BO835" s="315"/>
      <c r="BP835" s="314"/>
      <c r="BQ835" s="316"/>
      <c r="BR835" s="314"/>
      <c r="BS835" s="262"/>
      <c r="BT835" s="262"/>
    </row>
    <row r="836" spans="1:72" ht="45.75" customHeight="1">
      <c r="A836" s="342"/>
      <c r="B836" s="342"/>
      <c r="C836" s="342"/>
      <c r="D836" s="343"/>
      <c r="E836" s="342"/>
      <c r="F836" s="342"/>
      <c r="G836" s="344"/>
      <c r="H836" s="344"/>
      <c r="I836" s="344"/>
      <c r="J836" s="334"/>
      <c r="K836" s="335"/>
      <c r="L836" s="336"/>
      <c r="M836" s="336"/>
      <c r="N836" s="337"/>
      <c r="O836" s="337"/>
      <c r="P836" s="315"/>
      <c r="Q836" s="314"/>
      <c r="R836" s="317"/>
      <c r="S836" s="315"/>
      <c r="T836" s="315"/>
      <c r="U836" s="315"/>
      <c r="V836" s="258"/>
      <c r="W836" s="322"/>
      <c r="X836" s="318"/>
      <c r="Y836" s="315"/>
      <c r="Z836" s="318"/>
      <c r="AA836" s="314"/>
      <c r="AB836" s="336"/>
      <c r="AC836" s="314"/>
      <c r="AD836" s="316"/>
      <c r="AE836" s="315"/>
      <c r="AF836" s="315"/>
      <c r="AG836" s="315"/>
      <c r="AH836" s="315"/>
      <c r="AI836" s="377"/>
      <c r="AJ836" s="407"/>
      <c r="AK836" s="377"/>
      <c r="AL836" s="314"/>
      <c r="AM836" s="314"/>
      <c r="AN836" s="314"/>
      <c r="AO836" s="315"/>
      <c r="AP836" s="257"/>
      <c r="AQ836" s="257"/>
      <c r="AR836" s="257"/>
      <c r="AS836" s="315"/>
      <c r="AT836" s="257"/>
      <c r="AU836" s="257"/>
      <c r="AV836" s="316"/>
      <c r="AW836" s="314"/>
      <c r="AX836" s="315"/>
      <c r="AY836" s="315"/>
      <c r="AZ836" s="315"/>
      <c r="BA836" s="315"/>
      <c r="BB836" s="315"/>
      <c r="BC836" s="315"/>
      <c r="BD836" s="319"/>
      <c r="BE836" s="319"/>
      <c r="BF836" s="319"/>
      <c r="BG836" s="319"/>
      <c r="BH836" s="319"/>
      <c r="BI836" s="319"/>
      <c r="BJ836" s="319"/>
      <c r="BK836" s="315"/>
      <c r="BL836" s="316"/>
      <c r="BM836" s="314"/>
      <c r="BN836" s="319"/>
      <c r="BO836" s="315"/>
      <c r="BP836" s="314"/>
      <c r="BQ836" s="316"/>
      <c r="BR836" s="314"/>
      <c r="BS836" s="262"/>
      <c r="BT836" s="262"/>
    </row>
    <row r="837" spans="1:72" ht="45.75" customHeight="1">
      <c r="A837" s="342"/>
      <c r="B837" s="342"/>
      <c r="C837" s="342"/>
      <c r="D837" s="343"/>
      <c r="E837" s="342"/>
      <c r="F837" s="342"/>
      <c r="G837" s="344"/>
      <c r="H837" s="344"/>
      <c r="I837" s="344"/>
      <c r="J837" s="334"/>
      <c r="K837" s="335"/>
      <c r="L837" s="336"/>
      <c r="M837" s="336"/>
      <c r="N837" s="337"/>
      <c r="O837" s="337"/>
      <c r="P837" s="315"/>
      <c r="Q837" s="314"/>
      <c r="R837" s="317"/>
      <c r="S837" s="315"/>
      <c r="T837" s="315"/>
      <c r="U837" s="315"/>
      <c r="V837" s="258"/>
      <c r="W837" s="322"/>
      <c r="X837" s="318"/>
      <c r="Y837" s="315"/>
      <c r="Z837" s="318"/>
      <c r="AA837" s="314"/>
      <c r="AB837" s="336"/>
      <c r="AC837" s="314"/>
      <c r="AD837" s="316"/>
      <c r="AE837" s="315"/>
      <c r="AF837" s="315"/>
      <c r="AG837" s="315"/>
      <c r="AH837" s="315"/>
      <c r="AI837" s="377"/>
      <c r="AJ837" s="407"/>
      <c r="AK837" s="377"/>
      <c r="AL837" s="314"/>
      <c r="AM837" s="314"/>
      <c r="AN837" s="314"/>
      <c r="AO837" s="315"/>
      <c r="AP837" s="257"/>
      <c r="AQ837" s="257"/>
      <c r="AR837" s="257"/>
      <c r="AS837" s="315"/>
      <c r="AT837" s="257"/>
      <c r="AU837" s="257"/>
      <c r="AV837" s="316"/>
      <c r="AW837" s="314"/>
      <c r="AX837" s="315"/>
      <c r="AY837" s="315"/>
      <c r="AZ837" s="315"/>
      <c r="BA837" s="315"/>
      <c r="BB837" s="315"/>
      <c r="BC837" s="315"/>
      <c r="BD837" s="319"/>
      <c r="BE837" s="319"/>
      <c r="BF837" s="319"/>
      <c r="BG837" s="319"/>
      <c r="BH837" s="319"/>
      <c r="BI837" s="319"/>
      <c r="BJ837" s="319"/>
      <c r="BK837" s="315"/>
      <c r="BL837" s="316"/>
      <c r="BM837" s="314"/>
      <c r="BN837" s="319"/>
      <c r="BO837" s="315"/>
      <c r="BP837" s="314"/>
      <c r="BQ837" s="316"/>
      <c r="BR837" s="314"/>
      <c r="BS837" s="262"/>
      <c r="BT837" s="262"/>
    </row>
    <row r="838" spans="1:72" ht="45.75" customHeight="1">
      <c r="A838" s="342"/>
      <c r="B838" s="342"/>
      <c r="C838" s="342"/>
      <c r="D838" s="343"/>
      <c r="E838" s="342"/>
      <c r="F838" s="342"/>
      <c r="G838" s="344"/>
      <c r="H838" s="344"/>
      <c r="I838" s="344"/>
      <c r="J838" s="334"/>
      <c r="K838" s="335"/>
      <c r="L838" s="336"/>
      <c r="M838" s="336"/>
      <c r="N838" s="337"/>
      <c r="O838" s="337"/>
      <c r="P838" s="315"/>
      <c r="Q838" s="314"/>
      <c r="R838" s="317"/>
      <c r="S838" s="315"/>
      <c r="T838" s="315"/>
      <c r="U838" s="315"/>
      <c r="V838" s="258"/>
      <c r="W838" s="322"/>
      <c r="X838" s="318"/>
      <c r="Y838" s="315"/>
      <c r="Z838" s="318"/>
      <c r="AA838" s="314"/>
      <c r="AB838" s="336"/>
      <c r="AC838" s="314"/>
      <c r="AD838" s="316"/>
      <c r="AE838" s="315"/>
      <c r="AF838" s="315"/>
      <c r="AG838" s="315"/>
      <c r="AH838" s="315"/>
      <c r="AI838" s="377"/>
      <c r="AJ838" s="407"/>
      <c r="AK838" s="377"/>
      <c r="AL838" s="314"/>
      <c r="AM838" s="314"/>
      <c r="AN838" s="314"/>
      <c r="AO838" s="315"/>
      <c r="AP838" s="257"/>
      <c r="AQ838" s="257"/>
      <c r="AR838" s="257"/>
      <c r="AS838" s="315"/>
      <c r="AT838" s="257"/>
      <c r="AU838" s="257"/>
      <c r="AV838" s="316"/>
      <c r="AW838" s="314"/>
      <c r="AX838" s="315"/>
      <c r="AY838" s="315"/>
      <c r="AZ838" s="315"/>
      <c r="BA838" s="315"/>
      <c r="BB838" s="315"/>
      <c r="BC838" s="315"/>
      <c r="BD838" s="319"/>
      <c r="BE838" s="319"/>
      <c r="BF838" s="319"/>
      <c r="BG838" s="319"/>
      <c r="BH838" s="319"/>
      <c r="BI838" s="319"/>
      <c r="BJ838" s="319"/>
      <c r="BK838" s="315"/>
      <c r="BL838" s="316"/>
      <c r="BM838" s="314"/>
      <c r="BN838" s="319"/>
      <c r="BO838" s="315"/>
      <c r="BP838" s="314"/>
      <c r="BQ838" s="316"/>
      <c r="BR838" s="314"/>
      <c r="BS838" s="262"/>
      <c r="BT838" s="262"/>
    </row>
    <row r="839" spans="1:72" ht="45.75" customHeight="1">
      <c r="A839" s="342"/>
      <c r="B839" s="342"/>
      <c r="C839" s="342"/>
      <c r="D839" s="343"/>
      <c r="E839" s="342"/>
      <c r="F839" s="342"/>
      <c r="G839" s="344"/>
      <c r="H839" s="344"/>
      <c r="I839" s="344"/>
      <c r="J839" s="334"/>
      <c r="K839" s="335"/>
      <c r="L839" s="336"/>
      <c r="M839" s="336"/>
      <c r="N839" s="337"/>
      <c r="O839" s="337"/>
      <c r="P839" s="315"/>
      <c r="Q839" s="314"/>
      <c r="R839" s="317"/>
      <c r="S839" s="315"/>
      <c r="T839" s="315"/>
      <c r="U839" s="315"/>
      <c r="V839" s="258"/>
      <c r="W839" s="322"/>
      <c r="X839" s="318"/>
      <c r="Y839" s="315"/>
      <c r="Z839" s="318"/>
      <c r="AA839" s="314"/>
      <c r="AB839" s="336"/>
      <c r="AC839" s="314"/>
      <c r="AD839" s="316"/>
      <c r="AE839" s="315"/>
      <c r="AF839" s="315"/>
      <c r="AG839" s="315"/>
      <c r="AH839" s="315"/>
      <c r="AI839" s="377"/>
      <c r="AJ839" s="407"/>
      <c r="AK839" s="377"/>
      <c r="AL839" s="314"/>
      <c r="AM839" s="314"/>
      <c r="AN839" s="314"/>
      <c r="AO839" s="315"/>
      <c r="AP839" s="257"/>
      <c r="AQ839" s="257"/>
      <c r="AR839" s="257"/>
      <c r="AS839" s="315"/>
      <c r="AT839" s="257"/>
      <c r="AU839" s="257"/>
      <c r="AV839" s="316"/>
      <c r="AW839" s="314"/>
      <c r="AX839" s="315"/>
      <c r="AY839" s="315"/>
      <c r="AZ839" s="315"/>
      <c r="BA839" s="315"/>
      <c r="BB839" s="315"/>
      <c r="BC839" s="315"/>
      <c r="BD839" s="319"/>
      <c r="BE839" s="319"/>
      <c r="BF839" s="319"/>
      <c r="BG839" s="319"/>
      <c r="BH839" s="319"/>
      <c r="BI839" s="319"/>
      <c r="BJ839" s="319"/>
      <c r="BK839" s="315"/>
      <c r="BL839" s="316"/>
      <c r="BM839" s="314"/>
      <c r="BN839" s="319"/>
      <c r="BO839" s="315"/>
      <c r="BP839" s="314"/>
      <c r="BQ839" s="316"/>
      <c r="BR839" s="314"/>
      <c r="BS839" s="262"/>
      <c r="BT839" s="262"/>
    </row>
    <row r="840" spans="1:72" ht="45.75" customHeight="1">
      <c r="A840" s="342"/>
      <c r="B840" s="342"/>
      <c r="C840" s="342"/>
      <c r="D840" s="343"/>
      <c r="E840" s="342"/>
      <c r="F840" s="342"/>
      <c r="G840" s="344"/>
      <c r="H840" s="344"/>
      <c r="I840" s="344"/>
      <c r="J840" s="334"/>
      <c r="K840" s="335"/>
      <c r="L840" s="336"/>
      <c r="M840" s="336"/>
      <c r="N840" s="337"/>
      <c r="O840" s="337"/>
      <c r="P840" s="315"/>
      <c r="Q840" s="314"/>
      <c r="R840" s="317"/>
      <c r="S840" s="315"/>
      <c r="T840" s="315"/>
      <c r="U840" s="315"/>
      <c r="V840" s="258"/>
      <c r="W840" s="322"/>
      <c r="X840" s="318"/>
      <c r="Y840" s="315"/>
      <c r="Z840" s="318"/>
      <c r="AA840" s="314"/>
      <c r="AB840" s="336"/>
      <c r="AC840" s="314"/>
      <c r="AD840" s="316"/>
      <c r="AE840" s="315"/>
      <c r="AF840" s="315"/>
      <c r="AG840" s="315"/>
      <c r="AH840" s="315"/>
      <c r="AI840" s="377"/>
      <c r="AJ840" s="407"/>
      <c r="AK840" s="377"/>
      <c r="AL840" s="314"/>
      <c r="AM840" s="314"/>
      <c r="AN840" s="314"/>
      <c r="AO840" s="315"/>
      <c r="AP840" s="257"/>
      <c r="AQ840" s="257"/>
      <c r="AR840" s="257"/>
      <c r="AS840" s="315"/>
      <c r="AT840" s="257"/>
      <c r="AU840" s="257"/>
      <c r="AV840" s="316"/>
      <c r="AW840" s="314"/>
      <c r="AX840" s="315"/>
      <c r="AY840" s="315"/>
      <c r="AZ840" s="315"/>
      <c r="BA840" s="315"/>
      <c r="BB840" s="315"/>
      <c r="BC840" s="315"/>
      <c r="BD840" s="319"/>
      <c r="BE840" s="319"/>
      <c r="BF840" s="319"/>
      <c r="BG840" s="319"/>
      <c r="BH840" s="319"/>
      <c r="BI840" s="319"/>
      <c r="BJ840" s="319"/>
      <c r="BK840" s="315"/>
      <c r="BL840" s="316"/>
      <c r="BM840" s="314"/>
      <c r="BN840" s="319"/>
      <c r="BO840" s="315"/>
      <c r="BP840" s="314"/>
      <c r="BQ840" s="316"/>
      <c r="BR840" s="314"/>
      <c r="BS840" s="262"/>
      <c r="BT840" s="262"/>
    </row>
    <row r="841" spans="1:72" ht="45.75" customHeight="1">
      <c r="A841" s="342"/>
      <c r="B841" s="342"/>
      <c r="C841" s="342"/>
      <c r="D841" s="343"/>
      <c r="E841" s="342"/>
      <c r="F841" s="342"/>
      <c r="G841" s="344"/>
      <c r="H841" s="344"/>
      <c r="I841" s="344"/>
      <c r="J841" s="334"/>
      <c r="K841" s="335"/>
      <c r="L841" s="336"/>
      <c r="M841" s="336"/>
      <c r="N841" s="337"/>
      <c r="O841" s="337"/>
      <c r="P841" s="315"/>
      <c r="Q841" s="314"/>
      <c r="R841" s="317"/>
      <c r="S841" s="315"/>
      <c r="T841" s="315"/>
      <c r="U841" s="315"/>
      <c r="V841" s="258"/>
      <c r="W841" s="322"/>
      <c r="X841" s="318"/>
      <c r="Y841" s="315"/>
      <c r="Z841" s="318"/>
      <c r="AA841" s="314"/>
      <c r="AB841" s="336"/>
      <c r="AC841" s="314"/>
      <c r="AD841" s="316"/>
      <c r="AE841" s="315"/>
      <c r="AF841" s="315"/>
      <c r="AG841" s="315"/>
      <c r="AH841" s="315"/>
      <c r="AI841" s="377"/>
      <c r="AJ841" s="407"/>
      <c r="AK841" s="377"/>
      <c r="AL841" s="314"/>
      <c r="AM841" s="314"/>
      <c r="AN841" s="314"/>
      <c r="AO841" s="315"/>
      <c r="AP841" s="257"/>
      <c r="AQ841" s="257"/>
      <c r="AR841" s="257"/>
      <c r="AS841" s="315"/>
      <c r="AT841" s="257"/>
      <c r="AU841" s="257"/>
      <c r="AV841" s="316"/>
      <c r="AW841" s="314"/>
      <c r="AX841" s="315"/>
      <c r="AY841" s="315"/>
      <c r="AZ841" s="315"/>
      <c r="BA841" s="315"/>
      <c r="BB841" s="315"/>
      <c r="BC841" s="315"/>
      <c r="BD841" s="319"/>
      <c r="BE841" s="319"/>
      <c r="BF841" s="319"/>
      <c r="BG841" s="319"/>
      <c r="BH841" s="319"/>
      <c r="BI841" s="319"/>
      <c r="BJ841" s="319"/>
      <c r="BK841" s="315"/>
      <c r="BL841" s="316"/>
      <c r="BM841" s="314"/>
      <c r="BN841" s="319"/>
      <c r="BO841" s="315"/>
      <c r="BP841" s="314"/>
      <c r="BQ841" s="316"/>
      <c r="BR841" s="314"/>
      <c r="BS841" s="262"/>
      <c r="BT841" s="262"/>
    </row>
    <row r="842" spans="1:72" ht="45.75" customHeight="1">
      <c r="A842" s="342"/>
      <c r="B842" s="342"/>
      <c r="C842" s="342"/>
      <c r="D842" s="343"/>
      <c r="E842" s="342"/>
      <c r="F842" s="342"/>
      <c r="G842" s="344"/>
      <c r="H842" s="344"/>
      <c r="I842" s="344"/>
      <c r="J842" s="334"/>
      <c r="K842" s="335"/>
      <c r="L842" s="336"/>
      <c r="M842" s="336"/>
      <c r="N842" s="337"/>
      <c r="O842" s="337"/>
      <c r="P842" s="315"/>
      <c r="Q842" s="314"/>
      <c r="R842" s="317"/>
      <c r="S842" s="315"/>
      <c r="T842" s="315"/>
      <c r="U842" s="315"/>
      <c r="V842" s="258"/>
      <c r="W842" s="322"/>
      <c r="X842" s="318"/>
      <c r="Y842" s="315"/>
      <c r="Z842" s="318"/>
      <c r="AA842" s="314"/>
      <c r="AB842" s="336"/>
      <c r="AC842" s="314"/>
      <c r="AD842" s="316"/>
      <c r="AE842" s="315"/>
      <c r="AF842" s="315"/>
      <c r="AG842" s="315"/>
      <c r="AH842" s="315"/>
      <c r="AI842" s="377"/>
      <c r="AJ842" s="407"/>
      <c r="AK842" s="377"/>
      <c r="AL842" s="314"/>
      <c r="AM842" s="314"/>
      <c r="AN842" s="314"/>
      <c r="AO842" s="315"/>
      <c r="AP842" s="257"/>
      <c r="AQ842" s="257"/>
      <c r="AR842" s="257"/>
      <c r="AS842" s="315"/>
      <c r="AT842" s="257"/>
      <c r="AU842" s="257"/>
      <c r="AV842" s="316"/>
      <c r="AW842" s="314"/>
      <c r="AX842" s="315"/>
      <c r="AY842" s="315"/>
      <c r="AZ842" s="315"/>
      <c r="BA842" s="315"/>
      <c r="BB842" s="315"/>
      <c r="BC842" s="315"/>
      <c r="BD842" s="319"/>
      <c r="BE842" s="319"/>
      <c r="BF842" s="319"/>
      <c r="BG842" s="319"/>
      <c r="BH842" s="319"/>
      <c r="BI842" s="319"/>
      <c r="BJ842" s="319"/>
      <c r="BK842" s="315"/>
      <c r="BL842" s="316"/>
      <c r="BM842" s="314"/>
      <c r="BN842" s="319"/>
      <c r="BO842" s="315"/>
      <c r="BP842" s="314"/>
      <c r="BQ842" s="316"/>
      <c r="BR842" s="314"/>
      <c r="BS842" s="262"/>
      <c r="BT842" s="262"/>
    </row>
    <row r="843" spans="1:72" ht="45.75" customHeight="1">
      <c r="A843" s="342"/>
      <c r="B843" s="342"/>
      <c r="C843" s="342"/>
      <c r="D843" s="343"/>
      <c r="E843" s="342"/>
      <c r="F843" s="342"/>
      <c r="G843" s="344"/>
      <c r="H843" s="344"/>
      <c r="I843" s="344"/>
      <c r="J843" s="334"/>
      <c r="K843" s="335"/>
      <c r="L843" s="336"/>
      <c r="M843" s="336"/>
      <c r="N843" s="337"/>
      <c r="O843" s="337"/>
      <c r="P843" s="315"/>
      <c r="Q843" s="314"/>
      <c r="R843" s="317"/>
      <c r="S843" s="315"/>
      <c r="T843" s="315"/>
      <c r="U843" s="315"/>
      <c r="V843" s="258"/>
      <c r="W843" s="322"/>
      <c r="X843" s="318"/>
      <c r="Y843" s="315"/>
      <c r="Z843" s="318"/>
      <c r="AA843" s="314"/>
      <c r="AB843" s="336"/>
      <c r="AC843" s="314"/>
      <c r="AD843" s="316"/>
      <c r="AE843" s="315"/>
      <c r="AF843" s="315"/>
      <c r="AG843" s="315"/>
      <c r="AH843" s="315"/>
      <c r="AI843" s="377"/>
      <c r="AJ843" s="407"/>
      <c r="AK843" s="377"/>
      <c r="AL843" s="314"/>
      <c r="AM843" s="314"/>
      <c r="AN843" s="314"/>
      <c r="AO843" s="315"/>
      <c r="AP843" s="257"/>
      <c r="AQ843" s="257"/>
      <c r="AR843" s="257"/>
      <c r="AS843" s="315"/>
      <c r="AT843" s="257"/>
      <c r="AU843" s="257"/>
      <c r="AV843" s="316"/>
      <c r="AW843" s="314"/>
      <c r="AX843" s="315"/>
      <c r="AY843" s="315"/>
      <c r="AZ843" s="315"/>
      <c r="BA843" s="315"/>
      <c r="BB843" s="315"/>
      <c r="BC843" s="315"/>
      <c r="BD843" s="319"/>
      <c r="BE843" s="319"/>
      <c r="BF843" s="319"/>
      <c r="BG843" s="319"/>
      <c r="BH843" s="319"/>
      <c r="BI843" s="319"/>
      <c r="BJ843" s="319"/>
      <c r="BK843" s="315"/>
      <c r="BL843" s="316"/>
      <c r="BM843" s="314"/>
      <c r="BN843" s="319"/>
      <c r="BO843" s="315"/>
      <c r="BP843" s="314"/>
      <c r="BQ843" s="316"/>
      <c r="BR843" s="314"/>
      <c r="BS843" s="262"/>
      <c r="BT843" s="262"/>
    </row>
    <row r="844" spans="1:72" ht="45.75" customHeight="1">
      <c r="A844" s="342"/>
      <c r="B844" s="342"/>
      <c r="C844" s="342"/>
      <c r="D844" s="343"/>
      <c r="E844" s="342"/>
      <c r="F844" s="342"/>
      <c r="G844" s="344"/>
      <c r="H844" s="344"/>
      <c r="I844" s="344"/>
      <c r="J844" s="334"/>
      <c r="K844" s="335"/>
      <c r="L844" s="336"/>
      <c r="M844" s="336"/>
      <c r="N844" s="337"/>
      <c r="O844" s="337"/>
      <c r="P844" s="315"/>
      <c r="Q844" s="314"/>
      <c r="R844" s="317"/>
      <c r="S844" s="315"/>
      <c r="T844" s="315"/>
      <c r="U844" s="315"/>
      <c r="V844" s="258"/>
      <c r="W844" s="322"/>
      <c r="X844" s="318"/>
      <c r="Y844" s="315"/>
      <c r="Z844" s="318"/>
      <c r="AA844" s="314"/>
      <c r="AB844" s="336"/>
      <c r="AC844" s="314"/>
      <c r="AD844" s="316"/>
      <c r="AE844" s="315"/>
      <c r="AF844" s="315"/>
      <c r="AG844" s="315"/>
      <c r="AH844" s="315"/>
      <c r="AI844" s="377"/>
      <c r="AJ844" s="407"/>
      <c r="AK844" s="377"/>
      <c r="AL844" s="314"/>
      <c r="AM844" s="314"/>
      <c r="AN844" s="314"/>
      <c r="AO844" s="315"/>
      <c r="AP844" s="257"/>
      <c r="AQ844" s="257"/>
      <c r="AR844" s="257"/>
      <c r="AS844" s="315"/>
      <c r="AT844" s="257"/>
      <c r="AU844" s="257"/>
      <c r="AV844" s="316"/>
      <c r="AW844" s="314"/>
      <c r="AX844" s="315"/>
      <c r="AY844" s="315"/>
      <c r="AZ844" s="315"/>
      <c r="BA844" s="315"/>
      <c r="BB844" s="315"/>
      <c r="BC844" s="315"/>
      <c r="BD844" s="319"/>
      <c r="BE844" s="319"/>
      <c r="BF844" s="319"/>
      <c r="BG844" s="319"/>
      <c r="BH844" s="319"/>
      <c r="BI844" s="319"/>
      <c r="BJ844" s="319"/>
      <c r="BK844" s="315"/>
      <c r="BL844" s="316"/>
      <c r="BM844" s="314"/>
      <c r="BN844" s="319"/>
      <c r="BO844" s="315"/>
      <c r="BP844" s="314"/>
      <c r="BQ844" s="316"/>
      <c r="BR844" s="314"/>
      <c r="BS844" s="262"/>
      <c r="BT844" s="262"/>
    </row>
    <row r="845" spans="1:72" ht="45.75" customHeight="1">
      <c r="A845" s="342"/>
      <c r="B845" s="342"/>
      <c r="C845" s="342"/>
      <c r="D845" s="343"/>
      <c r="E845" s="342"/>
      <c r="F845" s="342"/>
      <c r="G845" s="344"/>
      <c r="H845" s="344"/>
      <c r="I845" s="344"/>
      <c r="J845" s="334"/>
      <c r="K845" s="335"/>
      <c r="L845" s="336"/>
      <c r="M845" s="336"/>
      <c r="N845" s="337"/>
      <c r="O845" s="337"/>
      <c r="P845" s="315"/>
      <c r="Q845" s="314"/>
      <c r="R845" s="317"/>
      <c r="S845" s="315"/>
      <c r="T845" s="315"/>
      <c r="U845" s="315"/>
      <c r="V845" s="258"/>
      <c r="W845" s="322"/>
      <c r="X845" s="318"/>
      <c r="Y845" s="315"/>
      <c r="Z845" s="318"/>
      <c r="AA845" s="314"/>
      <c r="AB845" s="336"/>
      <c r="AC845" s="314"/>
      <c r="AD845" s="316"/>
      <c r="AE845" s="315"/>
      <c r="AF845" s="315"/>
      <c r="AG845" s="315"/>
      <c r="AH845" s="315"/>
      <c r="AI845" s="377"/>
      <c r="AJ845" s="407"/>
      <c r="AK845" s="377"/>
      <c r="AL845" s="314"/>
      <c r="AM845" s="314"/>
      <c r="AN845" s="314"/>
      <c r="AO845" s="315"/>
      <c r="AP845" s="257"/>
      <c r="AQ845" s="257"/>
      <c r="AR845" s="257"/>
      <c r="AS845" s="315"/>
      <c r="AT845" s="257"/>
      <c r="AU845" s="257"/>
      <c r="AV845" s="316"/>
      <c r="AW845" s="314"/>
      <c r="AX845" s="315"/>
      <c r="AY845" s="315"/>
      <c r="AZ845" s="315"/>
      <c r="BA845" s="315"/>
      <c r="BB845" s="315"/>
      <c r="BC845" s="315"/>
      <c r="BD845" s="319"/>
      <c r="BE845" s="319"/>
      <c r="BF845" s="319"/>
      <c r="BG845" s="319"/>
      <c r="BH845" s="319"/>
      <c r="BI845" s="319"/>
      <c r="BJ845" s="319"/>
      <c r="BK845" s="315"/>
      <c r="BL845" s="316"/>
      <c r="BM845" s="314"/>
      <c r="BN845" s="319"/>
      <c r="BO845" s="315"/>
      <c r="BP845" s="314"/>
      <c r="BQ845" s="316"/>
      <c r="BR845" s="314"/>
      <c r="BS845" s="262"/>
      <c r="BT845" s="262"/>
    </row>
    <row r="846" spans="1:72" ht="45.75" customHeight="1">
      <c r="A846" s="342"/>
      <c r="B846" s="342"/>
      <c r="C846" s="342"/>
      <c r="D846" s="343"/>
      <c r="E846" s="342"/>
      <c r="F846" s="342"/>
      <c r="G846" s="344"/>
      <c r="H846" s="344"/>
      <c r="I846" s="344"/>
      <c r="J846" s="334"/>
      <c r="K846" s="335"/>
      <c r="L846" s="336"/>
      <c r="M846" s="336"/>
      <c r="N846" s="337"/>
      <c r="O846" s="337"/>
      <c r="P846" s="315"/>
      <c r="Q846" s="314"/>
      <c r="R846" s="317"/>
      <c r="S846" s="315"/>
      <c r="T846" s="315"/>
      <c r="U846" s="315"/>
      <c r="V846" s="258"/>
      <c r="W846" s="322"/>
      <c r="X846" s="318"/>
      <c r="Y846" s="315"/>
      <c r="Z846" s="318"/>
      <c r="AA846" s="314"/>
      <c r="AB846" s="336"/>
      <c r="AC846" s="314"/>
      <c r="AD846" s="316"/>
      <c r="AE846" s="315"/>
      <c r="AF846" s="315"/>
      <c r="AG846" s="315"/>
      <c r="AH846" s="315"/>
      <c r="AI846" s="377"/>
      <c r="AJ846" s="407"/>
      <c r="AK846" s="377"/>
      <c r="AL846" s="314"/>
      <c r="AM846" s="314"/>
      <c r="AN846" s="314"/>
      <c r="AO846" s="315"/>
      <c r="AP846" s="257"/>
      <c r="AQ846" s="257"/>
      <c r="AR846" s="257"/>
      <c r="AS846" s="315"/>
      <c r="AT846" s="257"/>
      <c r="AU846" s="257"/>
      <c r="AV846" s="316"/>
      <c r="AW846" s="314"/>
      <c r="AX846" s="315"/>
      <c r="AY846" s="315"/>
      <c r="AZ846" s="315"/>
      <c r="BA846" s="315"/>
      <c r="BB846" s="315"/>
      <c r="BC846" s="315"/>
      <c r="BD846" s="319"/>
      <c r="BE846" s="319"/>
      <c r="BF846" s="319"/>
      <c r="BG846" s="319"/>
      <c r="BH846" s="319"/>
      <c r="BI846" s="319"/>
      <c r="BJ846" s="319"/>
      <c r="BK846" s="315"/>
      <c r="BL846" s="316"/>
      <c r="BM846" s="314"/>
      <c r="BN846" s="319"/>
      <c r="BO846" s="315"/>
      <c r="BP846" s="314"/>
      <c r="BQ846" s="316"/>
      <c r="BR846" s="314"/>
      <c r="BS846" s="262"/>
      <c r="BT846" s="262"/>
    </row>
    <row r="847" spans="1:72" ht="45.75" customHeight="1">
      <c r="A847" s="342"/>
      <c r="B847" s="342"/>
      <c r="C847" s="342"/>
      <c r="D847" s="343"/>
      <c r="E847" s="342"/>
      <c r="F847" s="342"/>
      <c r="G847" s="344"/>
      <c r="H847" s="344"/>
      <c r="I847" s="344"/>
      <c r="J847" s="334"/>
      <c r="K847" s="335"/>
      <c r="L847" s="336"/>
      <c r="M847" s="336"/>
      <c r="N847" s="337"/>
      <c r="O847" s="337"/>
      <c r="P847" s="315"/>
      <c r="Q847" s="314"/>
      <c r="R847" s="317"/>
      <c r="S847" s="315"/>
      <c r="T847" s="315"/>
      <c r="U847" s="315"/>
      <c r="V847" s="258"/>
      <c r="W847" s="322"/>
      <c r="X847" s="318"/>
      <c r="Y847" s="315"/>
      <c r="Z847" s="318"/>
      <c r="AA847" s="314"/>
      <c r="AB847" s="336"/>
      <c r="AC847" s="314"/>
      <c r="AD847" s="316"/>
      <c r="AE847" s="315"/>
      <c r="AF847" s="315"/>
      <c r="AG847" s="315"/>
      <c r="AH847" s="315"/>
      <c r="AI847" s="377"/>
      <c r="AJ847" s="407"/>
      <c r="AK847" s="377"/>
      <c r="AL847" s="314"/>
      <c r="AM847" s="314"/>
      <c r="AN847" s="314"/>
      <c r="AO847" s="315"/>
      <c r="AP847" s="257"/>
      <c r="AQ847" s="257"/>
      <c r="AR847" s="257"/>
      <c r="AS847" s="315"/>
      <c r="AT847" s="257"/>
      <c r="AU847" s="257"/>
      <c r="AV847" s="316"/>
      <c r="AW847" s="314"/>
      <c r="AX847" s="315"/>
      <c r="AY847" s="315"/>
      <c r="AZ847" s="315"/>
      <c r="BA847" s="315"/>
      <c r="BB847" s="315"/>
      <c r="BC847" s="315"/>
      <c r="BD847" s="319"/>
      <c r="BE847" s="319"/>
      <c r="BF847" s="319"/>
      <c r="BG847" s="319"/>
      <c r="BH847" s="319"/>
      <c r="BI847" s="319"/>
      <c r="BJ847" s="319"/>
      <c r="BK847" s="315"/>
      <c r="BL847" s="316"/>
      <c r="BM847" s="314"/>
      <c r="BN847" s="319"/>
      <c r="BO847" s="315"/>
      <c r="BP847" s="314"/>
      <c r="BQ847" s="316"/>
      <c r="BR847" s="314"/>
      <c r="BS847" s="262"/>
      <c r="BT847" s="262"/>
    </row>
    <row r="848" spans="1:72" ht="45.75" customHeight="1">
      <c r="A848" s="342"/>
      <c r="B848" s="342"/>
      <c r="C848" s="342"/>
      <c r="D848" s="343"/>
      <c r="E848" s="342"/>
      <c r="F848" s="342"/>
      <c r="G848" s="344"/>
      <c r="H848" s="344"/>
      <c r="I848" s="344"/>
      <c r="J848" s="334"/>
      <c r="K848" s="335"/>
      <c r="L848" s="336"/>
      <c r="M848" s="336"/>
      <c r="N848" s="337"/>
      <c r="O848" s="337"/>
      <c r="P848" s="315"/>
      <c r="Q848" s="314"/>
      <c r="R848" s="317"/>
      <c r="S848" s="315"/>
      <c r="T848" s="315"/>
      <c r="U848" s="315"/>
      <c r="V848" s="258"/>
      <c r="W848" s="322"/>
      <c r="X848" s="318"/>
      <c r="Y848" s="315"/>
      <c r="Z848" s="318"/>
      <c r="AA848" s="314"/>
      <c r="AB848" s="336"/>
      <c r="AC848" s="314"/>
      <c r="AD848" s="316"/>
      <c r="AE848" s="315"/>
      <c r="AF848" s="315"/>
      <c r="AG848" s="315"/>
      <c r="AH848" s="315"/>
      <c r="AI848" s="377"/>
      <c r="AJ848" s="407"/>
      <c r="AK848" s="377"/>
      <c r="AL848" s="314"/>
      <c r="AM848" s="314"/>
      <c r="AN848" s="314"/>
      <c r="AO848" s="315"/>
      <c r="AP848" s="257"/>
      <c r="AQ848" s="257"/>
      <c r="AR848" s="257"/>
      <c r="AS848" s="315"/>
      <c r="AT848" s="257"/>
      <c r="AU848" s="257"/>
      <c r="AV848" s="316"/>
      <c r="AW848" s="314"/>
      <c r="AX848" s="315"/>
      <c r="AY848" s="315"/>
      <c r="AZ848" s="315"/>
      <c r="BA848" s="315"/>
      <c r="BB848" s="315"/>
      <c r="BC848" s="315"/>
      <c r="BD848" s="319"/>
      <c r="BE848" s="319"/>
      <c r="BF848" s="319"/>
      <c r="BG848" s="319"/>
      <c r="BH848" s="319"/>
      <c r="BI848" s="319"/>
      <c r="BJ848" s="319"/>
      <c r="BK848" s="315"/>
      <c r="BL848" s="316"/>
      <c r="BM848" s="314"/>
      <c r="BN848" s="319"/>
      <c r="BO848" s="315"/>
      <c r="BP848" s="314"/>
      <c r="BQ848" s="316"/>
      <c r="BR848" s="314"/>
      <c r="BS848" s="262"/>
      <c r="BT848" s="262"/>
    </row>
    <row r="849" spans="1:72" ht="45.75" customHeight="1">
      <c r="A849" s="342"/>
      <c r="B849" s="342"/>
      <c r="C849" s="342"/>
      <c r="D849" s="343"/>
      <c r="E849" s="342"/>
      <c r="F849" s="342"/>
      <c r="G849" s="344"/>
      <c r="H849" s="344"/>
      <c r="I849" s="344"/>
      <c r="J849" s="334"/>
      <c r="K849" s="335"/>
      <c r="L849" s="336"/>
      <c r="M849" s="336"/>
      <c r="N849" s="337"/>
      <c r="O849" s="337"/>
      <c r="P849" s="315"/>
      <c r="Q849" s="314"/>
      <c r="R849" s="317"/>
      <c r="S849" s="315"/>
      <c r="T849" s="315"/>
      <c r="U849" s="315"/>
      <c r="V849" s="258"/>
      <c r="W849" s="322"/>
      <c r="X849" s="318"/>
      <c r="Y849" s="315"/>
      <c r="Z849" s="318"/>
      <c r="AA849" s="314"/>
      <c r="AB849" s="336"/>
      <c r="AC849" s="314"/>
      <c r="AD849" s="316"/>
      <c r="AE849" s="315"/>
      <c r="AF849" s="315"/>
      <c r="AG849" s="315"/>
      <c r="AH849" s="315"/>
      <c r="AI849" s="377"/>
      <c r="AJ849" s="407"/>
      <c r="AK849" s="377"/>
      <c r="AL849" s="314"/>
      <c r="AM849" s="314"/>
      <c r="AN849" s="314"/>
      <c r="AO849" s="315"/>
      <c r="AP849" s="257"/>
      <c r="AQ849" s="257"/>
      <c r="AR849" s="257"/>
      <c r="AS849" s="315"/>
      <c r="AT849" s="257"/>
      <c r="AU849" s="257"/>
      <c r="AV849" s="316"/>
      <c r="AW849" s="314"/>
      <c r="AX849" s="315"/>
      <c r="AY849" s="315"/>
      <c r="AZ849" s="315"/>
      <c r="BA849" s="315"/>
      <c r="BB849" s="315"/>
      <c r="BC849" s="315"/>
      <c r="BD849" s="319"/>
      <c r="BE849" s="319"/>
      <c r="BF849" s="319"/>
      <c r="BG849" s="319"/>
      <c r="BH849" s="319"/>
      <c r="BI849" s="319"/>
      <c r="BJ849" s="319"/>
      <c r="BK849" s="315"/>
      <c r="BL849" s="316"/>
      <c r="BM849" s="314"/>
      <c r="BN849" s="319"/>
      <c r="BO849" s="315"/>
      <c r="BP849" s="314"/>
      <c r="BQ849" s="316"/>
      <c r="BR849" s="314"/>
      <c r="BS849" s="262"/>
      <c r="BT849" s="262"/>
    </row>
    <row r="850" spans="1:72" ht="45.75" customHeight="1">
      <c r="A850" s="342"/>
      <c r="B850" s="342"/>
      <c r="C850" s="342"/>
      <c r="D850" s="343"/>
      <c r="E850" s="342"/>
      <c r="F850" s="342"/>
      <c r="G850" s="344"/>
      <c r="H850" s="344"/>
      <c r="I850" s="344"/>
      <c r="J850" s="334"/>
      <c r="K850" s="335"/>
      <c r="L850" s="336"/>
      <c r="M850" s="336"/>
      <c r="N850" s="337"/>
      <c r="O850" s="337"/>
      <c r="P850" s="315"/>
      <c r="Q850" s="314"/>
      <c r="R850" s="317"/>
      <c r="S850" s="315"/>
      <c r="T850" s="315"/>
      <c r="U850" s="315"/>
      <c r="V850" s="258"/>
      <c r="W850" s="322"/>
      <c r="X850" s="318"/>
      <c r="Y850" s="315"/>
      <c r="Z850" s="318"/>
      <c r="AA850" s="314"/>
      <c r="AB850" s="336"/>
      <c r="AC850" s="314"/>
      <c r="AD850" s="316"/>
      <c r="AE850" s="315"/>
      <c r="AF850" s="315"/>
      <c r="AG850" s="315"/>
      <c r="AH850" s="315"/>
      <c r="AI850" s="377"/>
      <c r="AJ850" s="407"/>
      <c r="AK850" s="377"/>
      <c r="AL850" s="314"/>
      <c r="AM850" s="314"/>
      <c r="AN850" s="314"/>
      <c r="AO850" s="315"/>
      <c r="AP850" s="257"/>
      <c r="AQ850" s="257"/>
      <c r="AR850" s="257"/>
      <c r="AS850" s="315"/>
      <c r="AT850" s="257"/>
      <c r="AU850" s="257"/>
      <c r="AV850" s="316"/>
      <c r="AW850" s="314"/>
      <c r="AX850" s="315"/>
      <c r="AY850" s="315"/>
      <c r="AZ850" s="315"/>
      <c r="BA850" s="315"/>
      <c r="BB850" s="315"/>
      <c r="BC850" s="315"/>
      <c r="BD850" s="319"/>
      <c r="BE850" s="319"/>
      <c r="BF850" s="319"/>
      <c r="BG850" s="319"/>
      <c r="BH850" s="319"/>
      <c r="BI850" s="319"/>
      <c r="BJ850" s="319"/>
      <c r="BK850" s="315"/>
      <c r="BL850" s="316"/>
      <c r="BM850" s="314"/>
      <c r="BN850" s="319"/>
      <c r="BO850" s="315"/>
      <c r="BP850" s="314"/>
      <c r="BQ850" s="316"/>
      <c r="BR850" s="314"/>
      <c r="BS850" s="262"/>
      <c r="BT850" s="262"/>
    </row>
    <row r="851" spans="1:72" ht="45.75" customHeight="1">
      <c r="A851" s="342"/>
      <c r="B851" s="342"/>
      <c r="C851" s="342"/>
      <c r="D851" s="343"/>
      <c r="E851" s="342"/>
      <c r="F851" s="342"/>
      <c r="G851" s="344"/>
      <c r="H851" s="344"/>
      <c r="I851" s="344"/>
      <c r="J851" s="334"/>
      <c r="K851" s="335"/>
      <c r="L851" s="336"/>
      <c r="M851" s="336"/>
      <c r="N851" s="337"/>
      <c r="O851" s="337"/>
      <c r="P851" s="315"/>
      <c r="Q851" s="314"/>
      <c r="R851" s="317"/>
      <c r="S851" s="315"/>
      <c r="T851" s="315"/>
      <c r="U851" s="315"/>
      <c r="V851" s="258"/>
      <c r="W851" s="322"/>
      <c r="X851" s="318"/>
      <c r="Y851" s="315"/>
      <c r="Z851" s="318"/>
      <c r="AA851" s="314"/>
      <c r="AB851" s="336"/>
      <c r="AC851" s="314"/>
      <c r="AD851" s="316"/>
      <c r="AE851" s="315"/>
      <c r="AF851" s="315"/>
      <c r="AG851" s="315"/>
      <c r="AH851" s="315"/>
      <c r="AI851" s="377"/>
      <c r="AJ851" s="407"/>
      <c r="AK851" s="377"/>
      <c r="AL851" s="314"/>
      <c r="AM851" s="314"/>
      <c r="AN851" s="314"/>
      <c r="AO851" s="315"/>
      <c r="AP851" s="257"/>
      <c r="AQ851" s="257"/>
      <c r="AR851" s="257"/>
      <c r="AS851" s="315"/>
      <c r="AT851" s="257"/>
      <c r="AU851" s="257"/>
      <c r="AV851" s="316"/>
      <c r="AW851" s="314"/>
      <c r="AX851" s="315"/>
      <c r="AY851" s="315"/>
      <c r="AZ851" s="315"/>
      <c r="BA851" s="315"/>
      <c r="BB851" s="315"/>
      <c r="BC851" s="315"/>
      <c r="BD851" s="319"/>
      <c r="BE851" s="319"/>
      <c r="BF851" s="319"/>
      <c r="BG851" s="319"/>
      <c r="BH851" s="319"/>
      <c r="BI851" s="319"/>
      <c r="BJ851" s="319"/>
      <c r="BK851" s="315"/>
      <c r="BL851" s="316"/>
      <c r="BM851" s="314"/>
      <c r="BN851" s="319"/>
      <c r="BO851" s="315"/>
      <c r="BP851" s="314"/>
      <c r="BQ851" s="316"/>
      <c r="BR851" s="314"/>
      <c r="BS851" s="262"/>
      <c r="BT851" s="262"/>
    </row>
    <row r="852" spans="1:72" ht="45.75" customHeight="1">
      <c r="A852" s="342"/>
      <c r="B852" s="342"/>
      <c r="C852" s="342"/>
      <c r="D852" s="343"/>
      <c r="E852" s="342"/>
      <c r="F852" s="342"/>
      <c r="G852" s="344"/>
      <c r="H852" s="344"/>
      <c r="I852" s="344"/>
      <c r="J852" s="334"/>
      <c r="K852" s="335"/>
      <c r="L852" s="336"/>
      <c r="M852" s="336"/>
      <c r="N852" s="337"/>
      <c r="O852" s="337"/>
      <c r="P852" s="315"/>
      <c r="Q852" s="314"/>
      <c r="R852" s="317"/>
      <c r="S852" s="315"/>
      <c r="T852" s="315"/>
      <c r="U852" s="315"/>
      <c r="V852" s="258"/>
      <c r="W852" s="322"/>
      <c r="X852" s="318"/>
      <c r="Y852" s="315"/>
      <c r="Z852" s="318"/>
      <c r="AA852" s="314"/>
      <c r="AB852" s="336"/>
      <c r="AC852" s="314"/>
      <c r="AD852" s="316"/>
      <c r="AE852" s="315"/>
      <c r="AF852" s="315"/>
      <c r="AG852" s="315"/>
      <c r="AH852" s="315"/>
      <c r="AI852" s="377"/>
      <c r="AJ852" s="407"/>
      <c r="AK852" s="377"/>
      <c r="AL852" s="314"/>
      <c r="AM852" s="314"/>
      <c r="AN852" s="314"/>
      <c r="AO852" s="315"/>
      <c r="AP852" s="257"/>
      <c r="AQ852" s="257"/>
      <c r="AR852" s="257"/>
      <c r="AS852" s="315"/>
      <c r="AT852" s="257"/>
      <c r="AU852" s="257"/>
      <c r="AV852" s="316"/>
      <c r="AW852" s="314"/>
      <c r="AX852" s="315"/>
      <c r="AY852" s="315"/>
      <c r="AZ852" s="315"/>
      <c r="BA852" s="315"/>
      <c r="BB852" s="315"/>
      <c r="BC852" s="315"/>
      <c r="BD852" s="319"/>
      <c r="BE852" s="319"/>
      <c r="BF852" s="319"/>
      <c r="BG852" s="319"/>
      <c r="BH852" s="319"/>
      <c r="BI852" s="319"/>
      <c r="BJ852" s="319"/>
      <c r="BK852" s="315"/>
      <c r="BL852" s="316"/>
      <c r="BM852" s="314"/>
      <c r="BN852" s="319"/>
      <c r="BO852" s="315"/>
      <c r="BP852" s="314"/>
      <c r="BQ852" s="316"/>
      <c r="BR852" s="314"/>
      <c r="BS852" s="262"/>
      <c r="BT852" s="262"/>
    </row>
    <row r="853" spans="1:72" ht="45.75" customHeight="1">
      <c r="A853" s="342"/>
      <c r="B853" s="342"/>
      <c r="C853" s="342"/>
      <c r="D853" s="343"/>
      <c r="E853" s="342"/>
      <c r="F853" s="342"/>
      <c r="G853" s="344"/>
      <c r="H853" s="344"/>
      <c r="I853" s="344"/>
      <c r="J853" s="334"/>
      <c r="K853" s="335"/>
      <c r="L853" s="336"/>
      <c r="M853" s="336"/>
      <c r="N853" s="337"/>
      <c r="O853" s="337"/>
      <c r="P853" s="315"/>
      <c r="Q853" s="314"/>
      <c r="R853" s="317"/>
      <c r="S853" s="315"/>
      <c r="T853" s="315"/>
      <c r="U853" s="315"/>
      <c r="V853" s="258"/>
      <c r="W853" s="322"/>
      <c r="X853" s="318"/>
      <c r="Y853" s="315"/>
      <c r="Z853" s="318"/>
      <c r="AA853" s="314"/>
      <c r="AB853" s="336"/>
      <c r="AC853" s="314"/>
      <c r="AD853" s="316"/>
      <c r="AE853" s="315"/>
      <c r="AF853" s="315"/>
      <c r="AG853" s="315"/>
      <c r="AH853" s="315"/>
      <c r="AI853" s="377"/>
      <c r="AJ853" s="407"/>
      <c r="AK853" s="377"/>
      <c r="AL853" s="314"/>
      <c r="AM853" s="314"/>
      <c r="AN853" s="314"/>
      <c r="AO853" s="315"/>
      <c r="AP853" s="257"/>
      <c r="AQ853" s="257"/>
      <c r="AR853" s="257"/>
      <c r="AS853" s="315"/>
      <c r="AT853" s="257"/>
      <c r="AU853" s="257"/>
      <c r="AV853" s="316"/>
      <c r="AW853" s="314"/>
      <c r="AX853" s="315"/>
      <c r="AY853" s="315"/>
      <c r="AZ853" s="315"/>
      <c r="BA853" s="315"/>
      <c r="BB853" s="315"/>
      <c r="BC853" s="315"/>
      <c r="BD853" s="319"/>
      <c r="BE853" s="319"/>
      <c r="BF853" s="319"/>
      <c r="BG853" s="319"/>
      <c r="BH853" s="319"/>
      <c r="BI853" s="319"/>
      <c r="BJ853" s="319"/>
      <c r="BK853" s="315"/>
      <c r="BL853" s="316"/>
      <c r="BM853" s="314"/>
      <c r="BN853" s="319"/>
      <c r="BO853" s="315"/>
      <c r="BP853" s="314"/>
      <c r="BQ853" s="316"/>
      <c r="BR853" s="314"/>
      <c r="BS853" s="262"/>
      <c r="BT853" s="262"/>
    </row>
    <row r="854" spans="1:72" ht="45.75" customHeight="1">
      <c r="A854" s="342"/>
      <c r="B854" s="342"/>
      <c r="C854" s="342"/>
      <c r="D854" s="343"/>
      <c r="E854" s="342"/>
      <c r="F854" s="342"/>
      <c r="G854" s="344"/>
      <c r="H854" s="344"/>
      <c r="I854" s="344"/>
      <c r="J854" s="334"/>
      <c r="K854" s="335"/>
      <c r="L854" s="336"/>
      <c r="M854" s="336"/>
      <c r="N854" s="337"/>
      <c r="O854" s="337"/>
      <c r="P854" s="315"/>
      <c r="Q854" s="314"/>
      <c r="R854" s="317"/>
      <c r="S854" s="315"/>
      <c r="T854" s="315"/>
      <c r="U854" s="315"/>
      <c r="V854" s="258"/>
      <c r="W854" s="322"/>
      <c r="X854" s="318"/>
      <c r="Y854" s="315"/>
      <c r="Z854" s="318"/>
      <c r="AA854" s="314"/>
      <c r="AB854" s="336"/>
      <c r="AC854" s="314"/>
      <c r="AD854" s="316"/>
      <c r="AE854" s="315"/>
      <c r="AF854" s="315"/>
      <c r="AG854" s="315"/>
      <c r="AH854" s="315"/>
      <c r="AI854" s="377"/>
      <c r="AJ854" s="407"/>
      <c r="AK854" s="377"/>
      <c r="AL854" s="314"/>
      <c r="AM854" s="314"/>
      <c r="AN854" s="314"/>
      <c r="AO854" s="315"/>
      <c r="AP854" s="257"/>
      <c r="AQ854" s="257"/>
      <c r="AR854" s="257"/>
      <c r="AS854" s="315"/>
      <c r="AT854" s="257"/>
      <c r="AU854" s="257"/>
      <c r="AV854" s="316"/>
      <c r="AW854" s="314"/>
      <c r="AX854" s="315"/>
      <c r="AY854" s="315"/>
      <c r="AZ854" s="315"/>
      <c r="BA854" s="315"/>
      <c r="BB854" s="315"/>
      <c r="BC854" s="315"/>
      <c r="BD854" s="319"/>
      <c r="BE854" s="319"/>
      <c r="BF854" s="319"/>
      <c r="BG854" s="319"/>
      <c r="BH854" s="319"/>
      <c r="BI854" s="319"/>
      <c r="BJ854" s="319"/>
      <c r="BK854" s="315"/>
      <c r="BL854" s="316"/>
      <c r="BM854" s="314"/>
      <c r="BN854" s="319"/>
      <c r="BO854" s="315"/>
      <c r="BP854" s="314"/>
      <c r="BQ854" s="316"/>
      <c r="BR854" s="314"/>
      <c r="BS854" s="262"/>
      <c r="BT854" s="262"/>
    </row>
    <row r="855" spans="1:72" ht="45.75" customHeight="1">
      <c r="A855" s="342"/>
      <c r="B855" s="342"/>
      <c r="C855" s="342"/>
      <c r="D855" s="343"/>
      <c r="E855" s="342"/>
      <c r="F855" s="342"/>
      <c r="G855" s="344"/>
      <c r="H855" s="344"/>
      <c r="I855" s="344"/>
      <c r="J855" s="334"/>
      <c r="K855" s="335"/>
      <c r="L855" s="336"/>
      <c r="M855" s="336"/>
      <c r="N855" s="337"/>
      <c r="O855" s="337"/>
      <c r="P855" s="315"/>
      <c r="Q855" s="314"/>
      <c r="R855" s="317"/>
      <c r="S855" s="315"/>
      <c r="T855" s="315"/>
      <c r="U855" s="315"/>
      <c r="V855" s="258"/>
      <c r="W855" s="322"/>
      <c r="X855" s="318"/>
      <c r="Y855" s="315"/>
      <c r="Z855" s="318"/>
      <c r="AA855" s="314"/>
      <c r="AB855" s="336"/>
      <c r="AC855" s="314"/>
      <c r="AD855" s="316"/>
      <c r="AE855" s="315"/>
      <c r="AF855" s="315"/>
      <c r="AG855" s="315"/>
      <c r="AH855" s="315"/>
      <c r="AI855" s="377"/>
      <c r="AJ855" s="407"/>
      <c r="AK855" s="377"/>
      <c r="AL855" s="314"/>
      <c r="AM855" s="314"/>
      <c r="AN855" s="314"/>
      <c r="AO855" s="315"/>
      <c r="AP855" s="257"/>
      <c r="AQ855" s="257"/>
      <c r="AR855" s="257"/>
      <c r="AS855" s="315"/>
      <c r="AT855" s="257"/>
      <c r="AU855" s="257"/>
      <c r="AV855" s="316"/>
      <c r="AW855" s="314"/>
      <c r="AX855" s="315"/>
      <c r="AY855" s="315"/>
      <c r="AZ855" s="315"/>
      <c r="BA855" s="315"/>
      <c r="BB855" s="315"/>
      <c r="BC855" s="315"/>
      <c r="BD855" s="319"/>
      <c r="BE855" s="319"/>
      <c r="BF855" s="319"/>
      <c r="BG855" s="319"/>
      <c r="BH855" s="319"/>
      <c r="BI855" s="319"/>
      <c r="BJ855" s="319"/>
      <c r="BK855" s="315"/>
      <c r="BL855" s="316"/>
      <c r="BM855" s="314"/>
      <c r="BN855" s="319"/>
      <c r="BO855" s="315"/>
      <c r="BP855" s="314"/>
      <c r="BQ855" s="316"/>
      <c r="BR855" s="314"/>
      <c r="BS855" s="262"/>
      <c r="BT855" s="262"/>
    </row>
    <row r="856" spans="1:72" ht="45.75" customHeight="1">
      <c r="A856" s="342"/>
      <c r="B856" s="342"/>
      <c r="C856" s="342"/>
      <c r="D856" s="343"/>
      <c r="E856" s="342"/>
      <c r="F856" s="342"/>
      <c r="G856" s="344"/>
      <c r="H856" s="344"/>
      <c r="I856" s="344"/>
      <c r="J856" s="334"/>
      <c r="K856" s="335"/>
      <c r="L856" s="336"/>
      <c r="M856" s="336"/>
      <c r="N856" s="337"/>
      <c r="O856" s="337"/>
      <c r="P856" s="315"/>
      <c r="Q856" s="314"/>
      <c r="R856" s="317"/>
      <c r="S856" s="315"/>
      <c r="T856" s="315"/>
      <c r="U856" s="315"/>
      <c r="V856" s="258"/>
      <c r="W856" s="322"/>
      <c r="X856" s="318"/>
      <c r="Y856" s="315"/>
      <c r="Z856" s="318"/>
      <c r="AA856" s="314"/>
      <c r="AB856" s="336"/>
      <c r="AC856" s="314"/>
      <c r="AD856" s="316"/>
      <c r="AE856" s="315"/>
      <c r="AF856" s="315"/>
      <c r="AG856" s="315"/>
      <c r="AH856" s="315"/>
      <c r="AI856" s="377"/>
      <c r="AJ856" s="407"/>
      <c r="AK856" s="377"/>
      <c r="AL856" s="314"/>
      <c r="AM856" s="314"/>
      <c r="AN856" s="314"/>
      <c r="AO856" s="315"/>
      <c r="AP856" s="257"/>
      <c r="AQ856" s="257"/>
      <c r="AR856" s="257"/>
      <c r="AS856" s="315"/>
      <c r="AT856" s="257"/>
      <c r="AU856" s="257"/>
      <c r="AV856" s="316"/>
      <c r="AW856" s="314"/>
      <c r="AX856" s="315"/>
      <c r="AY856" s="315"/>
      <c r="AZ856" s="315"/>
      <c r="BA856" s="315"/>
      <c r="BB856" s="315"/>
      <c r="BC856" s="315"/>
      <c r="BD856" s="319"/>
      <c r="BE856" s="319"/>
      <c r="BF856" s="319"/>
      <c r="BG856" s="319"/>
      <c r="BH856" s="319"/>
      <c r="BI856" s="319"/>
      <c r="BJ856" s="319"/>
      <c r="BK856" s="315"/>
      <c r="BL856" s="316"/>
      <c r="BM856" s="314"/>
      <c r="BN856" s="319"/>
      <c r="BO856" s="315"/>
      <c r="BP856" s="314"/>
      <c r="BQ856" s="316"/>
      <c r="BR856" s="314"/>
      <c r="BS856" s="262"/>
      <c r="BT856" s="262"/>
    </row>
    <row r="857" spans="1:72" ht="45.75" customHeight="1">
      <c r="A857" s="342"/>
      <c r="B857" s="342"/>
      <c r="C857" s="342"/>
      <c r="D857" s="343"/>
      <c r="E857" s="342"/>
      <c r="F857" s="342"/>
      <c r="G857" s="344"/>
      <c r="H857" s="344"/>
      <c r="I857" s="344"/>
      <c r="J857" s="334"/>
      <c r="K857" s="335"/>
      <c r="L857" s="336"/>
      <c r="M857" s="336"/>
      <c r="N857" s="337"/>
      <c r="O857" s="337"/>
      <c r="P857" s="315"/>
      <c r="Q857" s="314"/>
      <c r="R857" s="317"/>
      <c r="S857" s="315"/>
      <c r="T857" s="315"/>
      <c r="U857" s="315"/>
      <c r="V857" s="258"/>
      <c r="W857" s="322"/>
      <c r="X857" s="318"/>
      <c r="Y857" s="315"/>
      <c r="Z857" s="318"/>
      <c r="AA857" s="314"/>
      <c r="AB857" s="336"/>
      <c r="AC857" s="314"/>
      <c r="AD857" s="316"/>
      <c r="AE857" s="315"/>
      <c r="AF857" s="315"/>
      <c r="AG857" s="315"/>
      <c r="AH857" s="315"/>
      <c r="AI857" s="377"/>
      <c r="AJ857" s="407"/>
      <c r="AK857" s="377"/>
      <c r="AL857" s="314"/>
      <c r="AM857" s="314"/>
      <c r="AN857" s="314"/>
      <c r="AO857" s="315"/>
      <c r="AP857" s="257"/>
      <c r="AQ857" s="257"/>
      <c r="AR857" s="257"/>
      <c r="AS857" s="315"/>
      <c r="AT857" s="257"/>
      <c r="AU857" s="257"/>
      <c r="AV857" s="316"/>
      <c r="AW857" s="314"/>
      <c r="AX857" s="315"/>
      <c r="AY857" s="315"/>
      <c r="AZ857" s="315"/>
      <c r="BA857" s="315"/>
      <c r="BB857" s="315"/>
      <c r="BC857" s="315"/>
      <c r="BD857" s="319"/>
      <c r="BE857" s="319"/>
      <c r="BF857" s="319"/>
      <c r="BG857" s="319"/>
      <c r="BH857" s="319"/>
      <c r="BI857" s="319"/>
      <c r="BJ857" s="319"/>
      <c r="BK857" s="315"/>
      <c r="BL857" s="316"/>
      <c r="BM857" s="314"/>
      <c r="BN857" s="319"/>
      <c r="BO857" s="315"/>
      <c r="BP857" s="314"/>
      <c r="BQ857" s="316"/>
      <c r="BR857" s="314"/>
      <c r="BS857" s="262"/>
      <c r="BT857" s="262"/>
    </row>
    <row r="858" spans="1:72" ht="45.75" customHeight="1">
      <c r="A858" s="342"/>
      <c r="B858" s="342"/>
      <c r="C858" s="342"/>
      <c r="D858" s="343"/>
      <c r="E858" s="342"/>
      <c r="F858" s="342"/>
      <c r="G858" s="344"/>
      <c r="H858" s="344"/>
      <c r="I858" s="344"/>
      <c r="J858" s="334"/>
      <c r="K858" s="335"/>
      <c r="L858" s="336"/>
      <c r="M858" s="336"/>
      <c r="N858" s="337"/>
      <c r="O858" s="337"/>
      <c r="P858" s="315"/>
      <c r="Q858" s="314"/>
      <c r="R858" s="317"/>
      <c r="S858" s="315"/>
      <c r="T858" s="315"/>
      <c r="U858" s="315"/>
      <c r="V858" s="258"/>
      <c r="W858" s="322"/>
      <c r="X858" s="318"/>
      <c r="Y858" s="315"/>
      <c r="Z858" s="318"/>
      <c r="AA858" s="314"/>
      <c r="AB858" s="336"/>
      <c r="AC858" s="314"/>
      <c r="AD858" s="316"/>
      <c r="AE858" s="315"/>
      <c r="AF858" s="315"/>
      <c r="AG858" s="315"/>
      <c r="AH858" s="315"/>
      <c r="AI858" s="377"/>
      <c r="AJ858" s="407"/>
      <c r="AK858" s="377"/>
      <c r="AL858" s="314"/>
      <c r="AM858" s="314"/>
      <c r="AN858" s="314"/>
      <c r="AO858" s="315"/>
      <c r="AP858" s="257"/>
      <c r="AQ858" s="257"/>
      <c r="AR858" s="257"/>
      <c r="AS858" s="315"/>
      <c r="AT858" s="257"/>
      <c r="AU858" s="257"/>
      <c r="AV858" s="316"/>
      <c r="AW858" s="314"/>
      <c r="AX858" s="315"/>
      <c r="AY858" s="315"/>
      <c r="AZ858" s="315"/>
      <c r="BA858" s="315"/>
      <c r="BB858" s="315"/>
      <c r="BC858" s="315"/>
      <c r="BD858" s="319"/>
      <c r="BE858" s="319"/>
      <c r="BF858" s="319"/>
      <c r="BG858" s="319"/>
      <c r="BH858" s="319"/>
      <c r="BI858" s="319"/>
      <c r="BJ858" s="319"/>
      <c r="BK858" s="315"/>
      <c r="BL858" s="316"/>
      <c r="BM858" s="314"/>
      <c r="BN858" s="319"/>
      <c r="BO858" s="315"/>
      <c r="BP858" s="314"/>
      <c r="BQ858" s="316"/>
      <c r="BR858" s="314"/>
      <c r="BS858" s="262"/>
      <c r="BT858" s="262"/>
    </row>
    <row r="859" spans="1:72" ht="45.75" customHeight="1">
      <c r="A859" s="342"/>
      <c r="B859" s="342"/>
      <c r="C859" s="342"/>
      <c r="D859" s="343"/>
      <c r="E859" s="342"/>
      <c r="F859" s="342"/>
      <c r="G859" s="344"/>
      <c r="H859" s="344"/>
      <c r="I859" s="344"/>
      <c r="J859" s="334"/>
      <c r="K859" s="335"/>
      <c r="L859" s="336"/>
      <c r="M859" s="336"/>
      <c r="N859" s="337"/>
      <c r="O859" s="337"/>
      <c r="P859" s="315"/>
      <c r="Q859" s="314"/>
      <c r="R859" s="317"/>
      <c r="S859" s="315"/>
      <c r="T859" s="315"/>
      <c r="U859" s="315"/>
      <c r="V859" s="258"/>
      <c r="W859" s="322"/>
      <c r="X859" s="318"/>
      <c r="Y859" s="315"/>
      <c r="Z859" s="318"/>
      <c r="AA859" s="314"/>
      <c r="AB859" s="336"/>
      <c r="AC859" s="314"/>
      <c r="AD859" s="316"/>
      <c r="AE859" s="315"/>
      <c r="AF859" s="315"/>
      <c r="AG859" s="315"/>
      <c r="AH859" s="315"/>
      <c r="AI859" s="377"/>
      <c r="AJ859" s="407"/>
      <c r="AK859" s="377"/>
      <c r="AL859" s="314"/>
      <c r="AM859" s="314"/>
      <c r="AN859" s="314"/>
      <c r="AO859" s="315"/>
      <c r="AP859" s="257"/>
      <c r="AQ859" s="257"/>
      <c r="AR859" s="257"/>
      <c r="AS859" s="315"/>
      <c r="AT859" s="257"/>
      <c r="AU859" s="257"/>
      <c r="AV859" s="316"/>
      <c r="AW859" s="314"/>
      <c r="AX859" s="315"/>
      <c r="AY859" s="315"/>
      <c r="AZ859" s="315"/>
      <c r="BA859" s="315"/>
      <c r="BB859" s="315"/>
      <c r="BC859" s="315"/>
      <c r="BD859" s="319"/>
      <c r="BE859" s="319"/>
      <c r="BF859" s="319"/>
      <c r="BG859" s="319"/>
      <c r="BH859" s="319"/>
      <c r="BI859" s="319"/>
      <c r="BJ859" s="319"/>
      <c r="BK859" s="315"/>
      <c r="BL859" s="316"/>
      <c r="BM859" s="314"/>
      <c r="BN859" s="319"/>
      <c r="BO859" s="315"/>
      <c r="BP859" s="314"/>
      <c r="BQ859" s="316"/>
      <c r="BR859" s="314"/>
      <c r="BS859" s="262"/>
      <c r="BT859" s="262"/>
    </row>
    <row r="860" spans="1:72" ht="45.75" customHeight="1">
      <c r="A860" s="342"/>
      <c r="B860" s="342"/>
      <c r="C860" s="342"/>
      <c r="D860" s="343"/>
      <c r="E860" s="342"/>
      <c r="F860" s="342"/>
      <c r="G860" s="344"/>
      <c r="H860" s="344"/>
      <c r="I860" s="344"/>
      <c r="J860" s="334"/>
      <c r="K860" s="335"/>
      <c r="L860" s="336"/>
      <c r="M860" s="336"/>
      <c r="N860" s="337"/>
      <c r="O860" s="337"/>
      <c r="P860" s="315"/>
      <c r="Q860" s="314"/>
      <c r="R860" s="317"/>
      <c r="S860" s="315"/>
      <c r="T860" s="315"/>
      <c r="U860" s="315"/>
      <c r="V860" s="258"/>
      <c r="W860" s="322"/>
      <c r="X860" s="318"/>
      <c r="Y860" s="315"/>
      <c r="Z860" s="318"/>
      <c r="AA860" s="314"/>
      <c r="AB860" s="336"/>
      <c r="AC860" s="314"/>
      <c r="AD860" s="316"/>
      <c r="AE860" s="315"/>
      <c r="AF860" s="315"/>
      <c r="AG860" s="315"/>
      <c r="AH860" s="315"/>
      <c r="AI860" s="377"/>
      <c r="AJ860" s="407"/>
      <c r="AK860" s="377"/>
      <c r="AL860" s="314"/>
      <c r="AM860" s="314"/>
      <c r="AN860" s="314"/>
      <c r="AO860" s="315"/>
      <c r="AP860" s="257"/>
      <c r="AQ860" s="257"/>
      <c r="AR860" s="257"/>
      <c r="AS860" s="315"/>
      <c r="AT860" s="257"/>
      <c r="AU860" s="257"/>
      <c r="AV860" s="316"/>
      <c r="AW860" s="314"/>
      <c r="AX860" s="315"/>
      <c r="AY860" s="315"/>
      <c r="AZ860" s="315"/>
      <c r="BA860" s="315"/>
      <c r="BB860" s="315"/>
      <c r="BC860" s="315"/>
      <c r="BD860" s="319"/>
      <c r="BE860" s="319"/>
      <c r="BF860" s="319"/>
      <c r="BG860" s="319"/>
      <c r="BH860" s="319"/>
      <c r="BI860" s="319"/>
      <c r="BJ860" s="319"/>
      <c r="BK860" s="315"/>
      <c r="BL860" s="316"/>
      <c r="BM860" s="314"/>
      <c r="BN860" s="319"/>
      <c r="BO860" s="315"/>
      <c r="BP860" s="314"/>
      <c r="BQ860" s="316"/>
      <c r="BR860" s="314"/>
      <c r="BS860" s="262"/>
      <c r="BT860" s="262"/>
    </row>
    <row r="861" spans="1:72" ht="45.75" customHeight="1">
      <c r="A861" s="342"/>
      <c r="B861" s="342"/>
      <c r="C861" s="342"/>
      <c r="D861" s="343"/>
      <c r="E861" s="342"/>
      <c r="F861" s="342"/>
      <c r="G861" s="344"/>
      <c r="H861" s="344"/>
      <c r="I861" s="344"/>
      <c r="J861" s="334"/>
      <c r="K861" s="335"/>
      <c r="L861" s="336"/>
      <c r="M861" s="336"/>
      <c r="N861" s="337"/>
      <c r="O861" s="337"/>
      <c r="P861" s="315"/>
      <c r="Q861" s="314"/>
      <c r="R861" s="317"/>
      <c r="S861" s="315"/>
      <c r="T861" s="315"/>
      <c r="U861" s="315"/>
      <c r="V861" s="258"/>
      <c r="W861" s="322"/>
      <c r="X861" s="318"/>
      <c r="Y861" s="315"/>
      <c r="Z861" s="318"/>
      <c r="AA861" s="314"/>
      <c r="AB861" s="336"/>
      <c r="AC861" s="314"/>
      <c r="AD861" s="316"/>
      <c r="AE861" s="315"/>
      <c r="AF861" s="315"/>
      <c r="AG861" s="315"/>
      <c r="AH861" s="315"/>
      <c r="AI861" s="377"/>
      <c r="AJ861" s="407"/>
      <c r="AK861" s="377"/>
      <c r="AL861" s="314"/>
      <c r="AM861" s="314"/>
      <c r="AN861" s="314"/>
      <c r="AO861" s="315"/>
      <c r="AP861" s="257"/>
      <c r="AQ861" s="257"/>
      <c r="AR861" s="257"/>
      <c r="AS861" s="315"/>
      <c r="AT861" s="257"/>
      <c r="AU861" s="257"/>
      <c r="AV861" s="316"/>
      <c r="AW861" s="314"/>
      <c r="AX861" s="315"/>
      <c r="AY861" s="315"/>
      <c r="AZ861" s="315"/>
      <c r="BA861" s="315"/>
      <c r="BB861" s="315"/>
      <c r="BC861" s="315"/>
      <c r="BD861" s="319"/>
      <c r="BE861" s="319"/>
      <c r="BF861" s="319"/>
      <c r="BG861" s="319"/>
      <c r="BH861" s="319"/>
      <c r="BI861" s="319"/>
      <c r="BJ861" s="319"/>
      <c r="BK861" s="315"/>
      <c r="BL861" s="316"/>
      <c r="BM861" s="314"/>
      <c r="BN861" s="319"/>
      <c r="BO861" s="315"/>
      <c r="BP861" s="314"/>
      <c r="BQ861" s="316"/>
      <c r="BR861" s="314"/>
      <c r="BS861" s="262"/>
      <c r="BT861" s="262"/>
    </row>
    <row r="862" spans="1:72" ht="45.75" customHeight="1">
      <c r="A862" s="342"/>
      <c r="B862" s="342"/>
      <c r="C862" s="342"/>
      <c r="D862" s="343"/>
      <c r="E862" s="342"/>
      <c r="F862" s="342"/>
      <c r="G862" s="344"/>
      <c r="H862" s="344"/>
      <c r="I862" s="344"/>
      <c r="J862" s="334"/>
      <c r="K862" s="335"/>
      <c r="L862" s="336"/>
      <c r="M862" s="336"/>
      <c r="N862" s="337"/>
      <c r="O862" s="337"/>
      <c r="P862" s="315"/>
      <c r="Q862" s="314"/>
      <c r="R862" s="317"/>
      <c r="S862" s="315"/>
      <c r="T862" s="315"/>
      <c r="U862" s="315"/>
      <c r="V862" s="258"/>
      <c r="W862" s="322"/>
      <c r="X862" s="318"/>
      <c r="Y862" s="315"/>
      <c r="Z862" s="318"/>
      <c r="AA862" s="314"/>
      <c r="AB862" s="336"/>
      <c r="AC862" s="314"/>
      <c r="AD862" s="316"/>
      <c r="AE862" s="315"/>
      <c r="AF862" s="315"/>
      <c r="AG862" s="315"/>
      <c r="AH862" s="315"/>
      <c r="AI862" s="377"/>
      <c r="AJ862" s="407"/>
      <c r="AK862" s="377"/>
      <c r="AL862" s="314"/>
      <c r="AM862" s="314"/>
      <c r="AN862" s="314"/>
      <c r="AO862" s="315"/>
      <c r="AP862" s="257"/>
      <c r="AQ862" s="257"/>
      <c r="AR862" s="257"/>
      <c r="AS862" s="315"/>
      <c r="AT862" s="257"/>
      <c r="AU862" s="257"/>
      <c r="AV862" s="316"/>
      <c r="AW862" s="314"/>
      <c r="AX862" s="315"/>
      <c r="AY862" s="315"/>
      <c r="AZ862" s="315"/>
      <c r="BA862" s="315"/>
      <c r="BB862" s="315"/>
      <c r="BC862" s="315"/>
      <c r="BD862" s="319"/>
      <c r="BE862" s="319"/>
      <c r="BF862" s="319"/>
      <c r="BG862" s="319"/>
      <c r="BH862" s="319"/>
      <c r="BI862" s="319"/>
      <c r="BJ862" s="319"/>
      <c r="BK862" s="315"/>
      <c r="BL862" s="316"/>
      <c r="BM862" s="314"/>
      <c r="BN862" s="319"/>
      <c r="BO862" s="315"/>
      <c r="BP862" s="314"/>
      <c r="BQ862" s="316"/>
      <c r="BR862" s="314"/>
      <c r="BS862" s="262"/>
      <c r="BT862" s="262"/>
    </row>
    <row r="863" spans="1:72" ht="45.75" customHeight="1">
      <c r="A863" s="342"/>
      <c r="B863" s="342"/>
      <c r="C863" s="342"/>
      <c r="D863" s="343"/>
      <c r="E863" s="342"/>
      <c r="F863" s="342"/>
      <c r="G863" s="344"/>
      <c r="H863" s="344"/>
      <c r="I863" s="344"/>
      <c r="J863" s="334"/>
      <c r="K863" s="335"/>
      <c r="L863" s="336"/>
      <c r="M863" s="336"/>
      <c r="N863" s="337"/>
      <c r="O863" s="337"/>
      <c r="P863" s="315"/>
      <c r="Q863" s="314"/>
      <c r="R863" s="317"/>
      <c r="S863" s="315"/>
      <c r="T863" s="315"/>
      <c r="U863" s="315"/>
      <c r="V863" s="258"/>
      <c r="W863" s="322"/>
      <c r="X863" s="318"/>
      <c r="Y863" s="315"/>
      <c r="Z863" s="318"/>
      <c r="AA863" s="314"/>
      <c r="AB863" s="336"/>
      <c r="AC863" s="314"/>
      <c r="AD863" s="316"/>
      <c r="AE863" s="315"/>
      <c r="AF863" s="315"/>
      <c r="AG863" s="315"/>
      <c r="AH863" s="315"/>
      <c r="AI863" s="377"/>
      <c r="AJ863" s="407"/>
      <c r="AK863" s="377"/>
      <c r="AL863" s="314"/>
      <c r="AM863" s="314"/>
      <c r="AN863" s="314"/>
      <c r="AO863" s="315"/>
      <c r="AP863" s="257"/>
      <c r="AQ863" s="257"/>
      <c r="AR863" s="257"/>
      <c r="AS863" s="315"/>
      <c r="AT863" s="257"/>
      <c r="AU863" s="257"/>
      <c r="AV863" s="316"/>
      <c r="AW863" s="314"/>
      <c r="AX863" s="315"/>
      <c r="AY863" s="315"/>
      <c r="AZ863" s="315"/>
      <c r="BA863" s="315"/>
      <c r="BB863" s="315"/>
      <c r="BC863" s="315"/>
      <c r="BD863" s="319"/>
      <c r="BE863" s="319"/>
      <c r="BF863" s="319"/>
      <c r="BG863" s="319"/>
      <c r="BH863" s="319"/>
      <c r="BI863" s="319"/>
      <c r="BJ863" s="319"/>
      <c r="BK863" s="315"/>
      <c r="BL863" s="316"/>
      <c r="BM863" s="314"/>
      <c r="BN863" s="319"/>
      <c r="BO863" s="315"/>
      <c r="BP863" s="314"/>
      <c r="BQ863" s="316"/>
      <c r="BR863" s="314"/>
      <c r="BS863" s="262"/>
      <c r="BT863" s="262"/>
    </row>
    <row r="864" spans="1:72" ht="45.75" customHeight="1">
      <c r="A864" s="342"/>
      <c r="B864" s="342"/>
      <c r="C864" s="342"/>
      <c r="D864" s="343"/>
      <c r="E864" s="342"/>
      <c r="F864" s="342"/>
      <c r="G864" s="344"/>
      <c r="H864" s="344"/>
      <c r="I864" s="344"/>
      <c r="J864" s="334"/>
      <c r="K864" s="335"/>
      <c r="L864" s="336"/>
      <c r="M864" s="336"/>
      <c r="N864" s="337"/>
      <c r="O864" s="337"/>
      <c r="P864" s="315"/>
      <c r="Q864" s="314"/>
      <c r="R864" s="317"/>
      <c r="S864" s="315"/>
      <c r="T864" s="315"/>
      <c r="U864" s="315"/>
      <c r="V864" s="258"/>
      <c r="W864" s="322"/>
      <c r="X864" s="318"/>
      <c r="Y864" s="315"/>
      <c r="Z864" s="318"/>
      <c r="AA864" s="314"/>
      <c r="AB864" s="336"/>
      <c r="AC864" s="314"/>
      <c r="AD864" s="316"/>
      <c r="AE864" s="315"/>
      <c r="AF864" s="315"/>
      <c r="AG864" s="315"/>
      <c r="AH864" s="315"/>
      <c r="AI864" s="377"/>
      <c r="AJ864" s="407"/>
      <c r="AK864" s="377"/>
      <c r="AL864" s="314"/>
      <c r="AM864" s="314"/>
      <c r="AN864" s="314"/>
      <c r="AO864" s="315"/>
      <c r="AP864" s="257"/>
      <c r="AQ864" s="257"/>
      <c r="AR864" s="257"/>
      <c r="AS864" s="315"/>
      <c r="AT864" s="257"/>
      <c r="AU864" s="257"/>
      <c r="AV864" s="316"/>
      <c r="AW864" s="314"/>
      <c r="AX864" s="315"/>
      <c r="AY864" s="315"/>
      <c r="AZ864" s="315"/>
      <c r="BA864" s="315"/>
      <c r="BB864" s="315"/>
      <c r="BC864" s="315"/>
      <c r="BD864" s="319"/>
      <c r="BE864" s="319"/>
      <c r="BF864" s="319"/>
      <c r="BG864" s="319"/>
      <c r="BH864" s="319"/>
      <c r="BI864" s="319"/>
      <c r="BJ864" s="319"/>
      <c r="BK864" s="315"/>
      <c r="BL864" s="316"/>
      <c r="BM864" s="314"/>
      <c r="BN864" s="319"/>
      <c r="BO864" s="315"/>
      <c r="BP864" s="314"/>
      <c r="BQ864" s="316"/>
      <c r="BR864" s="314"/>
      <c r="BS864" s="262"/>
      <c r="BT864" s="262"/>
    </row>
    <row r="865" spans="1:72" ht="45.75" customHeight="1">
      <c r="A865" s="342"/>
      <c r="B865" s="342"/>
      <c r="C865" s="342"/>
      <c r="D865" s="343"/>
      <c r="E865" s="342"/>
      <c r="F865" s="342"/>
      <c r="G865" s="344"/>
      <c r="H865" s="344"/>
      <c r="I865" s="344"/>
      <c r="J865" s="334"/>
      <c r="K865" s="335"/>
      <c r="L865" s="336"/>
      <c r="M865" s="336"/>
      <c r="N865" s="337"/>
      <c r="O865" s="337"/>
      <c r="P865" s="315"/>
      <c r="Q865" s="314"/>
      <c r="R865" s="317"/>
      <c r="S865" s="315"/>
      <c r="T865" s="315"/>
      <c r="U865" s="315"/>
      <c r="V865" s="258"/>
      <c r="W865" s="322"/>
      <c r="X865" s="318"/>
      <c r="Y865" s="315"/>
      <c r="Z865" s="318"/>
      <c r="AA865" s="314"/>
      <c r="AB865" s="336"/>
      <c r="AC865" s="314"/>
      <c r="AD865" s="316"/>
      <c r="AE865" s="315"/>
      <c r="AF865" s="315"/>
      <c r="AG865" s="315"/>
      <c r="AH865" s="315"/>
      <c r="AI865" s="377"/>
      <c r="AJ865" s="407"/>
      <c r="AK865" s="377"/>
      <c r="AL865" s="314"/>
      <c r="AM865" s="314"/>
      <c r="AN865" s="314"/>
      <c r="AO865" s="315"/>
      <c r="AP865" s="257"/>
      <c r="AQ865" s="257"/>
      <c r="AR865" s="257"/>
      <c r="AS865" s="315"/>
      <c r="AT865" s="257"/>
      <c r="AU865" s="257"/>
      <c r="AV865" s="316"/>
      <c r="AW865" s="314"/>
      <c r="AX865" s="315"/>
      <c r="AY865" s="315"/>
      <c r="AZ865" s="315"/>
      <c r="BA865" s="315"/>
      <c r="BB865" s="315"/>
      <c r="BC865" s="315"/>
      <c r="BD865" s="319"/>
      <c r="BE865" s="319"/>
      <c r="BF865" s="319"/>
      <c r="BG865" s="319"/>
      <c r="BH865" s="319"/>
      <c r="BI865" s="319"/>
      <c r="BJ865" s="319"/>
      <c r="BK865" s="315"/>
      <c r="BL865" s="316"/>
      <c r="BM865" s="314"/>
      <c r="BN865" s="319"/>
      <c r="BO865" s="315"/>
      <c r="BP865" s="314"/>
      <c r="BQ865" s="316"/>
      <c r="BR865" s="314"/>
      <c r="BS865" s="262"/>
      <c r="BT865" s="262"/>
    </row>
    <row r="866" spans="1:72" ht="45.75" customHeight="1">
      <c r="A866" s="342"/>
      <c r="B866" s="342"/>
      <c r="C866" s="342"/>
      <c r="D866" s="343"/>
      <c r="E866" s="342"/>
      <c r="F866" s="342"/>
      <c r="G866" s="344"/>
      <c r="H866" s="344"/>
      <c r="I866" s="344"/>
      <c r="J866" s="334"/>
      <c r="K866" s="335"/>
      <c r="L866" s="336"/>
      <c r="M866" s="336"/>
      <c r="N866" s="337"/>
      <c r="O866" s="337"/>
      <c r="P866" s="315"/>
      <c r="Q866" s="314"/>
      <c r="R866" s="317"/>
      <c r="S866" s="315"/>
      <c r="T866" s="315"/>
      <c r="U866" s="315"/>
      <c r="V866" s="258"/>
      <c r="W866" s="322"/>
      <c r="X866" s="318"/>
      <c r="Y866" s="315"/>
      <c r="Z866" s="318"/>
      <c r="AA866" s="314"/>
      <c r="AB866" s="336"/>
      <c r="AC866" s="314"/>
      <c r="AD866" s="316"/>
      <c r="AE866" s="315"/>
      <c r="AF866" s="315"/>
      <c r="AG866" s="315"/>
      <c r="AH866" s="315"/>
      <c r="AI866" s="377"/>
      <c r="AJ866" s="407"/>
      <c r="AK866" s="377"/>
      <c r="AL866" s="314"/>
      <c r="AM866" s="314"/>
      <c r="AN866" s="314"/>
      <c r="AO866" s="315"/>
      <c r="AP866" s="257"/>
      <c r="AQ866" s="257"/>
      <c r="AR866" s="257"/>
      <c r="AS866" s="315"/>
      <c r="AT866" s="257"/>
      <c r="AU866" s="257"/>
      <c r="AV866" s="316"/>
      <c r="AW866" s="314"/>
      <c r="AX866" s="315"/>
      <c r="AY866" s="315"/>
      <c r="AZ866" s="315"/>
      <c r="BA866" s="315"/>
      <c r="BB866" s="315"/>
      <c r="BC866" s="315"/>
      <c r="BD866" s="319"/>
      <c r="BE866" s="319"/>
      <c r="BF866" s="319"/>
      <c r="BG866" s="319"/>
      <c r="BH866" s="319"/>
      <c r="BI866" s="319"/>
      <c r="BJ866" s="319"/>
      <c r="BK866" s="315"/>
      <c r="BL866" s="316"/>
      <c r="BM866" s="314"/>
      <c r="BN866" s="319"/>
      <c r="BO866" s="315"/>
      <c r="BP866" s="314"/>
      <c r="BQ866" s="316"/>
      <c r="BR866" s="314"/>
      <c r="BS866" s="262"/>
      <c r="BT866" s="262"/>
    </row>
    <row r="867" spans="1:72" ht="45.75" customHeight="1">
      <c r="A867" s="342"/>
      <c r="B867" s="342"/>
      <c r="C867" s="342"/>
      <c r="D867" s="343"/>
      <c r="E867" s="342"/>
      <c r="F867" s="342"/>
      <c r="G867" s="344"/>
      <c r="H867" s="344"/>
      <c r="I867" s="344"/>
      <c r="J867" s="334"/>
      <c r="K867" s="335"/>
      <c r="L867" s="336"/>
      <c r="M867" s="336"/>
      <c r="N867" s="337"/>
      <c r="O867" s="337"/>
      <c r="P867" s="315"/>
      <c r="Q867" s="314"/>
      <c r="R867" s="317"/>
      <c r="S867" s="315"/>
      <c r="T867" s="315"/>
      <c r="U867" s="315"/>
      <c r="V867" s="258"/>
      <c r="W867" s="322"/>
      <c r="X867" s="318"/>
      <c r="Y867" s="315"/>
      <c r="Z867" s="318"/>
      <c r="AA867" s="314"/>
      <c r="AB867" s="336"/>
      <c r="AC867" s="314"/>
      <c r="AD867" s="316"/>
      <c r="AE867" s="315"/>
      <c r="AF867" s="315"/>
      <c r="AG867" s="315"/>
      <c r="AH867" s="315"/>
      <c r="AI867" s="377"/>
      <c r="AJ867" s="407"/>
      <c r="AK867" s="377"/>
      <c r="AL867" s="314"/>
      <c r="AM867" s="314"/>
      <c r="AN867" s="314"/>
      <c r="AO867" s="315"/>
      <c r="AP867" s="257"/>
      <c r="AQ867" s="257"/>
      <c r="AR867" s="257"/>
      <c r="AS867" s="315"/>
      <c r="AT867" s="257"/>
      <c r="AU867" s="257"/>
      <c r="AV867" s="316"/>
      <c r="AW867" s="314"/>
      <c r="AX867" s="315"/>
      <c r="AY867" s="315"/>
      <c r="AZ867" s="315"/>
      <c r="BA867" s="315"/>
      <c r="BB867" s="315"/>
      <c r="BC867" s="315"/>
      <c r="BD867" s="319"/>
      <c r="BE867" s="319"/>
      <c r="BF867" s="319"/>
      <c r="BG867" s="319"/>
      <c r="BH867" s="319"/>
      <c r="BI867" s="319"/>
      <c r="BJ867" s="319"/>
      <c r="BK867" s="315"/>
      <c r="BL867" s="316"/>
      <c r="BM867" s="314"/>
      <c r="BN867" s="319"/>
      <c r="BO867" s="315"/>
      <c r="BP867" s="314"/>
      <c r="BQ867" s="316"/>
      <c r="BR867" s="314"/>
      <c r="BS867" s="262"/>
      <c r="BT867" s="262"/>
    </row>
    <row r="868" spans="1:72" ht="45.75" customHeight="1">
      <c r="A868" s="342"/>
      <c r="B868" s="342"/>
      <c r="C868" s="342"/>
      <c r="D868" s="343"/>
      <c r="E868" s="342"/>
      <c r="F868" s="342"/>
      <c r="G868" s="344"/>
      <c r="H868" s="344"/>
      <c r="I868" s="344"/>
      <c r="J868" s="334"/>
      <c r="K868" s="335"/>
      <c r="L868" s="336"/>
      <c r="M868" s="336"/>
      <c r="N868" s="337"/>
      <c r="O868" s="337"/>
      <c r="P868" s="315"/>
      <c r="Q868" s="314"/>
      <c r="R868" s="317"/>
      <c r="S868" s="315"/>
      <c r="T868" s="315"/>
      <c r="U868" s="315"/>
      <c r="V868" s="258"/>
      <c r="W868" s="322"/>
      <c r="X868" s="318"/>
      <c r="Y868" s="315"/>
      <c r="Z868" s="318"/>
      <c r="AA868" s="314"/>
      <c r="AB868" s="336"/>
      <c r="AC868" s="314"/>
      <c r="AD868" s="316"/>
      <c r="AE868" s="315"/>
      <c r="AF868" s="315"/>
      <c r="AG868" s="315"/>
      <c r="AH868" s="315"/>
      <c r="AI868" s="377"/>
      <c r="AJ868" s="407"/>
      <c r="AK868" s="377"/>
      <c r="AL868" s="314"/>
      <c r="AM868" s="314"/>
      <c r="AN868" s="314"/>
      <c r="AO868" s="315"/>
      <c r="AP868" s="257"/>
      <c r="AQ868" s="257"/>
      <c r="AR868" s="257"/>
      <c r="AS868" s="315"/>
      <c r="AT868" s="257"/>
      <c r="AU868" s="257"/>
      <c r="AV868" s="316"/>
      <c r="AW868" s="314"/>
      <c r="AX868" s="315"/>
      <c r="AY868" s="315"/>
      <c r="AZ868" s="315"/>
      <c r="BA868" s="315"/>
      <c r="BB868" s="315"/>
      <c r="BC868" s="315"/>
      <c r="BD868" s="319"/>
      <c r="BE868" s="319"/>
      <c r="BF868" s="319"/>
      <c r="BG868" s="319"/>
      <c r="BH868" s="319"/>
      <c r="BI868" s="319"/>
      <c r="BJ868" s="319"/>
      <c r="BK868" s="315"/>
      <c r="BL868" s="316"/>
      <c r="BM868" s="314"/>
      <c r="BN868" s="319"/>
      <c r="BO868" s="315"/>
      <c r="BP868" s="314"/>
      <c r="BQ868" s="316"/>
      <c r="BR868" s="314"/>
      <c r="BS868" s="262"/>
      <c r="BT868" s="262"/>
    </row>
    <row r="869" spans="1:72" ht="45.75" customHeight="1">
      <c r="A869" s="342"/>
      <c r="B869" s="342"/>
      <c r="C869" s="342"/>
      <c r="D869" s="343"/>
      <c r="E869" s="342"/>
      <c r="F869" s="342"/>
      <c r="G869" s="344"/>
      <c r="H869" s="344"/>
      <c r="I869" s="344"/>
      <c r="J869" s="334"/>
      <c r="K869" s="335"/>
      <c r="L869" s="336"/>
      <c r="M869" s="336"/>
      <c r="N869" s="337"/>
      <c r="O869" s="337"/>
      <c r="P869" s="315"/>
      <c r="Q869" s="314"/>
      <c r="R869" s="317"/>
      <c r="S869" s="315"/>
      <c r="T869" s="315"/>
      <c r="U869" s="315"/>
      <c r="V869" s="258"/>
      <c r="W869" s="322"/>
      <c r="X869" s="318"/>
      <c r="Y869" s="315"/>
      <c r="Z869" s="318"/>
      <c r="AA869" s="314"/>
      <c r="AB869" s="336"/>
      <c r="AC869" s="314"/>
      <c r="AD869" s="316"/>
      <c r="AE869" s="315"/>
      <c r="AF869" s="315"/>
      <c r="AG869" s="315"/>
      <c r="AH869" s="315"/>
      <c r="AI869" s="377"/>
      <c r="AJ869" s="407"/>
      <c r="AK869" s="377"/>
      <c r="AL869" s="314"/>
      <c r="AM869" s="314"/>
      <c r="AN869" s="314"/>
      <c r="AO869" s="315"/>
      <c r="AP869" s="257"/>
      <c r="AQ869" s="257"/>
      <c r="AR869" s="257"/>
      <c r="AS869" s="315"/>
      <c r="AT869" s="257"/>
      <c r="AU869" s="257"/>
      <c r="AV869" s="316"/>
      <c r="AW869" s="314"/>
      <c r="AX869" s="315"/>
      <c r="AY869" s="315"/>
      <c r="AZ869" s="315"/>
      <c r="BA869" s="315"/>
      <c r="BB869" s="315"/>
      <c r="BC869" s="315"/>
      <c r="BD869" s="319"/>
      <c r="BE869" s="319"/>
      <c r="BF869" s="319"/>
      <c r="BG869" s="319"/>
      <c r="BH869" s="319"/>
      <c r="BI869" s="319"/>
      <c r="BJ869" s="319"/>
      <c r="BK869" s="315"/>
      <c r="BL869" s="316"/>
      <c r="BM869" s="314"/>
      <c r="BN869" s="319"/>
      <c r="BO869" s="315"/>
      <c r="BP869" s="314"/>
      <c r="BQ869" s="316"/>
      <c r="BR869" s="314"/>
      <c r="BS869" s="262"/>
      <c r="BT869" s="262"/>
    </row>
    <row r="870" spans="1:72" ht="45.75" customHeight="1">
      <c r="A870" s="342"/>
      <c r="B870" s="342"/>
      <c r="C870" s="342"/>
      <c r="D870" s="343"/>
      <c r="E870" s="342"/>
      <c r="F870" s="342"/>
      <c r="G870" s="344"/>
      <c r="H870" s="344"/>
      <c r="I870" s="344"/>
      <c r="J870" s="334"/>
      <c r="K870" s="335"/>
      <c r="L870" s="336"/>
      <c r="M870" s="336"/>
      <c r="N870" s="337"/>
      <c r="O870" s="337"/>
      <c r="P870" s="315"/>
      <c r="Q870" s="314"/>
      <c r="R870" s="317"/>
      <c r="S870" s="315"/>
      <c r="T870" s="315"/>
      <c r="U870" s="315"/>
      <c r="V870" s="258"/>
      <c r="W870" s="322"/>
      <c r="X870" s="318"/>
      <c r="Y870" s="315"/>
      <c r="Z870" s="318"/>
      <c r="AA870" s="314"/>
      <c r="AB870" s="336"/>
      <c r="AC870" s="314"/>
      <c r="AD870" s="316"/>
      <c r="AE870" s="315"/>
      <c r="AF870" s="315"/>
      <c r="AG870" s="315"/>
      <c r="AH870" s="315"/>
      <c r="AI870" s="377"/>
      <c r="AJ870" s="407"/>
      <c r="AK870" s="377"/>
      <c r="AL870" s="314"/>
      <c r="AM870" s="314"/>
      <c r="AN870" s="314"/>
      <c r="AO870" s="315"/>
      <c r="AP870" s="257"/>
      <c r="AQ870" s="257"/>
      <c r="AR870" s="257"/>
      <c r="AS870" s="315"/>
      <c r="AT870" s="257"/>
      <c r="AU870" s="257"/>
      <c r="AV870" s="316"/>
      <c r="AW870" s="314"/>
      <c r="AX870" s="315"/>
      <c r="AY870" s="315"/>
      <c r="AZ870" s="315"/>
      <c r="BA870" s="315"/>
      <c r="BB870" s="315"/>
      <c r="BC870" s="315"/>
      <c r="BD870" s="319"/>
      <c r="BE870" s="319"/>
      <c r="BF870" s="319"/>
      <c r="BG870" s="319"/>
      <c r="BH870" s="319"/>
      <c r="BI870" s="319"/>
      <c r="BJ870" s="319"/>
      <c r="BK870" s="315"/>
      <c r="BL870" s="316"/>
      <c r="BM870" s="314"/>
      <c r="BN870" s="319"/>
      <c r="BO870" s="315"/>
      <c r="BP870" s="314"/>
      <c r="BQ870" s="316"/>
      <c r="BR870" s="314"/>
      <c r="BS870" s="262"/>
      <c r="BT870" s="262"/>
    </row>
    <row r="871" spans="1:72" ht="45.75" customHeight="1">
      <c r="A871" s="342"/>
      <c r="B871" s="342"/>
      <c r="C871" s="342"/>
      <c r="D871" s="343"/>
      <c r="E871" s="342"/>
      <c r="F871" s="342"/>
      <c r="G871" s="344"/>
      <c r="H871" s="344"/>
      <c r="I871" s="344"/>
      <c r="J871" s="334"/>
      <c r="K871" s="335"/>
      <c r="L871" s="336"/>
      <c r="M871" s="336"/>
      <c r="N871" s="337"/>
      <c r="O871" s="337"/>
      <c r="P871" s="315"/>
      <c r="Q871" s="314"/>
      <c r="R871" s="317"/>
      <c r="S871" s="315"/>
      <c r="T871" s="315"/>
      <c r="U871" s="315"/>
      <c r="V871" s="258"/>
      <c r="W871" s="322"/>
      <c r="X871" s="318"/>
      <c r="Y871" s="315"/>
      <c r="Z871" s="318"/>
      <c r="AA871" s="314"/>
      <c r="AB871" s="336"/>
      <c r="AC871" s="314"/>
      <c r="AD871" s="316"/>
      <c r="AE871" s="315"/>
      <c r="AF871" s="315"/>
      <c r="AG871" s="315"/>
      <c r="AH871" s="315"/>
      <c r="AI871" s="377"/>
      <c r="AJ871" s="407"/>
      <c r="AK871" s="377"/>
      <c r="AL871" s="314"/>
      <c r="AM871" s="314"/>
      <c r="AN871" s="314"/>
      <c r="AO871" s="315"/>
      <c r="AP871" s="257"/>
      <c r="AQ871" s="257"/>
      <c r="AR871" s="257"/>
      <c r="AS871" s="315"/>
      <c r="AT871" s="257"/>
      <c r="AU871" s="257"/>
      <c r="AV871" s="316"/>
      <c r="AW871" s="314"/>
      <c r="AX871" s="315"/>
      <c r="AY871" s="315"/>
      <c r="AZ871" s="315"/>
      <c r="BA871" s="315"/>
      <c r="BB871" s="315"/>
      <c r="BC871" s="315"/>
      <c r="BD871" s="319"/>
      <c r="BE871" s="319"/>
      <c r="BF871" s="319"/>
      <c r="BG871" s="319"/>
      <c r="BH871" s="319"/>
      <c r="BI871" s="319"/>
      <c r="BJ871" s="319"/>
      <c r="BK871" s="315"/>
      <c r="BL871" s="316"/>
      <c r="BM871" s="314"/>
      <c r="BN871" s="319"/>
      <c r="BO871" s="315"/>
      <c r="BP871" s="314"/>
      <c r="BQ871" s="316"/>
      <c r="BR871" s="314"/>
      <c r="BS871" s="262"/>
      <c r="BT871" s="262"/>
    </row>
    <row r="872" spans="1:72" ht="45.75" customHeight="1">
      <c r="A872" s="342"/>
      <c r="B872" s="342"/>
      <c r="C872" s="342"/>
      <c r="D872" s="343"/>
      <c r="E872" s="342"/>
      <c r="F872" s="342"/>
      <c r="G872" s="344"/>
      <c r="H872" s="344"/>
      <c r="I872" s="344"/>
      <c r="J872" s="334"/>
      <c r="K872" s="335"/>
      <c r="L872" s="336"/>
      <c r="M872" s="336"/>
      <c r="N872" s="337"/>
      <c r="O872" s="337"/>
      <c r="P872" s="315"/>
      <c r="Q872" s="314"/>
      <c r="R872" s="317"/>
      <c r="S872" s="315"/>
      <c r="T872" s="315"/>
      <c r="U872" s="315"/>
      <c r="V872" s="258"/>
      <c r="W872" s="322"/>
      <c r="X872" s="318"/>
      <c r="Y872" s="315"/>
      <c r="Z872" s="318"/>
      <c r="AA872" s="314"/>
      <c r="AB872" s="336"/>
      <c r="AC872" s="314"/>
      <c r="AD872" s="316"/>
      <c r="AE872" s="315"/>
      <c r="AF872" s="315"/>
      <c r="AG872" s="315"/>
      <c r="AH872" s="315"/>
      <c r="AI872" s="377"/>
      <c r="AJ872" s="407"/>
      <c r="AK872" s="377"/>
      <c r="AL872" s="314"/>
      <c r="AM872" s="314"/>
      <c r="AN872" s="314"/>
      <c r="AO872" s="315"/>
      <c r="AP872" s="257"/>
      <c r="AQ872" s="257"/>
      <c r="AR872" s="257"/>
      <c r="AS872" s="315"/>
      <c r="AT872" s="257"/>
      <c r="AU872" s="257"/>
      <c r="AV872" s="316"/>
      <c r="AW872" s="314"/>
      <c r="AX872" s="315"/>
      <c r="AY872" s="315"/>
      <c r="AZ872" s="315"/>
      <c r="BA872" s="315"/>
      <c r="BB872" s="315"/>
      <c r="BC872" s="315"/>
      <c r="BD872" s="319"/>
      <c r="BE872" s="319"/>
      <c r="BF872" s="319"/>
      <c r="BG872" s="319"/>
      <c r="BH872" s="319"/>
      <c r="BI872" s="319"/>
      <c r="BJ872" s="319"/>
      <c r="BK872" s="315"/>
      <c r="BL872" s="316"/>
      <c r="BM872" s="314"/>
      <c r="BN872" s="319"/>
      <c r="BO872" s="315"/>
      <c r="BP872" s="314"/>
      <c r="BQ872" s="316"/>
      <c r="BR872" s="314"/>
      <c r="BS872" s="262"/>
      <c r="BT872" s="262"/>
    </row>
    <row r="873" spans="1:72" ht="45.75" customHeight="1">
      <c r="A873" s="342"/>
      <c r="B873" s="342"/>
      <c r="C873" s="342"/>
      <c r="D873" s="343"/>
      <c r="E873" s="342"/>
      <c r="F873" s="342"/>
      <c r="G873" s="344"/>
      <c r="H873" s="344"/>
      <c r="I873" s="344"/>
      <c r="J873" s="334"/>
      <c r="K873" s="335"/>
      <c r="L873" s="336"/>
      <c r="M873" s="336"/>
      <c r="N873" s="337"/>
      <c r="O873" s="337"/>
      <c r="P873" s="315"/>
      <c r="Q873" s="314"/>
      <c r="R873" s="317"/>
      <c r="S873" s="315"/>
      <c r="T873" s="315"/>
      <c r="U873" s="315"/>
      <c r="V873" s="258"/>
      <c r="W873" s="322"/>
      <c r="X873" s="318"/>
      <c r="Y873" s="315"/>
      <c r="Z873" s="318"/>
      <c r="AA873" s="314"/>
      <c r="AB873" s="336"/>
      <c r="AC873" s="314"/>
      <c r="AD873" s="316"/>
      <c r="AE873" s="315"/>
      <c r="AF873" s="315"/>
      <c r="AG873" s="315"/>
      <c r="AH873" s="315"/>
      <c r="AI873" s="377"/>
      <c r="AJ873" s="407"/>
      <c r="AK873" s="377"/>
      <c r="AL873" s="314"/>
      <c r="AM873" s="314"/>
      <c r="AN873" s="314"/>
      <c r="AO873" s="315"/>
      <c r="AP873" s="257"/>
      <c r="AQ873" s="257"/>
      <c r="AR873" s="257"/>
      <c r="AS873" s="315"/>
      <c r="AT873" s="257"/>
      <c r="AU873" s="257"/>
      <c r="AV873" s="316"/>
      <c r="AW873" s="314"/>
      <c r="AX873" s="315"/>
      <c r="AY873" s="315"/>
      <c r="AZ873" s="315"/>
      <c r="BA873" s="315"/>
      <c r="BB873" s="315"/>
      <c r="BC873" s="315"/>
      <c r="BD873" s="319"/>
      <c r="BE873" s="319"/>
      <c r="BF873" s="319"/>
      <c r="BG873" s="319"/>
      <c r="BH873" s="319"/>
      <c r="BI873" s="319"/>
      <c r="BJ873" s="319"/>
      <c r="BK873" s="315"/>
      <c r="BL873" s="316"/>
      <c r="BM873" s="314"/>
      <c r="BN873" s="319"/>
      <c r="BO873" s="315"/>
      <c r="BP873" s="314"/>
      <c r="BQ873" s="316"/>
      <c r="BR873" s="314"/>
      <c r="BS873" s="262"/>
      <c r="BT873" s="262"/>
    </row>
    <row r="874" spans="1:72" ht="45.75" customHeight="1">
      <c r="A874" s="342"/>
      <c r="B874" s="342"/>
      <c r="C874" s="342"/>
      <c r="D874" s="343"/>
      <c r="E874" s="342"/>
      <c r="F874" s="342"/>
      <c r="G874" s="344"/>
      <c r="H874" s="344"/>
      <c r="I874" s="344"/>
      <c r="J874" s="334"/>
      <c r="K874" s="335"/>
      <c r="L874" s="336"/>
      <c r="M874" s="336"/>
      <c r="N874" s="337"/>
      <c r="O874" s="337"/>
      <c r="P874" s="315"/>
      <c r="Q874" s="314"/>
      <c r="R874" s="317"/>
      <c r="S874" s="315"/>
      <c r="T874" s="315"/>
      <c r="U874" s="315"/>
      <c r="V874" s="258"/>
      <c r="W874" s="322"/>
      <c r="X874" s="318"/>
      <c r="Y874" s="315"/>
      <c r="Z874" s="318"/>
      <c r="AA874" s="314"/>
      <c r="AB874" s="336"/>
      <c r="AC874" s="314"/>
      <c r="AD874" s="316"/>
      <c r="AE874" s="315"/>
      <c r="AF874" s="315"/>
      <c r="AG874" s="315"/>
      <c r="AH874" s="315"/>
      <c r="AI874" s="377"/>
      <c r="AJ874" s="407"/>
      <c r="AK874" s="377"/>
      <c r="AL874" s="314"/>
      <c r="AM874" s="314"/>
      <c r="AN874" s="314"/>
      <c r="AO874" s="315"/>
      <c r="AP874" s="257"/>
      <c r="AQ874" s="257"/>
      <c r="AR874" s="257"/>
      <c r="AS874" s="315"/>
      <c r="AT874" s="257"/>
      <c r="AU874" s="257"/>
      <c r="AV874" s="316"/>
      <c r="AW874" s="314"/>
      <c r="AX874" s="315"/>
      <c r="AY874" s="315"/>
      <c r="AZ874" s="315"/>
      <c r="BA874" s="315"/>
      <c r="BB874" s="315"/>
      <c r="BC874" s="315"/>
      <c r="BD874" s="319"/>
      <c r="BE874" s="319"/>
      <c r="BF874" s="319"/>
      <c r="BG874" s="319"/>
      <c r="BH874" s="319"/>
      <c r="BI874" s="319"/>
      <c r="BJ874" s="319"/>
      <c r="BK874" s="315"/>
      <c r="BL874" s="316"/>
      <c r="BM874" s="314"/>
      <c r="BN874" s="319"/>
      <c r="BO874" s="315"/>
      <c r="BP874" s="314"/>
      <c r="BQ874" s="316"/>
      <c r="BR874" s="314"/>
      <c r="BS874" s="262"/>
      <c r="BT874" s="262"/>
    </row>
    <row r="875" spans="1:72" ht="45.75" customHeight="1">
      <c r="A875" s="342"/>
      <c r="B875" s="342"/>
      <c r="C875" s="342"/>
      <c r="D875" s="343"/>
      <c r="E875" s="342"/>
      <c r="F875" s="342"/>
      <c r="G875" s="344"/>
      <c r="H875" s="344"/>
      <c r="I875" s="344"/>
      <c r="J875" s="334"/>
      <c r="K875" s="335"/>
      <c r="L875" s="336"/>
      <c r="M875" s="336"/>
      <c r="N875" s="337"/>
      <c r="O875" s="337"/>
      <c r="P875" s="315"/>
      <c r="Q875" s="314"/>
      <c r="R875" s="317"/>
      <c r="S875" s="315"/>
      <c r="T875" s="315"/>
      <c r="U875" s="315"/>
      <c r="V875" s="258"/>
      <c r="W875" s="322"/>
      <c r="X875" s="318"/>
      <c r="Y875" s="315"/>
      <c r="Z875" s="318"/>
      <c r="AA875" s="314"/>
      <c r="AB875" s="336"/>
      <c r="AC875" s="314"/>
      <c r="AD875" s="316"/>
      <c r="AE875" s="315"/>
      <c r="AF875" s="315"/>
      <c r="AG875" s="315"/>
      <c r="AH875" s="315"/>
      <c r="AI875" s="377"/>
      <c r="AJ875" s="407"/>
      <c r="AK875" s="377"/>
      <c r="AL875" s="314"/>
      <c r="AM875" s="314"/>
      <c r="AN875" s="314"/>
      <c r="AO875" s="315"/>
      <c r="AP875" s="257"/>
      <c r="AQ875" s="257"/>
      <c r="AR875" s="257"/>
      <c r="AS875" s="315"/>
      <c r="AT875" s="257"/>
      <c r="AU875" s="257"/>
      <c r="AV875" s="316"/>
      <c r="AW875" s="314"/>
      <c r="AX875" s="315"/>
      <c r="AY875" s="315"/>
      <c r="AZ875" s="315"/>
      <c r="BA875" s="315"/>
      <c r="BB875" s="315"/>
      <c r="BC875" s="315"/>
      <c r="BD875" s="319"/>
      <c r="BE875" s="319"/>
      <c r="BF875" s="319"/>
      <c r="BG875" s="319"/>
      <c r="BH875" s="319"/>
      <c r="BI875" s="319"/>
      <c r="BJ875" s="319"/>
      <c r="BK875" s="315"/>
      <c r="BL875" s="316"/>
      <c r="BM875" s="314"/>
      <c r="BN875" s="319"/>
      <c r="BO875" s="315"/>
      <c r="BP875" s="314"/>
      <c r="BQ875" s="316"/>
      <c r="BR875" s="314"/>
      <c r="BS875" s="262"/>
      <c r="BT875" s="262"/>
    </row>
    <row r="876" spans="1:72" ht="45.75" customHeight="1">
      <c r="A876" s="342"/>
      <c r="B876" s="342"/>
      <c r="C876" s="342"/>
      <c r="D876" s="343"/>
      <c r="E876" s="342"/>
      <c r="F876" s="342"/>
      <c r="G876" s="344"/>
      <c r="H876" s="344"/>
      <c r="I876" s="344"/>
      <c r="J876" s="334"/>
      <c r="K876" s="335"/>
      <c r="L876" s="336"/>
      <c r="M876" s="336"/>
      <c r="N876" s="337"/>
      <c r="O876" s="337"/>
      <c r="P876" s="315"/>
      <c r="Q876" s="314"/>
      <c r="R876" s="317"/>
      <c r="S876" s="315"/>
      <c r="T876" s="315"/>
      <c r="U876" s="315"/>
      <c r="V876" s="258"/>
      <c r="W876" s="322"/>
      <c r="X876" s="318"/>
      <c r="Y876" s="315"/>
      <c r="Z876" s="318"/>
      <c r="AA876" s="314"/>
      <c r="AB876" s="336"/>
      <c r="AC876" s="314"/>
      <c r="AD876" s="316"/>
      <c r="AE876" s="315"/>
      <c r="AF876" s="315"/>
      <c r="AG876" s="315"/>
      <c r="AH876" s="315"/>
      <c r="AI876" s="377"/>
      <c r="AJ876" s="407"/>
      <c r="AK876" s="377"/>
      <c r="AL876" s="314"/>
      <c r="AM876" s="314"/>
      <c r="AN876" s="314"/>
      <c r="AO876" s="315"/>
      <c r="AP876" s="257"/>
      <c r="AQ876" s="257"/>
      <c r="AR876" s="257"/>
      <c r="AS876" s="315"/>
      <c r="AT876" s="257"/>
      <c r="AU876" s="257"/>
      <c r="AV876" s="316"/>
      <c r="AW876" s="314"/>
      <c r="AX876" s="315"/>
      <c r="AY876" s="315"/>
      <c r="AZ876" s="315"/>
      <c r="BA876" s="315"/>
      <c r="BB876" s="315"/>
      <c r="BC876" s="315"/>
      <c r="BD876" s="319"/>
      <c r="BE876" s="319"/>
      <c r="BF876" s="319"/>
      <c r="BG876" s="319"/>
      <c r="BH876" s="319"/>
      <c r="BI876" s="319"/>
      <c r="BJ876" s="319"/>
      <c r="BK876" s="315"/>
      <c r="BL876" s="316"/>
      <c r="BM876" s="314"/>
      <c r="BN876" s="319"/>
      <c r="BO876" s="315"/>
      <c r="BP876" s="314"/>
      <c r="BQ876" s="316"/>
      <c r="BR876" s="314"/>
      <c r="BS876" s="262"/>
      <c r="BT876" s="262"/>
    </row>
    <row r="877" spans="1:72" ht="45.75" customHeight="1">
      <c r="A877" s="342"/>
      <c r="B877" s="342"/>
      <c r="C877" s="342"/>
      <c r="D877" s="343"/>
      <c r="E877" s="342"/>
      <c r="F877" s="342"/>
      <c r="G877" s="344"/>
      <c r="H877" s="344"/>
      <c r="I877" s="344"/>
      <c r="J877" s="334"/>
      <c r="K877" s="335"/>
      <c r="L877" s="336"/>
      <c r="M877" s="336"/>
      <c r="N877" s="337"/>
      <c r="O877" s="337"/>
      <c r="P877" s="315"/>
      <c r="Q877" s="314"/>
      <c r="R877" s="317"/>
      <c r="S877" s="315"/>
      <c r="T877" s="315"/>
      <c r="U877" s="315"/>
      <c r="V877" s="258"/>
      <c r="W877" s="322"/>
      <c r="X877" s="318"/>
      <c r="Y877" s="315"/>
      <c r="Z877" s="318"/>
      <c r="AA877" s="314"/>
      <c r="AB877" s="336"/>
      <c r="AC877" s="314"/>
      <c r="AD877" s="316"/>
      <c r="AE877" s="315"/>
      <c r="AF877" s="315"/>
      <c r="AG877" s="315"/>
      <c r="AH877" s="315"/>
      <c r="AI877" s="377"/>
      <c r="AJ877" s="407"/>
      <c r="AK877" s="377"/>
      <c r="AL877" s="314"/>
      <c r="AM877" s="314"/>
      <c r="AN877" s="314"/>
      <c r="AO877" s="315"/>
      <c r="AP877" s="257"/>
      <c r="AQ877" s="257"/>
      <c r="AR877" s="257"/>
      <c r="AS877" s="315"/>
      <c r="AT877" s="257"/>
      <c r="AU877" s="257"/>
      <c r="AV877" s="316"/>
      <c r="AW877" s="314"/>
      <c r="AX877" s="315"/>
      <c r="AY877" s="315"/>
      <c r="AZ877" s="315"/>
      <c r="BA877" s="315"/>
      <c r="BB877" s="315"/>
      <c r="BC877" s="315"/>
      <c r="BD877" s="319"/>
      <c r="BE877" s="319"/>
      <c r="BF877" s="319"/>
      <c r="BG877" s="319"/>
      <c r="BH877" s="319"/>
      <c r="BI877" s="319"/>
      <c r="BJ877" s="319"/>
      <c r="BK877" s="315"/>
      <c r="BL877" s="316"/>
      <c r="BM877" s="314"/>
      <c r="BN877" s="319"/>
      <c r="BO877" s="315"/>
      <c r="BP877" s="314"/>
      <c r="BQ877" s="316"/>
      <c r="BR877" s="314"/>
      <c r="BS877" s="262"/>
      <c r="BT877" s="262"/>
    </row>
    <row r="878" spans="1:72" ht="45.75" customHeight="1">
      <c r="A878" s="342"/>
      <c r="B878" s="342"/>
      <c r="C878" s="342"/>
      <c r="D878" s="343"/>
      <c r="E878" s="342"/>
      <c r="F878" s="342"/>
      <c r="G878" s="344"/>
      <c r="H878" s="344"/>
      <c r="I878" s="344"/>
      <c r="J878" s="334"/>
      <c r="K878" s="335"/>
      <c r="L878" s="336"/>
      <c r="M878" s="336"/>
      <c r="N878" s="337"/>
      <c r="O878" s="337"/>
      <c r="P878" s="315"/>
      <c r="Q878" s="314"/>
      <c r="R878" s="317"/>
      <c r="S878" s="315"/>
      <c r="T878" s="315"/>
      <c r="U878" s="315"/>
      <c r="V878" s="258"/>
      <c r="W878" s="322"/>
      <c r="X878" s="318"/>
      <c r="Y878" s="315"/>
      <c r="Z878" s="318"/>
      <c r="AA878" s="314"/>
      <c r="AB878" s="336"/>
      <c r="AC878" s="314"/>
      <c r="AD878" s="316"/>
      <c r="AE878" s="315"/>
      <c r="AF878" s="315"/>
      <c r="AG878" s="315"/>
      <c r="AH878" s="315"/>
      <c r="AI878" s="377"/>
      <c r="AJ878" s="407"/>
      <c r="AK878" s="377"/>
      <c r="AL878" s="314"/>
      <c r="AM878" s="314"/>
      <c r="AN878" s="314"/>
      <c r="AO878" s="315"/>
      <c r="AP878" s="257"/>
      <c r="AQ878" s="257"/>
      <c r="AR878" s="257"/>
      <c r="AS878" s="315"/>
      <c r="AT878" s="257"/>
      <c r="AU878" s="257"/>
      <c r="AV878" s="316"/>
      <c r="AW878" s="314"/>
      <c r="AX878" s="315"/>
      <c r="AY878" s="315"/>
      <c r="AZ878" s="315"/>
      <c r="BA878" s="315"/>
      <c r="BB878" s="315"/>
      <c r="BC878" s="315"/>
      <c r="BD878" s="319"/>
      <c r="BE878" s="319"/>
      <c r="BF878" s="319"/>
      <c r="BG878" s="319"/>
      <c r="BH878" s="319"/>
      <c r="BI878" s="319"/>
      <c r="BJ878" s="319"/>
      <c r="BK878" s="315"/>
      <c r="BL878" s="316"/>
      <c r="BM878" s="314"/>
      <c r="BN878" s="319"/>
      <c r="BO878" s="315"/>
      <c r="BP878" s="314"/>
      <c r="BQ878" s="316"/>
      <c r="BR878" s="314"/>
      <c r="BS878" s="262"/>
      <c r="BT878" s="262"/>
    </row>
    <row r="879" spans="1:72" ht="45.75" customHeight="1">
      <c r="A879" s="342"/>
      <c r="B879" s="342"/>
      <c r="C879" s="342"/>
      <c r="D879" s="343"/>
      <c r="E879" s="342"/>
      <c r="F879" s="342"/>
      <c r="G879" s="344"/>
      <c r="H879" s="344"/>
      <c r="I879" s="344"/>
      <c r="J879" s="334"/>
      <c r="K879" s="335"/>
      <c r="L879" s="336"/>
      <c r="M879" s="336"/>
      <c r="N879" s="337"/>
      <c r="O879" s="337"/>
      <c r="P879" s="315"/>
      <c r="Q879" s="314"/>
      <c r="R879" s="317"/>
      <c r="S879" s="315"/>
      <c r="T879" s="315"/>
      <c r="U879" s="315"/>
      <c r="V879" s="258"/>
      <c r="W879" s="322"/>
      <c r="X879" s="318"/>
      <c r="Y879" s="315"/>
      <c r="Z879" s="318"/>
      <c r="AA879" s="314"/>
      <c r="AB879" s="336"/>
      <c r="AC879" s="314"/>
      <c r="AD879" s="316"/>
      <c r="AE879" s="315"/>
      <c r="AF879" s="315"/>
      <c r="AG879" s="315"/>
      <c r="AH879" s="315"/>
      <c r="AI879" s="377"/>
      <c r="AJ879" s="407"/>
      <c r="AK879" s="377"/>
      <c r="AL879" s="314"/>
      <c r="AM879" s="314"/>
      <c r="AN879" s="314"/>
      <c r="AO879" s="315"/>
      <c r="AP879" s="257"/>
      <c r="AQ879" s="257"/>
      <c r="AR879" s="257"/>
      <c r="AS879" s="315"/>
      <c r="AT879" s="257"/>
      <c r="AU879" s="257"/>
      <c r="AV879" s="316"/>
      <c r="AW879" s="314"/>
      <c r="AX879" s="315"/>
      <c r="AY879" s="315"/>
      <c r="AZ879" s="315"/>
      <c r="BA879" s="315"/>
      <c r="BB879" s="315"/>
      <c r="BC879" s="315"/>
      <c r="BD879" s="319"/>
      <c r="BE879" s="319"/>
      <c r="BF879" s="319"/>
      <c r="BG879" s="319"/>
      <c r="BH879" s="319"/>
      <c r="BI879" s="319"/>
      <c r="BJ879" s="319"/>
      <c r="BK879" s="315"/>
      <c r="BL879" s="316"/>
      <c r="BM879" s="314"/>
      <c r="BN879" s="319"/>
      <c r="BO879" s="315"/>
      <c r="BP879" s="314"/>
      <c r="BQ879" s="316"/>
      <c r="BR879" s="314"/>
      <c r="BS879" s="262"/>
      <c r="BT879" s="262"/>
    </row>
    <row r="880" spans="1:72" ht="45.75" customHeight="1">
      <c r="A880" s="342"/>
      <c r="B880" s="342"/>
      <c r="C880" s="342"/>
      <c r="D880" s="343"/>
      <c r="E880" s="342"/>
      <c r="F880" s="342"/>
      <c r="G880" s="344"/>
      <c r="H880" s="344"/>
      <c r="I880" s="344"/>
      <c r="J880" s="334"/>
      <c r="K880" s="335"/>
      <c r="L880" s="336"/>
      <c r="M880" s="336"/>
      <c r="N880" s="337"/>
      <c r="O880" s="337"/>
      <c r="P880" s="315"/>
      <c r="Q880" s="314"/>
      <c r="R880" s="317"/>
      <c r="S880" s="315"/>
      <c r="T880" s="315"/>
      <c r="U880" s="315"/>
      <c r="V880" s="258"/>
      <c r="W880" s="322"/>
      <c r="X880" s="318"/>
      <c r="Y880" s="315"/>
      <c r="Z880" s="318"/>
      <c r="AA880" s="314"/>
      <c r="AB880" s="336"/>
      <c r="AC880" s="314"/>
      <c r="AD880" s="316"/>
      <c r="AE880" s="315"/>
      <c r="AF880" s="315"/>
      <c r="AG880" s="315"/>
      <c r="AH880" s="315"/>
      <c r="AI880" s="377"/>
      <c r="AJ880" s="407"/>
      <c r="AK880" s="377"/>
      <c r="AL880" s="314"/>
      <c r="AM880" s="314"/>
      <c r="AN880" s="314"/>
      <c r="AO880" s="315"/>
      <c r="AP880" s="257"/>
      <c r="AQ880" s="257"/>
      <c r="AR880" s="257"/>
      <c r="AS880" s="315"/>
      <c r="AT880" s="257"/>
      <c r="AU880" s="257"/>
      <c r="AV880" s="316"/>
      <c r="AW880" s="314"/>
      <c r="AX880" s="315"/>
      <c r="AY880" s="315"/>
      <c r="AZ880" s="315"/>
      <c r="BA880" s="315"/>
      <c r="BB880" s="315"/>
      <c r="BC880" s="315"/>
      <c r="BD880" s="319"/>
      <c r="BE880" s="319"/>
      <c r="BF880" s="319"/>
      <c r="BG880" s="319"/>
      <c r="BH880" s="319"/>
      <c r="BI880" s="319"/>
      <c r="BJ880" s="319"/>
      <c r="BK880" s="315"/>
      <c r="BL880" s="316"/>
      <c r="BM880" s="314"/>
      <c r="BN880" s="319"/>
      <c r="BO880" s="315"/>
      <c r="BP880" s="314"/>
      <c r="BQ880" s="316"/>
      <c r="BR880" s="314"/>
      <c r="BS880" s="262"/>
      <c r="BT880" s="262"/>
    </row>
    <row r="881" spans="1:72" ht="45.75" customHeight="1">
      <c r="A881" s="342"/>
      <c r="B881" s="342"/>
      <c r="C881" s="342"/>
      <c r="D881" s="343"/>
      <c r="E881" s="342"/>
      <c r="F881" s="342"/>
      <c r="G881" s="344"/>
      <c r="H881" s="344"/>
      <c r="I881" s="344"/>
      <c r="J881" s="334"/>
      <c r="K881" s="335"/>
      <c r="L881" s="336"/>
      <c r="M881" s="336"/>
      <c r="N881" s="337"/>
      <c r="O881" s="337"/>
      <c r="P881" s="315"/>
      <c r="Q881" s="314"/>
      <c r="R881" s="317"/>
      <c r="S881" s="315"/>
      <c r="T881" s="315"/>
      <c r="U881" s="315"/>
      <c r="V881" s="258"/>
      <c r="W881" s="322"/>
      <c r="X881" s="318"/>
      <c r="Y881" s="315"/>
      <c r="Z881" s="318"/>
      <c r="AA881" s="314"/>
      <c r="AB881" s="336"/>
      <c r="AC881" s="314"/>
      <c r="AD881" s="316"/>
      <c r="AE881" s="315"/>
      <c r="AF881" s="315"/>
      <c r="AG881" s="315"/>
      <c r="AH881" s="315"/>
      <c r="AI881" s="377"/>
      <c r="AJ881" s="407"/>
      <c r="AK881" s="377"/>
      <c r="AL881" s="314"/>
      <c r="AM881" s="314"/>
      <c r="AN881" s="314"/>
      <c r="AO881" s="315"/>
      <c r="AP881" s="257"/>
      <c r="AQ881" s="257"/>
      <c r="AR881" s="257"/>
      <c r="AS881" s="315"/>
      <c r="AT881" s="257"/>
      <c r="AU881" s="257"/>
      <c r="AV881" s="316"/>
      <c r="AW881" s="314"/>
      <c r="AX881" s="315"/>
      <c r="AY881" s="315"/>
      <c r="AZ881" s="315"/>
      <c r="BA881" s="315"/>
      <c r="BB881" s="315"/>
      <c r="BC881" s="315"/>
      <c r="BD881" s="319"/>
      <c r="BE881" s="319"/>
      <c r="BF881" s="319"/>
      <c r="BG881" s="319"/>
      <c r="BH881" s="319"/>
      <c r="BI881" s="319"/>
      <c r="BJ881" s="319"/>
      <c r="BK881" s="315"/>
      <c r="BL881" s="316"/>
      <c r="BM881" s="314"/>
      <c r="BN881" s="319"/>
      <c r="BO881" s="315"/>
      <c r="BP881" s="314"/>
      <c r="BQ881" s="316"/>
      <c r="BR881" s="314"/>
      <c r="BS881" s="262"/>
      <c r="BT881" s="262"/>
    </row>
    <row r="882" spans="1:72" ht="45.75" customHeight="1">
      <c r="A882" s="342"/>
      <c r="B882" s="342"/>
      <c r="C882" s="342"/>
      <c r="D882" s="343"/>
      <c r="E882" s="342"/>
      <c r="F882" s="342"/>
      <c r="G882" s="344"/>
      <c r="H882" s="344"/>
      <c r="I882" s="344"/>
      <c r="J882" s="334"/>
      <c r="K882" s="335"/>
      <c r="L882" s="336"/>
      <c r="M882" s="336"/>
      <c r="N882" s="337"/>
      <c r="O882" s="337"/>
      <c r="P882" s="315"/>
      <c r="Q882" s="314"/>
      <c r="R882" s="317"/>
      <c r="S882" s="315"/>
      <c r="T882" s="315"/>
      <c r="U882" s="315"/>
      <c r="V882" s="258"/>
      <c r="W882" s="322"/>
      <c r="X882" s="318"/>
      <c r="Y882" s="315"/>
      <c r="Z882" s="318"/>
      <c r="AA882" s="314"/>
      <c r="AB882" s="336"/>
      <c r="AC882" s="314"/>
      <c r="AD882" s="316"/>
      <c r="AE882" s="315"/>
      <c r="AF882" s="315"/>
      <c r="AG882" s="315"/>
      <c r="AH882" s="315"/>
      <c r="AI882" s="377"/>
      <c r="AJ882" s="407"/>
      <c r="AK882" s="377"/>
      <c r="AL882" s="314"/>
      <c r="AM882" s="314"/>
      <c r="AN882" s="314"/>
      <c r="AO882" s="315"/>
      <c r="AP882" s="257"/>
      <c r="AQ882" s="257"/>
      <c r="AR882" s="257"/>
      <c r="AS882" s="315"/>
      <c r="AT882" s="257"/>
      <c r="AU882" s="257"/>
      <c r="AV882" s="316"/>
      <c r="AW882" s="314"/>
      <c r="AX882" s="315"/>
      <c r="AY882" s="315"/>
      <c r="AZ882" s="315"/>
      <c r="BA882" s="315"/>
      <c r="BB882" s="315"/>
      <c r="BC882" s="315"/>
      <c r="BD882" s="319"/>
      <c r="BE882" s="319"/>
      <c r="BF882" s="319"/>
      <c r="BG882" s="319"/>
      <c r="BH882" s="319"/>
      <c r="BI882" s="319"/>
      <c r="BJ882" s="319"/>
      <c r="BK882" s="315"/>
      <c r="BL882" s="316"/>
      <c r="BM882" s="314"/>
      <c r="BN882" s="319"/>
      <c r="BO882" s="315"/>
      <c r="BP882" s="314"/>
      <c r="BQ882" s="316"/>
      <c r="BR882" s="314"/>
      <c r="BS882" s="262"/>
      <c r="BT882" s="262"/>
    </row>
    <row r="883" spans="1:72" ht="45.75" customHeight="1">
      <c r="A883" s="342"/>
      <c r="B883" s="342"/>
      <c r="C883" s="342"/>
      <c r="D883" s="343"/>
      <c r="E883" s="342"/>
      <c r="F883" s="342"/>
      <c r="G883" s="344"/>
      <c r="H883" s="344"/>
      <c r="I883" s="344"/>
      <c r="J883" s="334"/>
      <c r="K883" s="335"/>
      <c r="L883" s="336"/>
      <c r="M883" s="336"/>
      <c r="N883" s="337"/>
      <c r="O883" s="337"/>
      <c r="P883" s="315"/>
      <c r="Q883" s="314"/>
      <c r="R883" s="317"/>
      <c r="S883" s="315"/>
      <c r="T883" s="315"/>
      <c r="U883" s="315"/>
      <c r="V883" s="258"/>
      <c r="W883" s="322"/>
      <c r="X883" s="318"/>
      <c r="Y883" s="315"/>
      <c r="Z883" s="318"/>
      <c r="AA883" s="314"/>
      <c r="AB883" s="336"/>
      <c r="AC883" s="314"/>
      <c r="AD883" s="316"/>
      <c r="AE883" s="315"/>
      <c r="AF883" s="315"/>
      <c r="AG883" s="315"/>
      <c r="AH883" s="315"/>
      <c r="AI883" s="377"/>
      <c r="AJ883" s="407"/>
      <c r="AK883" s="377"/>
      <c r="AL883" s="314"/>
      <c r="AM883" s="314"/>
      <c r="AN883" s="314"/>
      <c r="AO883" s="315"/>
      <c r="AP883" s="257"/>
      <c r="AQ883" s="257"/>
      <c r="AR883" s="257"/>
      <c r="AS883" s="315"/>
      <c r="AT883" s="257"/>
      <c r="AU883" s="257"/>
      <c r="AV883" s="316"/>
      <c r="AW883" s="314"/>
      <c r="AX883" s="315"/>
      <c r="AY883" s="315"/>
      <c r="AZ883" s="315"/>
      <c r="BA883" s="315"/>
      <c r="BB883" s="315"/>
      <c r="BC883" s="315"/>
      <c r="BD883" s="319"/>
      <c r="BE883" s="319"/>
      <c r="BF883" s="319"/>
      <c r="BG883" s="319"/>
      <c r="BH883" s="319"/>
      <c r="BI883" s="319"/>
      <c r="BJ883" s="319"/>
      <c r="BK883" s="315"/>
      <c r="BL883" s="316"/>
      <c r="BM883" s="314"/>
      <c r="BN883" s="319"/>
      <c r="BO883" s="315"/>
      <c r="BP883" s="314"/>
      <c r="BQ883" s="316"/>
      <c r="BR883" s="314"/>
      <c r="BS883" s="262"/>
      <c r="BT883" s="262"/>
    </row>
    <row r="884" spans="1:72" ht="45.75" customHeight="1">
      <c r="A884" s="342"/>
      <c r="B884" s="342"/>
      <c r="C884" s="342"/>
      <c r="D884" s="343"/>
      <c r="E884" s="342"/>
      <c r="F884" s="342"/>
      <c r="G884" s="344"/>
      <c r="H884" s="344"/>
      <c r="I884" s="344"/>
      <c r="J884" s="334"/>
      <c r="K884" s="335"/>
      <c r="L884" s="336"/>
      <c r="M884" s="336"/>
      <c r="N884" s="337"/>
      <c r="O884" s="337"/>
      <c r="P884" s="315"/>
      <c r="Q884" s="314"/>
      <c r="R884" s="317"/>
      <c r="S884" s="315"/>
      <c r="T884" s="315"/>
      <c r="U884" s="315"/>
      <c r="V884" s="258"/>
      <c r="W884" s="322"/>
      <c r="X884" s="318"/>
      <c r="Y884" s="315"/>
      <c r="Z884" s="318"/>
      <c r="AA884" s="314"/>
      <c r="AB884" s="336"/>
      <c r="AC884" s="314"/>
      <c r="AD884" s="316"/>
      <c r="AE884" s="315"/>
      <c r="AF884" s="315"/>
      <c r="AG884" s="315"/>
      <c r="AH884" s="315"/>
      <c r="AI884" s="377"/>
      <c r="AJ884" s="407"/>
      <c r="AK884" s="377"/>
      <c r="AL884" s="314"/>
      <c r="AM884" s="314"/>
      <c r="AN884" s="314"/>
      <c r="AO884" s="315"/>
      <c r="AP884" s="257"/>
      <c r="AQ884" s="257"/>
      <c r="AR884" s="257"/>
      <c r="AS884" s="315"/>
      <c r="AT884" s="257"/>
      <c r="AU884" s="257"/>
      <c r="AV884" s="316"/>
      <c r="AW884" s="314"/>
      <c r="AX884" s="315"/>
      <c r="AY884" s="315"/>
      <c r="AZ884" s="315"/>
      <c r="BA884" s="315"/>
      <c r="BB884" s="315"/>
      <c r="BC884" s="315"/>
      <c r="BD884" s="319"/>
      <c r="BE884" s="319"/>
      <c r="BF884" s="319"/>
      <c r="BG884" s="319"/>
      <c r="BH884" s="319"/>
      <c r="BI884" s="319"/>
      <c r="BJ884" s="319"/>
      <c r="BK884" s="315"/>
      <c r="BL884" s="316"/>
      <c r="BM884" s="314"/>
      <c r="BN884" s="319"/>
      <c r="BO884" s="315"/>
      <c r="BP884" s="314"/>
      <c r="BQ884" s="316"/>
      <c r="BR884" s="314"/>
      <c r="BS884" s="262"/>
      <c r="BT884" s="262"/>
    </row>
    <row r="885" spans="1:72" ht="45.75" customHeight="1">
      <c r="A885" s="342"/>
      <c r="B885" s="342"/>
      <c r="C885" s="342"/>
      <c r="D885" s="343"/>
      <c r="E885" s="342"/>
      <c r="F885" s="342"/>
      <c r="G885" s="344"/>
      <c r="H885" s="344"/>
      <c r="I885" s="344"/>
      <c r="J885" s="334"/>
      <c r="K885" s="335"/>
      <c r="L885" s="336"/>
      <c r="M885" s="336"/>
      <c r="N885" s="337"/>
      <c r="O885" s="337"/>
      <c r="P885" s="315"/>
      <c r="Q885" s="314"/>
      <c r="R885" s="317"/>
      <c r="S885" s="315"/>
      <c r="T885" s="315"/>
      <c r="U885" s="315"/>
      <c r="V885" s="258"/>
      <c r="W885" s="322"/>
      <c r="X885" s="318"/>
      <c r="Y885" s="315"/>
      <c r="Z885" s="318"/>
      <c r="AA885" s="314"/>
      <c r="AB885" s="336"/>
      <c r="AC885" s="314"/>
      <c r="AD885" s="316"/>
      <c r="AE885" s="315"/>
      <c r="AF885" s="315"/>
      <c r="AG885" s="315"/>
      <c r="AH885" s="315"/>
      <c r="AI885" s="377"/>
      <c r="AJ885" s="407"/>
      <c r="AK885" s="377"/>
      <c r="AL885" s="314"/>
      <c r="AM885" s="314"/>
      <c r="AN885" s="314"/>
      <c r="AO885" s="315"/>
      <c r="AP885" s="257"/>
      <c r="AQ885" s="257"/>
      <c r="AR885" s="257"/>
      <c r="AS885" s="315"/>
      <c r="AT885" s="257"/>
      <c r="AU885" s="257"/>
      <c r="AV885" s="316"/>
      <c r="AW885" s="314"/>
      <c r="AX885" s="315"/>
      <c r="AY885" s="315"/>
      <c r="AZ885" s="315"/>
      <c r="BA885" s="315"/>
      <c r="BB885" s="315"/>
      <c r="BC885" s="315"/>
      <c r="BD885" s="319"/>
      <c r="BE885" s="319"/>
      <c r="BF885" s="319"/>
      <c r="BG885" s="319"/>
      <c r="BH885" s="319"/>
      <c r="BI885" s="319"/>
      <c r="BJ885" s="319"/>
      <c r="BK885" s="315"/>
      <c r="BL885" s="316"/>
      <c r="BM885" s="314"/>
      <c r="BN885" s="319"/>
      <c r="BO885" s="315"/>
      <c r="BP885" s="314"/>
      <c r="BQ885" s="316"/>
      <c r="BR885" s="314"/>
      <c r="BS885" s="262"/>
      <c r="BT885" s="262"/>
    </row>
    <row r="886" spans="1:72" ht="45.75" customHeight="1">
      <c r="A886" s="342"/>
      <c r="B886" s="342"/>
      <c r="C886" s="342"/>
      <c r="D886" s="343"/>
      <c r="E886" s="342"/>
      <c r="F886" s="342"/>
      <c r="G886" s="344"/>
      <c r="H886" s="344"/>
      <c r="I886" s="344"/>
      <c r="J886" s="334"/>
      <c r="K886" s="335"/>
      <c r="L886" s="336"/>
      <c r="M886" s="336"/>
      <c r="N886" s="337"/>
      <c r="O886" s="337"/>
      <c r="P886" s="315"/>
      <c r="Q886" s="314"/>
      <c r="R886" s="317"/>
      <c r="S886" s="315"/>
      <c r="T886" s="315"/>
      <c r="U886" s="315"/>
      <c r="V886" s="258"/>
      <c r="W886" s="322"/>
      <c r="X886" s="318"/>
      <c r="Y886" s="315"/>
      <c r="Z886" s="318"/>
      <c r="AA886" s="314"/>
      <c r="AB886" s="336"/>
      <c r="AC886" s="314"/>
      <c r="AD886" s="316"/>
      <c r="AE886" s="315"/>
      <c r="AF886" s="315"/>
      <c r="AG886" s="315"/>
      <c r="AH886" s="315"/>
      <c r="AI886" s="377"/>
      <c r="AJ886" s="407"/>
      <c r="AK886" s="377"/>
      <c r="AL886" s="314"/>
      <c r="AM886" s="314"/>
      <c r="AN886" s="314"/>
      <c r="AO886" s="315"/>
      <c r="AP886" s="257"/>
      <c r="AQ886" s="257"/>
      <c r="AR886" s="257"/>
      <c r="AS886" s="315"/>
      <c r="AT886" s="257"/>
      <c r="AU886" s="257"/>
      <c r="AV886" s="316"/>
      <c r="AW886" s="314"/>
      <c r="AX886" s="315"/>
      <c r="AY886" s="315"/>
      <c r="AZ886" s="315"/>
      <c r="BA886" s="315"/>
      <c r="BB886" s="315"/>
      <c r="BC886" s="315"/>
      <c r="BD886" s="319"/>
      <c r="BE886" s="319"/>
      <c r="BF886" s="319"/>
      <c r="BG886" s="319"/>
      <c r="BH886" s="319"/>
      <c r="BI886" s="319"/>
      <c r="BJ886" s="319"/>
      <c r="BK886" s="315"/>
      <c r="BL886" s="316"/>
      <c r="BM886" s="314"/>
      <c r="BN886" s="319"/>
      <c r="BO886" s="315"/>
      <c r="BP886" s="314"/>
      <c r="BQ886" s="316"/>
      <c r="BR886" s="314"/>
      <c r="BS886" s="262"/>
      <c r="BT886" s="262"/>
    </row>
    <row r="887" spans="1:72" ht="45.75" customHeight="1">
      <c r="A887" s="342"/>
      <c r="B887" s="342"/>
      <c r="C887" s="342"/>
      <c r="D887" s="343"/>
      <c r="E887" s="342"/>
      <c r="F887" s="342"/>
      <c r="G887" s="344"/>
      <c r="H887" s="344"/>
      <c r="I887" s="344"/>
      <c r="J887" s="334"/>
      <c r="K887" s="335"/>
      <c r="L887" s="336"/>
      <c r="M887" s="336"/>
      <c r="N887" s="337"/>
      <c r="O887" s="337"/>
      <c r="P887" s="315"/>
      <c r="Q887" s="314"/>
      <c r="R887" s="317"/>
      <c r="S887" s="315"/>
      <c r="T887" s="315"/>
      <c r="U887" s="315"/>
      <c r="V887" s="258"/>
      <c r="W887" s="322"/>
      <c r="X887" s="318"/>
      <c r="Y887" s="315"/>
      <c r="Z887" s="318"/>
      <c r="AA887" s="314"/>
      <c r="AB887" s="336"/>
      <c r="AC887" s="314"/>
      <c r="AD887" s="316"/>
      <c r="AE887" s="315"/>
      <c r="AF887" s="315"/>
      <c r="AG887" s="315"/>
      <c r="AH887" s="315"/>
      <c r="AI887" s="377"/>
      <c r="AJ887" s="407"/>
      <c r="AK887" s="377"/>
      <c r="AL887" s="314"/>
      <c r="AM887" s="314"/>
      <c r="AN887" s="314"/>
      <c r="AO887" s="315"/>
      <c r="AP887" s="257"/>
      <c r="AQ887" s="257"/>
      <c r="AR887" s="257"/>
      <c r="AS887" s="315"/>
      <c r="AT887" s="257"/>
      <c r="AU887" s="257"/>
      <c r="AV887" s="316"/>
      <c r="AW887" s="314"/>
      <c r="AX887" s="315"/>
      <c r="AY887" s="315"/>
      <c r="AZ887" s="315"/>
      <c r="BA887" s="315"/>
      <c r="BB887" s="315"/>
      <c r="BC887" s="315"/>
      <c r="BD887" s="319"/>
      <c r="BE887" s="319"/>
      <c r="BF887" s="319"/>
      <c r="BG887" s="319"/>
      <c r="BH887" s="319"/>
      <c r="BI887" s="319"/>
      <c r="BJ887" s="319"/>
      <c r="BK887" s="315"/>
      <c r="BL887" s="316"/>
      <c r="BM887" s="314"/>
      <c r="BN887" s="319"/>
      <c r="BO887" s="315"/>
      <c r="BP887" s="314"/>
      <c r="BQ887" s="316"/>
      <c r="BR887" s="314"/>
      <c r="BS887" s="262"/>
      <c r="BT887" s="262"/>
    </row>
    <row r="888" spans="1:72" ht="45.75" customHeight="1">
      <c r="A888" s="342"/>
      <c r="B888" s="342"/>
      <c r="C888" s="342"/>
      <c r="D888" s="343"/>
      <c r="E888" s="342"/>
      <c r="F888" s="342"/>
      <c r="G888" s="344"/>
      <c r="H888" s="344"/>
      <c r="I888" s="344"/>
      <c r="J888" s="334"/>
      <c r="K888" s="335"/>
      <c r="L888" s="336"/>
      <c r="M888" s="336"/>
      <c r="N888" s="337"/>
      <c r="O888" s="337"/>
      <c r="P888" s="315"/>
      <c r="Q888" s="314"/>
      <c r="R888" s="317"/>
      <c r="S888" s="315"/>
      <c r="T888" s="315"/>
      <c r="U888" s="315"/>
      <c r="V888" s="258"/>
      <c r="W888" s="322"/>
      <c r="X888" s="318"/>
      <c r="Y888" s="315"/>
      <c r="Z888" s="318"/>
      <c r="AA888" s="314"/>
      <c r="AB888" s="336"/>
      <c r="AC888" s="314"/>
      <c r="AD888" s="316"/>
      <c r="AE888" s="315"/>
      <c r="AF888" s="315"/>
      <c r="AG888" s="315"/>
      <c r="AH888" s="315"/>
      <c r="AI888" s="377"/>
      <c r="AJ888" s="407"/>
      <c r="AK888" s="377"/>
      <c r="AL888" s="314"/>
      <c r="AM888" s="314"/>
      <c r="AN888" s="314"/>
      <c r="AO888" s="315"/>
      <c r="AP888" s="257"/>
      <c r="AQ888" s="257"/>
      <c r="AR888" s="257"/>
      <c r="AS888" s="315"/>
      <c r="AT888" s="257"/>
      <c r="AU888" s="257"/>
      <c r="AV888" s="316"/>
      <c r="AW888" s="314"/>
      <c r="AX888" s="315"/>
      <c r="AY888" s="315"/>
      <c r="AZ888" s="315"/>
      <c r="BA888" s="315"/>
      <c r="BB888" s="315"/>
      <c r="BC888" s="315"/>
      <c r="BD888" s="319"/>
      <c r="BE888" s="319"/>
      <c r="BF888" s="319"/>
      <c r="BG888" s="319"/>
      <c r="BH888" s="319"/>
      <c r="BI888" s="319"/>
      <c r="BJ888" s="319"/>
      <c r="BK888" s="315"/>
      <c r="BL888" s="316"/>
      <c r="BM888" s="314"/>
      <c r="BN888" s="319"/>
      <c r="BO888" s="315"/>
      <c r="BP888" s="314"/>
      <c r="BQ888" s="316"/>
      <c r="BR888" s="314"/>
      <c r="BS888" s="262"/>
      <c r="BT888" s="262"/>
    </row>
    <row r="889" spans="1:72" ht="45.75" customHeight="1">
      <c r="A889" s="342"/>
      <c r="B889" s="342"/>
      <c r="C889" s="342"/>
      <c r="D889" s="343"/>
      <c r="E889" s="342"/>
      <c r="F889" s="342"/>
      <c r="G889" s="344"/>
      <c r="H889" s="344"/>
      <c r="I889" s="344"/>
      <c r="J889" s="334"/>
      <c r="K889" s="335"/>
      <c r="L889" s="336"/>
      <c r="M889" s="336"/>
      <c r="N889" s="337"/>
      <c r="O889" s="337"/>
      <c r="P889" s="315"/>
      <c r="Q889" s="314"/>
      <c r="R889" s="317"/>
      <c r="S889" s="315"/>
      <c r="T889" s="315"/>
      <c r="U889" s="315"/>
      <c r="V889" s="258"/>
      <c r="W889" s="322"/>
      <c r="X889" s="318"/>
      <c r="Y889" s="315"/>
      <c r="Z889" s="318"/>
      <c r="AA889" s="314"/>
      <c r="AB889" s="336"/>
      <c r="AC889" s="314"/>
      <c r="AD889" s="316"/>
      <c r="AE889" s="315"/>
      <c r="AF889" s="315"/>
      <c r="AG889" s="315"/>
      <c r="AH889" s="315"/>
      <c r="AI889" s="377"/>
      <c r="AJ889" s="407"/>
      <c r="AK889" s="377"/>
      <c r="AL889" s="314"/>
      <c r="AM889" s="314"/>
      <c r="AN889" s="314"/>
      <c r="AO889" s="315"/>
      <c r="AP889" s="257"/>
      <c r="AQ889" s="257"/>
      <c r="AR889" s="257"/>
      <c r="AS889" s="315"/>
      <c r="AT889" s="257"/>
      <c r="AU889" s="257"/>
      <c r="AV889" s="316"/>
      <c r="AW889" s="314"/>
      <c r="AX889" s="315"/>
      <c r="AY889" s="315"/>
      <c r="AZ889" s="315"/>
      <c r="BA889" s="315"/>
      <c r="BB889" s="315"/>
      <c r="BC889" s="315"/>
      <c r="BD889" s="319"/>
      <c r="BE889" s="319"/>
      <c r="BF889" s="319"/>
      <c r="BG889" s="319"/>
      <c r="BH889" s="319"/>
      <c r="BI889" s="319"/>
      <c r="BJ889" s="319"/>
      <c r="BK889" s="315"/>
      <c r="BL889" s="316"/>
      <c r="BM889" s="314"/>
      <c r="BN889" s="319"/>
      <c r="BO889" s="315"/>
      <c r="BP889" s="314"/>
      <c r="BQ889" s="316"/>
      <c r="BR889" s="314"/>
      <c r="BS889" s="262"/>
      <c r="BT889" s="262"/>
    </row>
    <row r="890" spans="1:72" ht="45.75" customHeight="1">
      <c r="A890" s="342"/>
      <c r="B890" s="342"/>
      <c r="C890" s="342"/>
      <c r="D890" s="343"/>
      <c r="E890" s="342"/>
      <c r="F890" s="342"/>
      <c r="G890" s="344"/>
      <c r="H890" s="344"/>
      <c r="I890" s="344"/>
      <c r="J890" s="334"/>
      <c r="K890" s="335"/>
      <c r="L890" s="336"/>
      <c r="M890" s="336"/>
      <c r="N890" s="337"/>
      <c r="O890" s="337"/>
      <c r="P890" s="315"/>
      <c r="Q890" s="314"/>
      <c r="R890" s="317"/>
      <c r="S890" s="315"/>
      <c r="T890" s="315"/>
      <c r="U890" s="315"/>
      <c r="V890" s="258"/>
      <c r="W890" s="322"/>
      <c r="X890" s="318"/>
      <c r="Y890" s="315"/>
      <c r="Z890" s="318"/>
      <c r="AA890" s="314"/>
      <c r="AB890" s="336"/>
      <c r="AC890" s="314"/>
      <c r="AD890" s="316"/>
      <c r="AE890" s="315"/>
      <c r="AF890" s="315"/>
      <c r="AG890" s="315"/>
      <c r="AH890" s="315"/>
      <c r="AI890" s="377"/>
      <c r="AJ890" s="407"/>
      <c r="AK890" s="377"/>
      <c r="AL890" s="314"/>
      <c r="AM890" s="314"/>
      <c r="AN890" s="314"/>
      <c r="AO890" s="315"/>
      <c r="AP890" s="257"/>
      <c r="AQ890" s="257"/>
      <c r="AR890" s="257"/>
      <c r="AS890" s="315"/>
      <c r="AT890" s="257"/>
      <c r="AU890" s="257"/>
      <c r="AV890" s="316"/>
      <c r="AW890" s="314"/>
      <c r="AX890" s="315"/>
      <c r="AY890" s="315"/>
      <c r="AZ890" s="315"/>
      <c r="BA890" s="315"/>
      <c r="BB890" s="315"/>
      <c r="BC890" s="315"/>
      <c r="BD890" s="319"/>
      <c r="BE890" s="319"/>
      <c r="BF890" s="319"/>
      <c r="BG890" s="319"/>
      <c r="BH890" s="319"/>
      <c r="BI890" s="319"/>
      <c r="BJ890" s="319"/>
      <c r="BK890" s="315"/>
      <c r="BL890" s="316"/>
      <c r="BM890" s="314"/>
      <c r="BN890" s="319"/>
      <c r="BO890" s="315"/>
      <c r="BP890" s="314"/>
      <c r="BQ890" s="316"/>
      <c r="BR890" s="314"/>
      <c r="BS890" s="262"/>
      <c r="BT890" s="262"/>
    </row>
    <row r="891" spans="1:72" ht="45.75" customHeight="1">
      <c r="A891" s="342"/>
      <c r="B891" s="342"/>
      <c r="C891" s="342"/>
      <c r="D891" s="343"/>
      <c r="E891" s="342"/>
      <c r="F891" s="342"/>
      <c r="G891" s="344"/>
      <c r="H891" s="344"/>
      <c r="I891" s="344"/>
      <c r="J891" s="334"/>
      <c r="K891" s="335"/>
      <c r="L891" s="336"/>
      <c r="M891" s="336"/>
      <c r="N891" s="337"/>
      <c r="O891" s="337"/>
      <c r="P891" s="315"/>
      <c r="Q891" s="314"/>
      <c r="R891" s="317"/>
      <c r="S891" s="315"/>
      <c r="T891" s="315"/>
      <c r="U891" s="315"/>
      <c r="V891" s="258"/>
      <c r="W891" s="322"/>
      <c r="X891" s="318"/>
      <c r="Y891" s="315"/>
      <c r="Z891" s="318"/>
      <c r="AA891" s="314"/>
      <c r="AB891" s="336"/>
      <c r="AC891" s="314"/>
      <c r="AD891" s="316"/>
      <c r="AE891" s="315"/>
      <c r="AF891" s="315"/>
      <c r="AG891" s="315"/>
      <c r="AH891" s="315"/>
      <c r="AI891" s="377"/>
      <c r="AJ891" s="407"/>
      <c r="AK891" s="377"/>
      <c r="AL891" s="314"/>
      <c r="AM891" s="314"/>
      <c r="AN891" s="314"/>
      <c r="AO891" s="315"/>
      <c r="AP891" s="257"/>
      <c r="AQ891" s="257"/>
      <c r="AR891" s="257"/>
      <c r="AS891" s="315"/>
      <c r="AT891" s="257"/>
      <c r="AU891" s="257"/>
      <c r="AV891" s="316"/>
      <c r="AW891" s="314"/>
      <c r="AX891" s="315"/>
      <c r="AY891" s="315"/>
      <c r="AZ891" s="315"/>
      <c r="BA891" s="315"/>
      <c r="BB891" s="315"/>
      <c r="BC891" s="315"/>
      <c r="BD891" s="319"/>
      <c r="BE891" s="319"/>
      <c r="BF891" s="319"/>
      <c r="BG891" s="319"/>
      <c r="BH891" s="319"/>
      <c r="BI891" s="319"/>
      <c r="BJ891" s="319"/>
      <c r="BK891" s="315"/>
      <c r="BL891" s="316"/>
      <c r="BM891" s="314"/>
      <c r="BN891" s="319"/>
      <c r="BO891" s="315"/>
      <c r="BP891" s="314"/>
      <c r="BQ891" s="316"/>
      <c r="BR891" s="314"/>
      <c r="BS891" s="262"/>
      <c r="BT891" s="262"/>
    </row>
    <row r="892" spans="1:72" ht="45.75" customHeight="1">
      <c r="A892" s="342"/>
      <c r="B892" s="342"/>
      <c r="C892" s="342"/>
      <c r="D892" s="343"/>
      <c r="E892" s="342"/>
      <c r="F892" s="342"/>
      <c r="G892" s="344"/>
      <c r="H892" s="344"/>
      <c r="I892" s="344"/>
      <c r="J892" s="334"/>
      <c r="K892" s="335"/>
      <c r="L892" s="336"/>
      <c r="M892" s="336"/>
      <c r="N892" s="337"/>
      <c r="O892" s="337"/>
      <c r="P892" s="315"/>
      <c r="Q892" s="314"/>
      <c r="R892" s="317"/>
      <c r="S892" s="315"/>
      <c r="T892" s="315"/>
      <c r="U892" s="315"/>
      <c r="V892" s="258"/>
      <c r="W892" s="322"/>
      <c r="X892" s="318"/>
      <c r="Y892" s="315"/>
      <c r="Z892" s="318"/>
      <c r="AA892" s="314"/>
      <c r="AB892" s="336"/>
      <c r="AC892" s="314"/>
      <c r="AD892" s="316"/>
      <c r="AE892" s="315"/>
      <c r="AF892" s="315"/>
      <c r="AG892" s="315"/>
      <c r="AH892" s="315"/>
      <c r="AI892" s="377"/>
      <c r="AJ892" s="407"/>
      <c r="AK892" s="377"/>
      <c r="AL892" s="314"/>
      <c r="AM892" s="314"/>
      <c r="AN892" s="314"/>
      <c r="AO892" s="315"/>
      <c r="AP892" s="257"/>
      <c r="AQ892" s="257"/>
      <c r="AR892" s="257"/>
      <c r="AS892" s="315"/>
      <c r="AT892" s="257"/>
      <c r="AU892" s="257"/>
      <c r="AV892" s="316"/>
      <c r="AW892" s="314"/>
      <c r="AX892" s="315"/>
      <c r="AY892" s="315"/>
      <c r="AZ892" s="315"/>
      <c r="BA892" s="315"/>
      <c r="BB892" s="315"/>
      <c r="BC892" s="315"/>
      <c r="BD892" s="319"/>
      <c r="BE892" s="319"/>
      <c r="BF892" s="319"/>
      <c r="BG892" s="319"/>
      <c r="BH892" s="319"/>
      <c r="BI892" s="319"/>
      <c r="BJ892" s="319"/>
      <c r="BK892" s="315"/>
      <c r="BL892" s="316"/>
      <c r="BM892" s="314"/>
      <c r="BN892" s="319"/>
      <c r="BO892" s="315"/>
      <c r="BP892" s="314"/>
      <c r="BQ892" s="316"/>
      <c r="BR892" s="314"/>
      <c r="BS892" s="262"/>
      <c r="BT892" s="262"/>
    </row>
    <row r="893" spans="1:72" ht="45.75" customHeight="1">
      <c r="A893" s="342"/>
      <c r="B893" s="342"/>
      <c r="C893" s="342"/>
      <c r="D893" s="343"/>
      <c r="E893" s="342"/>
      <c r="F893" s="342"/>
      <c r="G893" s="344"/>
      <c r="H893" s="344"/>
      <c r="I893" s="344"/>
      <c r="J893" s="334"/>
      <c r="K893" s="335"/>
      <c r="L893" s="336"/>
      <c r="M893" s="336"/>
      <c r="N893" s="337"/>
      <c r="O893" s="337"/>
      <c r="P893" s="315"/>
      <c r="Q893" s="314"/>
      <c r="R893" s="317"/>
      <c r="S893" s="315"/>
      <c r="T893" s="315"/>
      <c r="U893" s="315"/>
      <c r="V893" s="258"/>
      <c r="W893" s="322"/>
      <c r="X893" s="318"/>
      <c r="Y893" s="315"/>
      <c r="Z893" s="318"/>
      <c r="AA893" s="314"/>
      <c r="AB893" s="336"/>
      <c r="AC893" s="314"/>
      <c r="AD893" s="316"/>
      <c r="AE893" s="315"/>
      <c r="AF893" s="315"/>
      <c r="AG893" s="315"/>
      <c r="AH893" s="315"/>
      <c r="AI893" s="377"/>
      <c r="AJ893" s="407"/>
      <c r="AK893" s="377"/>
      <c r="AL893" s="314"/>
      <c r="AM893" s="314"/>
      <c r="AN893" s="314"/>
      <c r="AO893" s="315"/>
      <c r="AP893" s="257"/>
      <c r="AQ893" s="257"/>
      <c r="AR893" s="257"/>
      <c r="AS893" s="315"/>
      <c r="AT893" s="257"/>
      <c r="AU893" s="257"/>
      <c r="AV893" s="316"/>
      <c r="AW893" s="314"/>
      <c r="AX893" s="315"/>
      <c r="AY893" s="315"/>
      <c r="AZ893" s="315"/>
      <c r="BA893" s="315"/>
      <c r="BB893" s="315"/>
      <c r="BC893" s="315"/>
      <c r="BD893" s="319"/>
      <c r="BE893" s="319"/>
      <c r="BF893" s="319"/>
      <c r="BG893" s="319"/>
      <c r="BH893" s="319"/>
      <c r="BI893" s="319"/>
      <c r="BJ893" s="319"/>
      <c r="BK893" s="315"/>
      <c r="BL893" s="316"/>
      <c r="BM893" s="314"/>
      <c r="BN893" s="319"/>
      <c r="BO893" s="315"/>
      <c r="BP893" s="314"/>
      <c r="BQ893" s="316"/>
      <c r="BR893" s="314"/>
      <c r="BS893" s="262"/>
      <c r="BT893" s="262"/>
    </row>
    <row r="894" spans="1:72" ht="45.75" customHeight="1">
      <c r="A894" s="342"/>
      <c r="B894" s="342"/>
      <c r="C894" s="342"/>
      <c r="D894" s="343"/>
      <c r="E894" s="342"/>
      <c r="F894" s="342"/>
      <c r="G894" s="344"/>
      <c r="H894" s="344"/>
      <c r="I894" s="344"/>
      <c r="J894" s="334"/>
      <c r="K894" s="335"/>
      <c r="L894" s="336"/>
      <c r="M894" s="336"/>
      <c r="N894" s="337"/>
      <c r="O894" s="337"/>
      <c r="P894" s="315"/>
      <c r="Q894" s="314"/>
      <c r="R894" s="317"/>
      <c r="S894" s="315"/>
      <c r="T894" s="315"/>
      <c r="U894" s="315"/>
      <c r="V894" s="258"/>
      <c r="W894" s="322"/>
      <c r="X894" s="318"/>
      <c r="Y894" s="315"/>
      <c r="Z894" s="318"/>
      <c r="AA894" s="314"/>
      <c r="AB894" s="336"/>
      <c r="AC894" s="314"/>
      <c r="AD894" s="316"/>
      <c r="AE894" s="315"/>
      <c r="AF894" s="315"/>
      <c r="AG894" s="315"/>
      <c r="AH894" s="315"/>
      <c r="AI894" s="377"/>
      <c r="AJ894" s="407"/>
      <c r="AK894" s="377"/>
      <c r="AL894" s="314"/>
      <c r="AM894" s="314"/>
      <c r="AN894" s="314"/>
      <c r="AO894" s="315"/>
      <c r="AP894" s="257"/>
      <c r="AQ894" s="257"/>
      <c r="AR894" s="257"/>
      <c r="AS894" s="315"/>
      <c r="AT894" s="257"/>
      <c r="AU894" s="257"/>
      <c r="AV894" s="316"/>
      <c r="AW894" s="314"/>
      <c r="AX894" s="315"/>
      <c r="AY894" s="315"/>
      <c r="AZ894" s="315"/>
      <c r="BA894" s="315"/>
      <c r="BB894" s="315"/>
      <c r="BC894" s="315"/>
      <c r="BD894" s="319"/>
      <c r="BE894" s="319"/>
      <c r="BF894" s="319"/>
      <c r="BG894" s="319"/>
      <c r="BH894" s="319"/>
      <c r="BI894" s="319"/>
      <c r="BJ894" s="319"/>
      <c r="BK894" s="315"/>
      <c r="BL894" s="316"/>
      <c r="BM894" s="314"/>
      <c r="BN894" s="319"/>
      <c r="BO894" s="315"/>
      <c r="BP894" s="314"/>
      <c r="BQ894" s="316"/>
      <c r="BR894" s="314"/>
      <c r="BS894" s="262"/>
      <c r="BT894" s="262"/>
    </row>
    <row r="895" spans="1:72" ht="45.75" customHeight="1">
      <c r="A895" s="342"/>
      <c r="B895" s="342"/>
      <c r="C895" s="342"/>
      <c r="D895" s="343"/>
      <c r="E895" s="342"/>
      <c r="F895" s="342"/>
      <c r="G895" s="344"/>
      <c r="H895" s="344"/>
      <c r="I895" s="344"/>
      <c r="J895" s="334"/>
      <c r="K895" s="335"/>
      <c r="L895" s="336"/>
      <c r="M895" s="336"/>
      <c r="N895" s="337"/>
      <c r="O895" s="337"/>
      <c r="P895" s="315"/>
      <c r="Q895" s="314"/>
      <c r="R895" s="317"/>
      <c r="S895" s="315"/>
      <c r="T895" s="315"/>
      <c r="U895" s="315"/>
      <c r="V895" s="258"/>
      <c r="W895" s="322"/>
      <c r="X895" s="318"/>
      <c r="Y895" s="315"/>
      <c r="Z895" s="318"/>
      <c r="AA895" s="314"/>
      <c r="AB895" s="336"/>
      <c r="AC895" s="314"/>
      <c r="AD895" s="316"/>
      <c r="AE895" s="315"/>
      <c r="AF895" s="315"/>
      <c r="AG895" s="315"/>
      <c r="AH895" s="315"/>
      <c r="AI895" s="377"/>
      <c r="AJ895" s="407"/>
      <c r="AK895" s="377"/>
      <c r="AL895" s="314"/>
      <c r="AM895" s="314"/>
      <c r="AN895" s="314"/>
      <c r="AO895" s="315"/>
      <c r="AP895" s="257"/>
      <c r="AQ895" s="257"/>
      <c r="AR895" s="257"/>
      <c r="AS895" s="315"/>
      <c r="AT895" s="257"/>
      <c r="AU895" s="257"/>
      <c r="AV895" s="316"/>
      <c r="AW895" s="314"/>
      <c r="AX895" s="315"/>
      <c r="AY895" s="315"/>
      <c r="AZ895" s="315"/>
      <c r="BA895" s="315"/>
      <c r="BB895" s="315"/>
      <c r="BC895" s="315"/>
      <c r="BD895" s="319"/>
      <c r="BE895" s="319"/>
      <c r="BF895" s="319"/>
      <c r="BG895" s="319"/>
      <c r="BH895" s="319"/>
      <c r="BI895" s="319"/>
      <c r="BJ895" s="319"/>
      <c r="BK895" s="315"/>
      <c r="BL895" s="316"/>
      <c r="BM895" s="314"/>
      <c r="BN895" s="319"/>
      <c r="BO895" s="315"/>
      <c r="BP895" s="314"/>
      <c r="BQ895" s="316"/>
      <c r="BR895" s="314"/>
      <c r="BS895" s="262"/>
      <c r="BT895" s="262"/>
    </row>
    <row r="896" spans="1:72" ht="45.75" customHeight="1">
      <c r="A896" s="342"/>
      <c r="B896" s="342"/>
      <c r="C896" s="342"/>
      <c r="D896" s="343"/>
      <c r="E896" s="342"/>
      <c r="F896" s="342"/>
      <c r="G896" s="344"/>
      <c r="H896" s="344"/>
      <c r="I896" s="344"/>
      <c r="J896" s="334"/>
      <c r="K896" s="335"/>
      <c r="L896" s="336"/>
      <c r="M896" s="336"/>
      <c r="N896" s="337"/>
      <c r="O896" s="337"/>
      <c r="P896" s="315"/>
      <c r="Q896" s="314"/>
      <c r="R896" s="317"/>
      <c r="S896" s="315"/>
      <c r="T896" s="315"/>
      <c r="U896" s="315"/>
      <c r="V896" s="258"/>
      <c r="W896" s="322"/>
      <c r="X896" s="318"/>
      <c r="Y896" s="315"/>
      <c r="Z896" s="318"/>
      <c r="AA896" s="314"/>
      <c r="AB896" s="336"/>
      <c r="AC896" s="314"/>
      <c r="AD896" s="316"/>
      <c r="AE896" s="315"/>
      <c r="AF896" s="315"/>
      <c r="AG896" s="315"/>
      <c r="AH896" s="315"/>
      <c r="AI896" s="377"/>
      <c r="AJ896" s="407"/>
      <c r="AK896" s="377"/>
      <c r="AL896" s="314"/>
      <c r="AM896" s="314"/>
      <c r="AN896" s="314"/>
      <c r="AO896" s="315"/>
      <c r="AP896" s="257"/>
      <c r="AQ896" s="257"/>
      <c r="AR896" s="257"/>
      <c r="AS896" s="315"/>
      <c r="AT896" s="257"/>
      <c r="AU896" s="257"/>
      <c r="AV896" s="316"/>
      <c r="AW896" s="314"/>
      <c r="AX896" s="315"/>
      <c r="AY896" s="315"/>
      <c r="AZ896" s="315"/>
      <c r="BA896" s="315"/>
      <c r="BB896" s="315"/>
      <c r="BC896" s="315"/>
      <c r="BD896" s="319"/>
      <c r="BE896" s="319"/>
      <c r="BF896" s="319"/>
      <c r="BG896" s="319"/>
      <c r="BH896" s="319"/>
      <c r="BI896" s="319"/>
      <c r="BJ896" s="319"/>
      <c r="BK896" s="315"/>
      <c r="BL896" s="316"/>
      <c r="BM896" s="314"/>
      <c r="BN896" s="319"/>
      <c r="BO896" s="315"/>
      <c r="BP896" s="314"/>
      <c r="BQ896" s="316"/>
      <c r="BR896" s="314"/>
      <c r="BS896" s="262"/>
      <c r="BT896" s="262"/>
    </row>
    <row r="897" spans="1:72" ht="45.75" customHeight="1">
      <c r="A897" s="342"/>
      <c r="B897" s="342"/>
      <c r="C897" s="342"/>
      <c r="D897" s="343"/>
      <c r="E897" s="342"/>
      <c r="F897" s="342"/>
      <c r="G897" s="344"/>
      <c r="H897" s="344"/>
      <c r="I897" s="344"/>
      <c r="J897" s="334"/>
      <c r="K897" s="335"/>
      <c r="L897" s="336"/>
      <c r="M897" s="336"/>
      <c r="N897" s="337"/>
      <c r="O897" s="337"/>
      <c r="P897" s="315"/>
      <c r="Q897" s="314"/>
      <c r="R897" s="317"/>
      <c r="S897" s="315"/>
      <c r="T897" s="315"/>
      <c r="U897" s="315"/>
      <c r="V897" s="258"/>
      <c r="W897" s="322"/>
      <c r="X897" s="318"/>
      <c r="Y897" s="315"/>
      <c r="Z897" s="318"/>
      <c r="AA897" s="314"/>
      <c r="AB897" s="336"/>
      <c r="AC897" s="314"/>
      <c r="AD897" s="316"/>
      <c r="AE897" s="315"/>
      <c r="AF897" s="315"/>
      <c r="AG897" s="315"/>
      <c r="AH897" s="315"/>
      <c r="AI897" s="377"/>
      <c r="AJ897" s="407"/>
      <c r="AK897" s="377"/>
      <c r="AL897" s="314"/>
      <c r="AM897" s="314"/>
      <c r="AN897" s="314"/>
      <c r="AO897" s="315"/>
      <c r="AP897" s="257"/>
      <c r="AQ897" s="257"/>
      <c r="AR897" s="257"/>
      <c r="AS897" s="315"/>
      <c r="AT897" s="257"/>
      <c r="AU897" s="257"/>
      <c r="AV897" s="316"/>
      <c r="AW897" s="314"/>
      <c r="AX897" s="315"/>
      <c r="AY897" s="315"/>
      <c r="AZ897" s="315"/>
      <c r="BA897" s="315"/>
      <c r="BB897" s="315"/>
      <c r="BC897" s="315"/>
      <c r="BD897" s="319"/>
      <c r="BE897" s="319"/>
      <c r="BF897" s="319"/>
      <c r="BG897" s="319"/>
      <c r="BH897" s="319"/>
      <c r="BI897" s="319"/>
      <c r="BJ897" s="319"/>
      <c r="BK897" s="315"/>
      <c r="BL897" s="316"/>
      <c r="BM897" s="314"/>
      <c r="BN897" s="319"/>
      <c r="BO897" s="315"/>
      <c r="BP897" s="314"/>
      <c r="BQ897" s="316"/>
      <c r="BR897" s="314"/>
      <c r="BS897" s="262"/>
      <c r="BT897" s="262"/>
    </row>
    <row r="898" spans="1:72" ht="45.75" customHeight="1">
      <c r="A898" s="342"/>
      <c r="B898" s="342"/>
      <c r="C898" s="342"/>
      <c r="D898" s="343"/>
      <c r="E898" s="342"/>
      <c r="F898" s="342"/>
      <c r="G898" s="344"/>
      <c r="H898" s="344"/>
      <c r="I898" s="344"/>
      <c r="J898" s="334"/>
      <c r="K898" s="335"/>
      <c r="L898" s="336"/>
      <c r="M898" s="336"/>
      <c r="N898" s="337"/>
      <c r="O898" s="337"/>
      <c r="P898" s="315"/>
      <c r="Q898" s="314"/>
      <c r="R898" s="317"/>
      <c r="S898" s="315"/>
      <c r="T898" s="315"/>
      <c r="U898" s="315"/>
      <c r="V898" s="258"/>
      <c r="W898" s="322"/>
      <c r="X898" s="318"/>
      <c r="Y898" s="315"/>
      <c r="Z898" s="318"/>
      <c r="AA898" s="314"/>
      <c r="AB898" s="336"/>
      <c r="AC898" s="314"/>
      <c r="AD898" s="316"/>
      <c r="AE898" s="315"/>
      <c r="AF898" s="315"/>
      <c r="AG898" s="315"/>
      <c r="AH898" s="315"/>
      <c r="AI898" s="377"/>
      <c r="AJ898" s="407"/>
      <c r="AK898" s="377"/>
      <c r="AL898" s="314"/>
      <c r="AM898" s="314"/>
      <c r="AN898" s="314"/>
      <c r="AO898" s="315"/>
      <c r="AP898" s="257"/>
      <c r="AQ898" s="257"/>
      <c r="AR898" s="257"/>
      <c r="AS898" s="315"/>
      <c r="AT898" s="257"/>
      <c r="AU898" s="257"/>
      <c r="AV898" s="316"/>
      <c r="AW898" s="314"/>
      <c r="AX898" s="315"/>
      <c r="AY898" s="315"/>
      <c r="AZ898" s="315"/>
      <c r="BA898" s="315"/>
      <c r="BB898" s="315"/>
      <c r="BC898" s="315"/>
      <c r="BD898" s="319"/>
      <c r="BE898" s="319"/>
      <c r="BF898" s="319"/>
      <c r="BG898" s="319"/>
      <c r="BH898" s="319"/>
      <c r="BI898" s="319"/>
      <c r="BJ898" s="319"/>
      <c r="BK898" s="315"/>
      <c r="BL898" s="316"/>
      <c r="BM898" s="314"/>
      <c r="BN898" s="319"/>
      <c r="BO898" s="315"/>
      <c r="BP898" s="314"/>
      <c r="BQ898" s="316"/>
      <c r="BR898" s="314"/>
      <c r="BS898" s="262"/>
      <c r="BT898" s="262"/>
    </row>
    <row r="899" spans="1:72" ht="45.75" customHeight="1">
      <c r="A899" s="342"/>
      <c r="B899" s="342"/>
      <c r="C899" s="342"/>
      <c r="D899" s="343"/>
      <c r="E899" s="342"/>
      <c r="F899" s="342"/>
      <c r="G899" s="344"/>
      <c r="H899" s="344"/>
      <c r="I899" s="344"/>
      <c r="J899" s="334"/>
      <c r="K899" s="335"/>
      <c r="L899" s="336"/>
      <c r="M899" s="336"/>
      <c r="N899" s="337"/>
      <c r="O899" s="337"/>
      <c r="P899" s="315"/>
      <c r="Q899" s="314"/>
      <c r="R899" s="317"/>
      <c r="S899" s="315"/>
      <c r="T899" s="315"/>
      <c r="U899" s="315"/>
      <c r="V899" s="258"/>
      <c r="W899" s="322"/>
      <c r="X899" s="318"/>
      <c r="Y899" s="315"/>
      <c r="Z899" s="318"/>
      <c r="AA899" s="314"/>
      <c r="AB899" s="336"/>
      <c r="AC899" s="314"/>
      <c r="AD899" s="316"/>
      <c r="AE899" s="315"/>
      <c r="AF899" s="315"/>
      <c r="AG899" s="315"/>
      <c r="AH899" s="315"/>
      <c r="AI899" s="377"/>
      <c r="AJ899" s="407"/>
      <c r="AK899" s="377"/>
      <c r="AL899" s="314"/>
      <c r="AM899" s="314"/>
      <c r="AN899" s="314"/>
      <c r="AO899" s="315"/>
      <c r="AP899" s="257"/>
      <c r="AQ899" s="257"/>
      <c r="AR899" s="257"/>
      <c r="AS899" s="315"/>
      <c r="AT899" s="257"/>
      <c r="AU899" s="257"/>
      <c r="AV899" s="316"/>
      <c r="AW899" s="314"/>
      <c r="AX899" s="315"/>
      <c r="AY899" s="315"/>
      <c r="AZ899" s="315"/>
      <c r="BA899" s="315"/>
      <c r="BB899" s="315"/>
      <c r="BC899" s="315"/>
      <c r="BD899" s="319"/>
      <c r="BE899" s="319"/>
      <c r="BF899" s="319"/>
      <c r="BG899" s="319"/>
      <c r="BH899" s="319"/>
      <c r="BI899" s="319"/>
      <c r="BJ899" s="319"/>
      <c r="BK899" s="315"/>
      <c r="BL899" s="316"/>
      <c r="BM899" s="314"/>
      <c r="BN899" s="319"/>
      <c r="BO899" s="315"/>
      <c r="BP899" s="314"/>
      <c r="BQ899" s="316"/>
      <c r="BR899" s="314"/>
      <c r="BS899" s="262"/>
      <c r="BT899" s="262"/>
    </row>
    <row r="900" spans="1:72" ht="45.75" customHeight="1">
      <c r="A900" s="342"/>
      <c r="B900" s="342"/>
      <c r="C900" s="342"/>
      <c r="D900" s="343"/>
      <c r="E900" s="342"/>
      <c r="F900" s="342"/>
      <c r="G900" s="344"/>
      <c r="H900" s="344"/>
      <c r="I900" s="344"/>
      <c r="J900" s="334"/>
      <c r="K900" s="335"/>
      <c r="L900" s="336"/>
      <c r="M900" s="336"/>
      <c r="N900" s="337"/>
      <c r="O900" s="337"/>
      <c r="P900" s="315"/>
      <c r="Q900" s="314"/>
      <c r="R900" s="317"/>
      <c r="S900" s="315"/>
      <c r="T900" s="315"/>
      <c r="U900" s="315"/>
      <c r="V900" s="258"/>
      <c r="W900" s="322"/>
      <c r="X900" s="318"/>
      <c r="Y900" s="315"/>
      <c r="Z900" s="318"/>
      <c r="AA900" s="314"/>
      <c r="AB900" s="336"/>
      <c r="AC900" s="314"/>
      <c r="AD900" s="316"/>
      <c r="AE900" s="315"/>
      <c r="AF900" s="315"/>
      <c r="AG900" s="315"/>
      <c r="AH900" s="315"/>
      <c r="AI900" s="377"/>
      <c r="AJ900" s="407"/>
      <c r="AK900" s="377"/>
      <c r="AL900" s="314"/>
      <c r="AM900" s="314"/>
      <c r="AN900" s="314"/>
      <c r="AO900" s="315"/>
      <c r="AP900" s="257"/>
      <c r="AQ900" s="257"/>
      <c r="AR900" s="257"/>
      <c r="AS900" s="315"/>
      <c r="AT900" s="257"/>
      <c r="AU900" s="257"/>
      <c r="AV900" s="316"/>
      <c r="AW900" s="314"/>
      <c r="AX900" s="315"/>
      <c r="AY900" s="315"/>
      <c r="AZ900" s="315"/>
      <c r="BA900" s="315"/>
      <c r="BB900" s="315"/>
      <c r="BC900" s="315"/>
      <c r="BD900" s="319"/>
      <c r="BE900" s="319"/>
      <c r="BF900" s="319"/>
      <c r="BG900" s="319"/>
      <c r="BH900" s="319"/>
      <c r="BI900" s="319"/>
      <c r="BJ900" s="319"/>
      <c r="BK900" s="315"/>
      <c r="BL900" s="316"/>
      <c r="BM900" s="314"/>
      <c r="BN900" s="319"/>
      <c r="BO900" s="315"/>
      <c r="BP900" s="314"/>
      <c r="BQ900" s="316"/>
      <c r="BR900" s="314"/>
      <c r="BS900" s="262"/>
      <c r="BT900" s="262"/>
    </row>
    <row r="901" spans="1:72" ht="45.75" customHeight="1">
      <c r="A901" s="342"/>
      <c r="B901" s="342"/>
      <c r="C901" s="342"/>
      <c r="D901" s="343"/>
      <c r="E901" s="342"/>
      <c r="F901" s="342"/>
      <c r="G901" s="344"/>
      <c r="H901" s="344"/>
      <c r="I901" s="344"/>
      <c r="J901" s="334"/>
      <c r="K901" s="335"/>
      <c r="L901" s="336"/>
      <c r="M901" s="336"/>
      <c r="N901" s="337"/>
      <c r="O901" s="337"/>
      <c r="P901" s="315"/>
      <c r="Q901" s="314"/>
      <c r="R901" s="317"/>
      <c r="S901" s="315"/>
      <c r="T901" s="315"/>
      <c r="U901" s="315"/>
      <c r="V901" s="258"/>
      <c r="W901" s="322"/>
      <c r="X901" s="318"/>
      <c r="Y901" s="315"/>
      <c r="Z901" s="318"/>
      <c r="AA901" s="314"/>
      <c r="AB901" s="336"/>
      <c r="AC901" s="314"/>
      <c r="AD901" s="316"/>
      <c r="AE901" s="315"/>
      <c r="AF901" s="315"/>
      <c r="AG901" s="315"/>
      <c r="AH901" s="315"/>
      <c r="AI901" s="377"/>
      <c r="AJ901" s="407"/>
      <c r="AK901" s="377"/>
      <c r="AL901" s="314"/>
      <c r="AM901" s="314"/>
      <c r="AN901" s="314"/>
      <c r="AO901" s="315"/>
      <c r="AP901" s="257"/>
      <c r="AQ901" s="257"/>
      <c r="AR901" s="257"/>
      <c r="AS901" s="315"/>
      <c r="AT901" s="257"/>
      <c r="AU901" s="257"/>
      <c r="AV901" s="316"/>
      <c r="AW901" s="314"/>
      <c r="AX901" s="315"/>
      <c r="AY901" s="315"/>
      <c r="AZ901" s="315"/>
      <c r="BA901" s="315"/>
      <c r="BB901" s="315"/>
      <c r="BC901" s="315"/>
      <c r="BD901" s="319"/>
      <c r="BE901" s="319"/>
      <c r="BF901" s="319"/>
      <c r="BG901" s="319"/>
      <c r="BH901" s="319"/>
      <c r="BI901" s="319"/>
      <c r="BJ901" s="319"/>
      <c r="BK901" s="315"/>
      <c r="BL901" s="316"/>
      <c r="BM901" s="314"/>
      <c r="BN901" s="319"/>
      <c r="BO901" s="315"/>
      <c r="BP901" s="314"/>
      <c r="BQ901" s="316"/>
      <c r="BR901" s="314"/>
      <c r="BS901" s="262"/>
      <c r="BT901" s="262"/>
    </row>
    <row r="902" spans="1:72" ht="45.75" customHeight="1">
      <c r="A902" s="342"/>
      <c r="B902" s="342"/>
      <c r="C902" s="342"/>
      <c r="D902" s="343"/>
      <c r="E902" s="342"/>
      <c r="F902" s="342"/>
      <c r="G902" s="344"/>
      <c r="H902" s="344"/>
      <c r="I902" s="344"/>
      <c r="J902" s="334"/>
      <c r="K902" s="335"/>
      <c r="L902" s="336"/>
      <c r="M902" s="336"/>
      <c r="N902" s="337"/>
      <c r="O902" s="337"/>
      <c r="P902" s="315"/>
      <c r="Q902" s="314"/>
      <c r="R902" s="317"/>
      <c r="S902" s="315"/>
      <c r="T902" s="315"/>
      <c r="U902" s="315"/>
      <c r="V902" s="258"/>
      <c r="W902" s="322"/>
      <c r="X902" s="318"/>
      <c r="Y902" s="315"/>
      <c r="Z902" s="318"/>
      <c r="AA902" s="314"/>
      <c r="AB902" s="336"/>
      <c r="AC902" s="314"/>
      <c r="AD902" s="316"/>
      <c r="AE902" s="315"/>
      <c r="AF902" s="315"/>
      <c r="AG902" s="315"/>
      <c r="AH902" s="315"/>
      <c r="AI902" s="377"/>
      <c r="AJ902" s="407"/>
      <c r="AK902" s="377"/>
      <c r="AL902" s="314"/>
      <c r="AM902" s="314"/>
      <c r="AN902" s="314"/>
      <c r="AO902" s="315"/>
      <c r="AP902" s="257"/>
      <c r="AQ902" s="257"/>
      <c r="AR902" s="257"/>
      <c r="AS902" s="315"/>
      <c r="AT902" s="257"/>
      <c r="AU902" s="257"/>
      <c r="AV902" s="316"/>
      <c r="AW902" s="314"/>
      <c r="AX902" s="315"/>
      <c r="AY902" s="315"/>
      <c r="AZ902" s="315"/>
      <c r="BA902" s="315"/>
      <c r="BB902" s="315"/>
      <c r="BC902" s="315"/>
      <c r="BD902" s="319"/>
      <c r="BE902" s="319"/>
      <c r="BF902" s="319"/>
      <c r="BG902" s="319"/>
      <c r="BH902" s="319"/>
      <c r="BI902" s="319"/>
      <c r="BJ902" s="319"/>
      <c r="BK902" s="315"/>
      <c r="BL902" s="316"/>
      <c r="BM902" s="314"/>
      <c r="BN902" s="319"/>
      <c r="BO902" s="315"/>
      <c r="BP902" s="314"/>
      <c r="BQ902" s="316"/>
      <c r="BR902" s="314"/>
      <c r="BS902" s="262"/>
      <c r="BT902" s="262"/>
    </row>
    <row r="903" spans="1:72" ht="45.75" customHeight="1">
      <c r="A903" s="342"/>
      <c r="B903" s="342"/>
      <c r="C903" s="342"/>
      <c r="D903" s="343"/>
      <c r="E903" s="342"/>
      <c r="F903" s="342"/>
      <c r="G903" s="344"/>
      <c r="H903" s="344"/>
      <c r="I903" s="344"/>
      <c r="J903" s="334"/>
      <c r="K903" s="335"/>
      <c r="L903" s="336"/>
      <c r="M903" s="336"/>
      <c r="N903" s="337"/>
      <c r="O903" s="337"/>
      <c r="P903" s="315"/>
      <c r="Q903" s="314"/>
      <c r="R903" s="317"/>
      <c r="S903" s="315"/>
      <c r="T903" s="315"/>
      <c r="U903" s="315"/>
      <c r="V903" s="258"/>
      <c r="W903" s="322"/>
      <c r="X903" s="318"/>
      <c r="Y903" s="315"/>
      <c r="Z903" s="318"/>
      <c r="AA903" s="314"/>
      <c r="AB903" s="336"/>
      <c r="AC903" s="314"/>
      <c r="AD903" s="316"/>
      <c r="AE903" s="315"/>
      <c r="AF903" s="315"/>
      <c r="AG903" s="315"/>
      <c r="AH903" s="315"/>
      <c r="AI903" s="377"/>
      <c r="AJ903" s="407"/>
      <c r="AK903" s="377"/>
      <c r="AL903" s="314"/>
      <c r="AM903" s="314"/>
      <c r="AN903" s="314"/>
      <c r="AO903" s="315"/>
      <c r="AP903" s="257"/>
      <c r="AQ903" s="257"/>
      <c r="AR903" s="257"/>
      <c r="AS903" s="315"/>
      <c r="AT903" s="257"/>
      <c r="AU903" s="257"/>
      <c r="AV903" s="316"/>
      <c r="AW903" s="314"/>
      <c r="AX903" s="315"/>
      <c r="AY903" s="315"/>
      <c r="AZ903" s="315"/>
      <c r="BA903" s="315"/>
      <c r="BB903" s="315"/>
      <c r="BC903" s="315"/>
      <c r="BD903" s="319"/>
      <c r="BE903" s="319"/>
      <c r="BF903" s="319"/>
      <c r="BG903" s="319"/>
      <c r="BH903" s="319"/>
      <c r="BI903" s="319"/>
      <c r="BJ903" s="319"/>
      <c r="BK903" s="315"/>
      <c r="BL903" s="316"/>
      <c r="BM903" s="314"/>
      <c r="BN903" s="319"/>
      <c r="BO903" s="315"/>
      <c r="BP903" s="314"/>
      <c r="BQ903" s="316"/>
      <c r="BR903" s="314"/>
      <c r="BS903" s="262"/>
      <c r="BT903" s="262"/>
    </row>
    <row r="904" spans="1:72" ht="45.75" customHeight="1">
      <c r="A904" s="342"/>
      <c r="B904" s="342"/>
      <c r="C904" s="342"/>
      <c r="D904" s="343"/>
      <c r="E904" s="342"/>
      <c r="F904" s="342"/>
      <c r="G904" s="344"/>
      <c r="H904" s="344"/>
      <c r="I904" s="344"/>
      <c r="J904" s="334"/>
      <c r="K904" s="335"/>
      <c r="L904" s="336"/>
      <c r="M904" s="336"/>
      <c r="N904" s="337"/>
      <c r="O904" s="337"/>
      <c r="P904" s="315"/>
      <c r="Q904" s="314"/>
      <c r="R904" s="317"/>
      <c r="S904" s="315"/>
      <c r="T904" s="315"/>
      <c r="U904" s="315"/>
      <c r="V904" s="258"/>
      <c r="W904" s="322"/>
      <c r="X904" s="318"/>
      <c r="Y904" s="315"/>
      <c r="Z904" s="318"/>
      <c r="AA904" s="314"/>
      <c r="AB904" s="336"/>
      <c r="AC904" s="314"/>
      <c r="AD904" s="316"/>
      <c r="AE904" s="315"/>
      <c r="AF904" s="315"/>
      <c r="AG904" s="315"/>
      <c r="AH904" s="315"/>
      <c r="AI904" s="377"/>
      <c r="AJ904" s="407"/>
      <c r="AK904" s="377"/>
      <c r="AL904" s="314"/>
      <c r="AM904" s="314"/>
      <c r="AN904" s="314"/>
      <c r="AO904" s="315"/>
      <c r="AP904" s="257"/>
      <c r="AQ904" s="257"/>
      <c r="AR904" s="257"/>
      <c r="AS904" s="315"/>
      <c r="AT904" s="257"/>
      <c r="AU904" s="257"/>
      <c r="AV904" s="316"/>
      <c r="AW904" s="314"/>
      <c r="AX904" s="315"/>
      <c r="AY904" s="315"/>
      <c r="AZ904" s="315"/>
      <c r="BA904" s="315"/>
      <c r="BB904" s="315"/>
      <c r="BC904" s="315"/>
      <c r="BD904" s="319"/>
      <c r="BE904" s="319"/>
      <c r="BF904" s="319"/>
      <c r="BG904" s="319"/>
      <c r="BH904" s="319"/>
      <c r="BI904" s="319"/>
      <c r="BJ904" s="319"/>
      <c r="BK904" s="315"/>
      <c r="BL904" s="316"/>
      <c r="BM904" s="314"/>
      <c r="BN904" s="319"/>
      <c r="BO904" s="315"/>
      <c r="BP904" s="314"/>
      <c r="BQ904" s="316"/>
      <c r="BR904" s="314"/>
      <c r="BS904" s="262"/>
      <c r="BT904" s="262"/>
    </row>
    <row r="905" spans="1:72" ht="45.75" customHeight="1">
      <c r="A905" s="342"/>
      <c r="B905" s="342"/>
      <c r="C905" s="342"/>
      <c r="D905" s="343"/>
      <c r="E905" s="342"/>
      <c r="F905" s="342"/>
      <c r="G905" s="344"/>
      <c r="H905" s="344"/>
      <c r="I905" s="344"/>
      <c r="J905" s="334"/>
      <c r="K905" s="335"/>
      <c r="L905" s="336"/>
      <c r="M905" s="336"/>
      <c r="N905" s="337"/>
      <c r="O905" s="337"/>
      <c r="P905" s="315"/>
      <c r="Q905" s="314"/>
      <c r="R905" s="317"/>
      <c r="S905" s="315"/>
      <c r="T905" s="315"/>
      <c r="U905" s="315"/>
      <c r="V905" s="258"/>
      <c r="W905" s="322"/>
      <c r="X905" s="318"/>
      <c r="Y905" s="315"/>
      <c r="Z905" s="318"/>
      <c r="AA905" s="314"/>
      <c r="AB905" s="336"/>
      <c r="AC905" s="314"/>
      <c r="AD905" s="316"/>
      <c r="AE905" s="315"/>
      <c r="AF905" s="315"/>
      <c r="AG905" s="315"/>
      <c r="AH905" s="315"/>
      <c r="AI905" s="377"/>
      <c r="AJ905" s="407"/>
      <c r="AK905" s="377"/>
      <c r="AL905" s="314"/>
      <c r="AM905" s="314"/>
      <c r="AN905" s="314"/>
      <c r="AO905" s="315"/>
      <c r="AP905" s="257"/>
      <c r="AQ905" s="257"/>
      <c r="AR905" s="257"/>
      <c r="AS905" s="315"/>
      <c r="AT905" s="257"/>
      <c r="AU905" s="257"/>
      <c r="AV905" s="316"/>
      <c r="AW905" s="314"/>
      <c r="AX905" s="315"/>
      <c r="AY905" s="315"/>
      <c r="AZ905" s="315"/>
      <c r="BA905" s="315"/>
      <c r="BB905" s="315"/>
      <c r="BC905" s="315"/>
      <c r="BD905" s="319"/>
      <c r="BE905" s="319"/>
      <c r="BF905" s="319"/>
      <c r="BG905" s="319"/>
      <c r="BH905" s="319"/>
      <c r="BI905" s="319"/>
      <c r="BJ905" s="319"/>
      <c r="BK905" s="315"/>
      <c r="BL905" s="316"/>
      <c r="BM905" s="314"/>
      <c r="BN905" s="319"/>
      <c r="BO905" s="315"/>
      <c r="BP905" s="314"/>
      <c r="BQ905" s="316"/>
      <c r="BR905" s="314"/>
      <c r="BS905" s="262"/>
      <c r="BT905" s="262"/>
    </row>
    <row r="906" spans="1:72" ht="45.75" customHeight="1">
      <c r="A906" s="342"/>
      <c r="B906" s="342"/>
      <c r="C906" s="342"/>
      <c r="D906" s="343"/>
      <c r="E906" s="342"/>
      <c r="F906" s="342"/>
      <c r="G906" s="344"/>
      <c r="H906" s="344"/>
      <c r="I906" s="344"/>
      <c r="J906" s="334"/>
      <c r="K906" s="335"/>
      <c r="L906" s="336"/>
      <c r="M906" s="336"/>
      <c r="N906" s="337"/>
      <c r="O906" s="337"/>
      <c r="P906" s="315"/>
      <c r="Q906" s="314"/>
      <c r="R906" s="317"/>
      <c r="S906" s="315"/>
      <c r="T906" s="315"/>
      <c r="U906" s="315"/>
      <c r="V906" s="258"/>
      <c r="W906" s="322"/>
      <c r="X906" s="318"/>
      <c r="Y906" s="315"/>
      <c r="Z906" s="318"/>
      <c r="AA906" s="314"/>
      <c r="AB906" s="336"/>
      <c r="AC906" s="314"/>
      <c r="AD906" s="316"/>
      <c r="AE906" s="315"/>
      <c r="AF906" s="315"/>
      <c r="AG906" s="315"/>
      <c r="AH906" s="315"/>
      <c r="AI906" s="377"/>
      <c r="AJ906" s="407"/>
      <c r="AK906" s="377"/>
      <c r="AL906" s="314"/>
      <c r="AM906" s="314"/>
      <c r="AN906" s="314"/>
      <c r="AO906" s="315"/>
      <c r="AP906" s="257"/>
      <c r="AQ906" s="257"/>
      <c r="AR906" s="257"/>
      <c r="AS906" s="315"/>
      <c r="AT906" s="257"/>
      <c r="AU906" s="257"/>
      <c r="AV906" s="316"/>
      <c r="AW906" s="314"/>
      <c r="AX906" s="315"/>
      <c r="AY906" s="315"/>
      <c r="AZ906" s="315"/>
      <c r="BA906" s="315"/>
      <c r="BB906" s="315"/>
      <c r="BC906" s="315"/>
      <c r="BD906" s="319"/>
      <c r="BE906" s="319"/>
      <c r="BF906" s="319"/>
      <c r="BG906" s="319"/>
      <c r="BH906" s="319"/>
      <c r="BI906" s="319"/>
      <c r="BJ906" s="319"/>
      <c r="BK906" s="315"/>
      <c r="BL906" s="316"/>
      <c r="BM906" s="314"/>
      <c r="BN906" s="319"/>
      <c r="BO906" s="315"/>
      <c r="BP906" s="314"/>
      <c r="BQ906" s="316"/>
      <c r="BR906" s="314"/>
      <c r="BS906" s="262"/>
      <c r="BT906" s="262"/>
    </row>
    <row r="907" spans="1:72" ht="45.75" customHeight="1">
      <c r="A907" s="342"/>
      <c r="B907" s="342"/>
      <c r="C907" s="342"/>
      <c r="D907" s="343"/>
      <c r="E907" s="342"/>
      <c r="F907" s="342"/>
      <c r="G907" s="344"/>
      <c r="H907" s="344"/>
      <c r="I907" s="344"/>
      <c r="J907" s="334"/>
      <c r="K907" s="335"/>
      <c r="L907" s="336"/>
      <c r="M907" s="336"/>
      <c r="N907" s="337"/>
      <c r="O907" s="337"/>
      <c r="P907" s="315"/>
      <c r="Q907" s="314"/>
      <c r="R907" s="317"/>
      <c r="S907" s="315"/>
      <c r="T907" s="315"/>
      <c r="U907" s="315"/>
      <c r="V907" s="258"/>
      <c r="W907" s="322"/>
      <c r="X907" s="318"/>
      <c r="Y907" s="315"/>
      <c r="Z907" s="318"/>
      <c r="AA907" s="314"/>
      <c r="AB907" s="336"/>
      <c r="AC907" s="314"/>
      <c r="AD907" s="316"/>
      <c r="AE907" s="315"/>
      <c r="AF907" s="315"/>
      <c r="AG907" s="315"/>
      <c r="AH907" s="315"/>
      <c r="AI907" s="377"/>
      <c r="AJ907" s="407"/>
      <c r="AK907" s="377"/>
      <c r="AL907" s="314"/>
      <c r="AM907" s="314"/>
      <c r="AN907" s="314"/>
      <c r="AO907" s="315"/>
      <c r="AP907" s="257"/>
      <c r="AQ907" s="257"/>
      <c r="AR907" s="257"/>
      <c r="AS907" s="315"/>
      <c r="AT907" s="257"/>
      <c r="AU907" s="257"/>
      <c r="AV907" s="316"/>
      <c r="AW907" s="314"/>
      <c r="AX907" s="315"/>
      <c r="AY907" s="315"/>
      <c r="AZ907" s="315"/>
      <c r="BA907" s="315"/>
      <c r="BB907" s="315"/>
      <c r="BC907" s="315"/>
      <c r="BD907" s="319"/>
      <c r="BE907" s="319"/>
      <c r="BF907" s="319"/>
      <c r="BG907" s="319"/>
      <c r="BH907" s="319"/>
      <c r="BI907" s="319"/>
      <c r="BJ907" s="319"/>
      <c r="BK907" s="315"/>
      <c r="BL907" s="316"/>
      <c r="BM907" s="314"/>
      <c r="BN907" s="319"/>
      <c r="BO907" s="315"/>
      <c r="BP907" s="314"/>
      <c r="BQ907" s="316"/>
      <c r="BR907" s="314"/>
      <c r="BS907" s="262"/>
      <c r="BT907" s="262"/>
    </row>
    <row r="908" spans="1:72" ht="45.75" customHeight="1">
      <c r="A908" s="342"/>
      <c r="B908" s="342"/>
      <c r="C908" s="342"/>
      <c r="D908" s="343"/>
      <c r="E908" s="342"/>
      <c r="F908" s="342"/>
      <c r="G908" s="344"/>
      <c r="H908" s="344"/>
      <c r="I908" s="344"/>
      <c r="J908" s="334"/>
      <c r="K908" s="335"/>
      <c r="L908" s="336"/>
      <c r="M908" s="336"/>
      <c r="N908" s="337"/>
      <c r="O908" s="337"/>
      <c r="P908" s="315"/>
      <c r="Q908" s="314"/>
      <c r="R908" s="317"/>
      <c r="S908" s="315"/>
      <c r="T908" s="315"/>
      <c r="U908" s="315"/>
      <c r="V908" s="258"/>
      <c r="W908" s="322"/>
      <c r="X908" s="318"/>
      <c r="Y908" s="315"/>
      <c r="Z908" s="318"/>
      <c r="AA908" s="314"/>
      <c r="AB908" s="336"/>
      <c r="AC908" s="314"/>
      <c r="AD908" s="316"/>
      <c r="AE908" s="315"/>
      <c r="AF908" s="315"/>
      <c r="AG908" s="315"/>
      <c r="AH908" s="315"/>
      <c r="AI908" s="377"/>
      <c r="AJ908" s="407"/>
      <c r="AK908" s="377"/>
      <c r="AL908" s="314"/>
      <c r="AM908" s="314"/>
      <c r="AN908" s="314"/>
      <c r="AO908" s="315"/>
      <c r="AP908" s="257"/>
      <c r="AQ908" s="257"/>
      <c r="AR908" s="257"/>
      <c r="AS908" s="315"/>
      <c r="AT908" s="257"/>
      <c r="AU908" s="257"/>
      <c r="AV908" s="316"/>
      <c r="AW908" s="314"/>
      <c r="AX908" s="315"/>
      <c r="AY908" s="315"/>
      <c r="AZ908" s="315"/>
      <c r="BA908" s="315"/>
      <c r="BB908" s="315"/>
      <c r="BC908" s="315"/>
      <c r="BD908" s="319"/>
      <c r="BE908" s="319"/>
      <c r="BF908" s="319"/>
      <c r="BG908" s="319"/>
      <c r="BH908" s="319"/>
      <c r="BI908" s="319"/>
      <c r="BJ908" s="319"/>
      <c r="BK908" s="315"/>
      <c r="BL908" s="316"/>
      <c r="BM908" s="314"/>
      <c r="BN908" s="319"/>
      <c r="BO908" s="315"/>
      <c r="BP908" s="314"/>
      <c r="BQ908" s="316"/>
      <c r="BR908" s="314"/>
      <c r="BS908" s="262"/>
      <c r="BT908" s="262"/>
    </row>
    <row r="909" spans="1:72" ht="45.75" customHeight="1">
      <c r="A909" s="342"/>
      <c r="B909" s="342"/>
      <c r="C909" s="342"/>
      <c r="D909" s="343"/>
      <c r="E909" s="342"/>
      <c r="F909" s="342"/>
      <c r="G909" s="344"/>
      <c r="H909" s="344"/>
      <c r="I909" s="344"/>
      <c r="J909" s="334"/>
      <c r="K909" s="335"/>
      <c r="L909" s="336"/>
      <c r="M909" s="336"/>
      <c r="N909" s="337"/>
      <c r="O909" s="337"/>
      <c r="P909" s="315"/>
      <c r="Q909" s="314"/>
      <c r="R909" s="317"/>
      <c r="S909" s="315"/>
      <c r="T909" s="315"/>
      <c r="U909" s="315"/>
      <c r="V909" s="258"/>
      <c r="W909" s="322"/>
      <c r="X909" s="318"/>
      <c r="Y909" s="315"/>
      <c r="Z909" s="318"/>
      <c r="AA909" s="314"/>
      <c r="AB909" s="336"/>
      <c r="AC909" s="314"/>
      <c r="AD909" s="316"/>
      <c r="AE909" s="315"/>
      <c r="AF909" s="315"/>
      <c r="AG909" s="315"/>
      <c r="AH909" s="315"/>
      <c r="AI909" s="377"/>
      <c r="AJ909" s="407"/>
      <c r="AK909" s="377"/>
      <c r="AL909" s="314"/>
      <c r="AM909" s="314"/>
      <c r="AN909" s="314"/>
      <c r="AO909" s="315"/>
      <c r="AP909" s="257"/>
      <c r="AQ909" s="257"/>
      <c r="AR909" s="257"/>
      <c r="AS909" s="315"/>
      <c r="AT909" s="257"/>
      <c r="AU909" s="257"/>
      <c r="AV909" s="316"/>
      <c r="AW909" s="314"/>
      <c r="AX909" s="315"/>
      <c r="AY909" s="315"/>
      <c r="AZ909" s="315"/>
      <c r="BA909" s="315"/>
      <c r="BB909" s="315"/>
      <c r="BC909" s="315"/>
      <c r="BD909" s="319"/>
      <c r="BE909" s="319"/>
      <c r="BF909" s="319"/>
      <c r="BG909" s="319"/>
      <c r="BH909" s="319"/>
      <c r="BI909" s="319"/>
      <c r="BJ909" s="319"/>
      <c r="BK909" s="315"/>
      <c r="BL909" s="316"/>
      <c r="BM909" s="314"/>
      <c r="BN909" s="319"/>
      <c r="BO909" s="315"/>
      <c r="BP909" s="314"/>
      <c r="BQ909" s="316"/>
      <c r="BR909" s="314"/>
      <c r="BS909" s="262"/>
      <c r="BT909" s="262"/>
    </row>
    <row r="910" spans="1:72" ht="45.75" customHeight="1">
      <c r="A910" s="342"/>
      <c r="B910" s="342"/>
      <c r="C910" s="342"/>
      <c r="D910" s="343"/>
      <c r="E910" s="342"/>
      <c r="F910" s="342"/>
      <c r="G910" s="344"/>
      <c r="H910" s="344"/>
      <c r="I910" s="344"/>
      <c r="J910" s="334"/>
      <c r="K910" s="335"/>
      <c r="L910" s="336"/>
      <c r="M910" s="336"/>
      <c r="N910" s="337"/>
      <c r="O910" s="337"/>
      <c r="P910" s="315"/>
      <c r="Q910" s="314"/>
      <c r="R910" s="317"/>
      <c r="S910" s="315"/>
      <c r="T910" s="315"/>
      <c r="U910" s="315"/>
      <c r="V910" s="258"/>
      <c r="W910" s="322"/>
      <c r="X910" s="318"/>
      <c r="Y910" s="315"/>
      <c r="Z910" s="318"/>
      <c r="AA910" s="314"/>
      <c r="AB910" s="336"/>
      <c r="AC910" s="314"/>
      <c r="AD910" s="316"/>
      <c r="AE910" s="315"/>
      <c r="AF910" s="315"/>
      <c r="AG910" s="315"/>
      <c r="AH910" s="315"/>
      <c r="AI910" s="377"/>
      <c r="AJ910" s="407"/>
      <c r="AK910" s="377"/>
      <c r="AL910" s="314"/>
      <c r="AM910" s="314"/>
      <c r="AN910" s="314"/>
      <c r="AO910" s="315"/>
      <c r="AP910" s="257"/>
      <c r="AQ910" s="257"/>
      <c r="AR910" s="257"/>
      <c r="AS910" s="315"/>
      <c r="AT910" s="257"/>
      <c r="AU910" s="257"/>
      <c r="AV910" s="316"/>
      <c r="AW910" s="314"/>
      <c r="AX910" s="315"/>
      <c r="AY910" s="315"/>
      <c r="AZ910" s="315"/>
      <c r="BA910" s="315"/>
      <c r="BB910" s="315"/>
      <c r="BC910" s="315"/>
      <c r="BD910" s="319"/>
      <c r="BE910" s="319"/>
      <c r="BF910" s="319"/>
      <c r="BG910" s="319"/>
      <c r="BH910" s="319"/>
      <c r="BI910" s="319"/>
      <c r="BJ910" s="319"/>
      <c r="BK910" s="315"/>
      <c r="BL910" s="316"/>
      <c r="BM910" s="314"/>
      <c r="BN910" s="319"/>
      <c r="BO910" s="315"/>
      <c r="BP910" s="314"/>
      <c r="BQ910" s="316"/>
      <c r="BR910" s="314"/>
      <c r="BS910" s="262"/>
      <c r="BT910" s="262"/>
    </row>
    <row r="911" spans="1:72" ht="45.75" customHeight="1">
      <c r="A911" s="342"/>
      <c r="B911" s="342"/>
      <c r="C911" s="342"/>
      <c r="D911" s="343"/>
      <c r="E911" s="342"/>
      <c r="F911" s="342"/>
      <c r="G911" s="344"/>
      <c r="H911" s="344"/>
      <c r="I911" s="344"/>
      <c r="J911" s="334"/>
      <c r="K911" s="335"/>
      <c r="L911" s="336"/>
      <c r="M911" s="336"/>
      <c r="N911" s="337"/>
      <c r="O911" s="337"/>
      <c r="P911" s="315"/>
      <c r="Q911" s="314"/>
      <c r="R911" s="317"/>
      <c r="S911" s="315"/>
      <c r="T911" s="315"/>
      <c r="U911" s="315"/>
      <c r="V911" s="258"/>
      <c r="W911" s="322"/>
      <c r="X911" s="318"/>
      <c r="Y911" s="315"/>
      <c r="Z911" s="318"/>
      <c r="AA911" s="314"/>
      <c r="AB911" s="336"/>
      <c r="AC911" s="314"/>
      <c r="AD911" s="316"/>
      <c r="AE911" s="315"/>
      <c r="AF911" s="315"/>
      <c r="AG911" s="315"/>
      <c r="AH911" s="315"/>
      <c r="AI911" s="377"/>
      <c r="AJ911" s="407"/>
      <c r="AK911" s="377"/>
      <c r="AL911" s="314"/>
      <c r="AM911" s="314"/>
      <c r="AN911" s="314"/>
      <c r="AO911" s="315"/>
      <c r="AP911" s="257"/>
      <c r="AQ911" s="257"/>
      <c r="AR911" s="257"/>
      <c r="AS911" s="315"/>
      <c r="AT911" s="257"/>
      <c r="AU911" s="257"/>
      <c r="AV911" s="316"/>
      <c r="AW911" s="314"/>
      <c r="AX911" s="315"/>
      <c r="AY911" s="315"/>
      <c r="AZ911" s="315"/>
      <c r="BA911" s="315"/>
      <c r="BB911" s="315"/>
      <c r="BC911" s="315"/>
      <c r="BD911" s="319"/>
      <c r="BE911" s="319"/>
      <c r="BF911" s="319"/>
      <c r="BG911" s="319"/>
      <c r="BH911" s="319"/>
      <c r="BI911" s="319"/>
      <c r="BJ911" s="319"/>
      <c r="BK911" s="315"/>
      <c r="BL911" s="316"/>
      <c r="BM911" s="314"/>
      <c r="BN911" s="319"/>
      <c r="BO911" s="315"/>
      <c r="BP911" s="314"/>
      <c r="BQ911" s="316"/>
      <c r="BR911" s="314"/>
      <c r="BS911" s="262"/>
      <c r="BT911" s="262"/>
    </row>
    <row r="912" spans="1:72" ht="45.75" customHeight="1">
      <c r="A912" s="342"/>
      <c r="B912" s="342"/>
      <c r="C912" s="342"/>
      <c r="D912" s="343"/>
      <c r="E912" s="342"/>
      <c r="F912" s="342"/>
      <c r="G912" s="344"/>
      <c r="H912" s="344"/>
      <c r="I912" s="344"/>
      <c r="J912" s="334"/>
      <c r="K912" s="335"/>
      <c r="L912" s="336"/>
      <c r="M912" s="336"/>
      <c r="N912" s="337"/>
      <c r="O912" s="337"/>
      <c r="P912" s="315"/>
      <c r="Q912" s="314"/>
      <c r="R912" s="317"/>
      <c r="S912" s="315"/>
      <c r="T912" s="315"/>
      <c r="U912" s="315"/>
      <c r="V912" s="258"/>
      <c r="W912" s="322"/>
      <c r="X912" s="318"/>
      <c r="Y912" s="315"/>
      <c r="Z912" s="318"/>
      <c r="AA912" s="314"/>
      <c r="AB912" s="336"/>
      <c r="AC912" s="314"/>
      <c r="AD912" s="316"/>
      <c r="AE912" s="315"/>
      <c r="AF912" s="315"/>
      <c r="AG912" s="315"/>
      <c r="AH912" s="315"/>
      <c r="AI912" s="377"/>
      <c r="AJ912" s="407"/>
      <c r="AK912" s="377"/>
      <c r="AL912" s="314"/>
      <c r="AM912" s="314"/>
      <c r="AN912" s="314"/>
      <c r="AO912" s="315"/>
      <c r="AP912" s="257"/>
      <c r="AQ912" s="257"/>
      <c r="AR912" s="257"/>
      <c r="AS912" s="315"/>
      <c r="AT912" s="257"/>
      <c r="AU912" s="257"/>
      <c r="AV912" s="316"/>
      <c r="AW912" s="314"/>
      <c r="AX912" s="315"/>
      <c r="AY912" s="315"/>
      <c r="AZ912" s="315"/>
      <c r="BA912" s="315"/>
      <c r="BB912" s="315"/>
      <c r="BC912" s="315"/>
      <c r="BD912" s="319"/>
      <c r="BE912" s="319"/>
      <c r="BF912" s="319"/>
      <c r="BG912" s="319"/>
      <c r="BH912" s="319"/>
      <c r="BI912" s="319"/>
      <c r="BJ912" s="319"/>
      <c r="BK912" s="315"/>
      <c r="BL912" s="316"/>
      <c r="BM912" s="314"/>
      <c r="BN912" s="319"/>
      <c r="BO912" s="315"/>
      <c r="BP912" s="314"/>
      <c r="BQ912" s="316"/>
      <c r="BR912" s="314"/>
      <c r="BS912" s="262"/>
      <c r="BT912" s="262"/>
    </row>
    <row r="913" spans="1:72" ht="45.75" customHeight="1">
      <c r="A913" s="342"/>
      <c r="B913" s="342"/>
      <c r="C913" s="342"/>
      <c r="D913" s="343"/>
      <c r="E913" s="342"/>
      <c r="F913" s="342"/>
      <c r="G913" s="344"/>
      <c r="H913" s="344"/>
      <c r="I913" s="344"/>
      <c r="J913" s="334"/>
      <c r="K913" s="335"/>
      <c r="L913" s="336"/>
      <c r="M913" s="336"/>
      <c r="N913" s="337"/>
      <c r="O913" s="337"/>
      <c r="P913" s="315"/>
      <c r="Q913" s="314"/>
      <c r="R913" s="317"/>
      <c r="S913" s="315"/>
      <c r="T913" s="315"/>
      <c r="U913" s="315"/>
      <c r="V913" s="258"/>
      <c r="W913" s="322"/>
      <c r="X913" s="318"/>
      <c r="Y913" s="315"/>
      <c r="Z913" s="318"/>
      <c r="AA913" s="314"/>
      <c r="AB913" s="336"/>
      <c r="AC913" s="314"/>
      <c r="AD913" s="316"/>
      <c r="AE913" s="315"/>
      <c r="AF913" s="315"/>
      <c r="AG913" s="315"/>
      <c r="AH913" s="315"/>
      <c r="AI913" s="377"/>
      <c r="AJ913" s="407"/>
      <c r="AK913" s="377"/>
      <c r="AL913" s="314"/>
      <c r="AM913" s="314"/>
      <c r="AN913" s="314"/>
      <c r="AO913" s="315"/>
      <c r="AP913" s="257"/>
      <c r="AQ913" s="257"/>
      <c r="AR913" s="257"/>
      <c r="AS913" s="315"/>
      <c r="AT913" s="257"/>
      <c r="AU913" s="257"/>
      <c r="AV913" s="316"/>
      <c r="AW913" s="314"/>
      <c r="AX913" s="315"/>
      <c r="AY913" s="315"/>
      <c r="AZ913" s="315"/>
      <c r="BA913" s="315"/>
      <c r="BB913" s="315"/>
      <c r="BC913" s="315"/>
      <c r="BD913" s="319"/>
      <c r="BE913" s="319"/>
      <c r="BF913" s="319"/>
      <c r="BG913" s="319"/>
      <c r="BH913" s="319"/>
      <c r="BI913" s="319"/>
      <c r="BJ913" s="319"/>
      <c r="BK913" s="315"/>
      <c r="BL913" s="316"/>
      <c r="BM913" s="314"/>
      <c r="BN913" s="319"/>
      <c r="BO913" s="315"/>
      <c r="BP913" s="314"/>
      <c r="BQ913" s="316"/>
      <c r="BR913" s="314"/>
      <c r="BS913" s="262"/>
      <c r="BT913" s="262"/>
    </row>
    <row r="914" spans="1:72" ht="45.75" customHeight="1">
      <c r="A914" s="342"/>
      <c r="B914" s="342"/>
      <c r="C914" s="342"/>
      <c r="D914" s="343"/>
      <c r="E914" s="342"/>
      <c r="F914" s="342"/>
      <c r="G914" s="344"/>
      <c r="H914" s="344"/>
      <c r="I914" s="344"/>
      <c r="J914" s="334"/>
      <c r="K914" s="335"/>
      <c r="L914" s="336"/>
      <c r="M914" s="336"/>
      <c r="N914" s="337"/>
      <c r="O914" s="337"/>
      <c r="P914" s="315"/>
      <c r="Q914" s="314"/>
      <c r="R914" s="317"/>
      <c r="S914" s="315"/>
      <c r="T914" s="315"/>
      <c r="U914" s="315"/>
      <c r="V914" s="258"/>
      <c r="W914" s="322"/>
      <c r="X914" s="318"/>
      <c r="Y914" s="315"/>
      <c r="Z914" s="318"/>
      <c r="AA914" s="314"/>
      <c r="AB914" s="336"/>
      <c r="AC914" s="314"/>
      <c r="AD914" s="316"/>
      <c r="AE914" s="315"/>
      <c r="AF914" s="315"/>
      <c r="AG914" s="315"/>
      <c r="AH914" s="315"/>
      <c r="AI914" s="377"/>
      <c r="AJ914" s="407"/>
      <c r="AK914" s="377"/>
      <c r="AL914" s="314"/>
      <c r="AM914" s="314"/>
      <c r="AN914" s="314"/>
      <c r="AO914" s="315"/>
      <c r="AP914" s="257"/>
      <c r="AQ914" s="257"/>
      <c r="AR914" s="257"/>
      <c r="AS914" s="315"/>
      <c r="AT914" s="257"/>
      <c r="AU914" s="257"/>
      <c r="AV914" s="316"/>
      <c r="AW914" s="314"/>
      <c r="AX914" s="315"/>
      <c r="AY914" s="315"/>
      <c r="AZ914" s="315"/>
      <c r="BA914" s="315"/>
      <c r="BB914" s="315"/>
      <c r="BC914" s="315"/>
      <c r="BD914" s="319"/>
      <c r="BE914" s="319"/>
      <c r="BF914" s="319"/>
      <c r="BG914" s="319"/>
      <c r="BH914" s="319"/>
      <c r="BI914" s="319"/>
      <c r="BJ914" s="319"/>
      <c r="BK914" s="315"/>
      <c r="BL914" s="316"/>
      <c r="BM914" s="314"/>
      <c r="BN914" s="319"/>
      <c r="BO914" s="315"/>
      <c r="BP914" s="314"/>
      <c r="BQ914" s="316"/>
      <c r="BR914" s="314"/>
      <c r="BS914" s="262"/>
      <c r="BT914" s="262"/>
    </row>
    <row r="915" spans="1:72" ht="45.75" customHeight="1">
      <c r="A915" s="342"/>
      <c r="B915" s="342"/>
      <c r="C915" s="342"/>
      <c r="D915" s="343"/>
      <c r="E915" s="342"/>
      <c r="F915" s="342"/>
      <c r="G915" s="344"/>
      <c r="H915" s="344"/>
      <c r="I915" s="344"/>
      <c r="J915" s="334"/>
      <c r="K915" s="335"/>
      <c r="L915" s="336"/>
      <c r="M915" s="336"/>
      <c r="N915" s="337"/>
      <c r="O915" s="337"/>
      <c r="P915" s="315"/>
      <c r="Q915" s="314"/>
      <c r="R915" s="317"/>
      <c r="S915" s="315"/>
      <c r="T915" s="315"/>
      <c r="U915" s="315"/>
      <c r="V915" s="258"/>
      <c r="W915" s="322"/>
      <c r="X915" s="318"/>
      <c r="Y915" s="315"/>
      <c r="Z915" s="318"/>
      <c r="AA915" s="314"/>
      <c r="AB915" s="336"/>
      <c r="AC915" s="314"/>
      <c r="AD915" s="316"/>
      <c r="AE915" s="315"/>
      <c r="AF915" s="315"/>
      <c r="AG915" s="315"/>
      <c r="AH915" s="315"/>
      <c r="AI915" s="377"/>
      <c r="AJ915" s="407"/>
      <c r="AK915" s="377"/>
      <c r="AL915" s="314"/>
      <c r="AM915" s="314"/>
      <c r="AN915" s="314"/>
      <c r="AO915" s="315"/>
      <c r="AP915" s="257"/>
      <c r="AQ915" s="257"/>
      <c r="AR915" s="257"/>
      <c r="AS915" s="315"/>
      <c r="AT915" s="257"/>
      <c r="AU915" s="257"/>
      <c r="AV915" s="316"/>
      <c r="AW915" s="314"/>
      <c r="AX915" s="315"/>
      <c r="AY915" s="315"/>
      <c r="AZ915" s="315"/>
      <c r="BA915" s="315"/>
      <c r="BB915" s="315"/>
      <c r="BC915" s="315"/>
      <c r="BD915" s="319"/>
      <c r="BE915" s="319"/>
      <c r="BF915" s="319"/>
      <c r="BG915" s="319"/>
      <c r="BH915" s="319"/>
      <c r="BI915" s="319"/>
      <c r="BJ915" s="319"/>
      <c r="BK915" s="315"/>
      <c r="BL915" s="316"/>
      <c r="BM915" s="314"/>
      <c r="BN915" s="319"/>
      <c r="BO915" s="315"/>
      <c r="BP915" s="314"/>
      <c r="BQ915" s="316"/>
      <c r="BR915" s="314"/>
      <c r="BS915" s="262"/>
      <c r="BT915" s="262"/>
    </row>
    <row r="916" spans="1:72" ht="45.75" customHeight="1">
      <c r="A916" s="342"/>
      <c r="B916" s="342"/>
      <c r="C916" s="342"/>
      <c r="D916" s="343"/>
      <c r="E916" s="342"/>
      <c r="F916" s="342"/>
      <c r="G916" s="344"/>
      <c r="H916" s="344"/>
      <c r="I916" s="344"/>
      <c r="J916" s="334"/>
      <c r="K916" s="335"/>
      <c r="L916" s="336"/>
      <c r="M916" s="336"/>
      <c r="N916" s="337"/>
      <c r="O916" s="337"/>
      <c r="P916" s="315"/>
      <c r="Q916" s="314"/>
      <c r="R916" s="317"/>
      <c r="S916" s="315"/>
      <c r="T916" s="315"/>
      <c r="U916" s="315"/>
      <c r="V916" s="258"/>
      <c r="W916" s="322"/>
      <c r="X916" s="318"/>
      <c r="Y916" s="315"/>
      <c r="Z916" s="318"/>
      <c r="AA916" s="314"/>
      <c r="AB916" s="336"/>
      <c r="AC916" s="314"/>
      <c r="AD916" s="316"/>
      <c r="AE916" s="315"/>
      <c r="AF916" s="315"/>
      <c r="AG916" s="315"/>
      <c r="AH916" s="315"/>
      <c r="AI916" s="377"/>
      <c r="AJ916" s="407"/>
      <c r="AK916" s="377"/>
      <c r="AL916" s="314"/>
      <c r="AM916" s="314"/>
      <c r="AN916" s="314"/>
      <c r="AO916" s="315"/>
      <c r="AP916" s="257"/>
      <c r="AQ916" s="257"/>
      <c r="AR916" s="257"/>
      <c r="AS916" s="315"/>
      <c r="AT916" s="257"/>
      <c r="AU916" s="257"/>
      <c r="AV916" s="316"/>
      <c r="AW916" s="314"/>
      <c r="AX916" s="315"/>
      <c r="AY916" s="315"/>
      <c r="AZ916" s="315"/>
      <c r="BA916" s="315"/>
      <c r="BB916" s="315"/>
      <c r="BC916" s="315"/>
      <c r="BD916" s="319"/>
      <c r="BE916" s="319"/>
      <c r="BF916" s="319"/>
      <c r="BG916" s="319"/>
      <c r="BH916" s="319"/>
      <c r="BI916" s="319"/>
      <c r="BJ916" s="319"/>
      <c r="BK916" s="315"/>
      <c r="BL916" s="316"/>
      <c r="BM916" s="314"/>
      <c r="BN916" s="319"/>
      <c r="BO916" s="315"/>
      <c r="BP916" s="314"/>
      <c r="BQ916" s="316"/>
      <c r="BR916" s="314"/>
      <c r="BS916" s="262"/>
      <c r="BT916" s="262"/>
    </row>
    <row r="917" spans="1:72" ht="45.75" customHeight="1">
      <c r="A917" s="342"/>
      <c r="B917" s="342"/>
      <c r="C917" s="342"/>
      <c r="D917" s="343"/>
      <c r="E917" s="342"/>
      <c r="F917" s="342"/>
      <c r="G917" s="344"/>
      <c r="H917" s="344"/>
      <c r="I917" s="344"/>
      <c r="J917" s="334"/>
      <c r="K917" s="335"/>
      <c r="L917" s="336"/>
      <c r="M917" s="336"/>
      <c r="N917" s="337"/>
      <c r="O917" s="337"/>
      <c r="P917" s="315"/>
      <c r="Q917" s="314"/>
      <c r="R917" s="317"/>
      <c r="S917" s="315"/>
      <c r="T917" s="315"/>
      <c r="U917" s="315"/>
      <c r="V917" s="258"/>
      <c r="W917" s="322"/>
      <c r="X917" s="318"/>
      <c r="Y917" s="315"/>
      <c r="Z917" s="318"/>
      <c r="AA917" s="314"/>
      <c r="AB917" s="336"/>
      <c r="AC917" s="314"/>
      <c r="AD917" s="316"/>
      <c r="AE917" s="315"/>
      <c r="AF917" s="315"/>
      <c r="AG917" s="315"/>
      <c r="AH917" s="315"/>
      <c r="AI917" s="377"/>
      <c r="AJ917" s="407"/>
      <c r="AK917" s="377"/>
      <c r="AL917" s="314"/>
      <c r="AM917" s="314"/>
      <c r="AN917" s="314"/>
      <c r="AO917" s="315"/>
      <c r="AP917" s="257"/>
      <c r="AQ917" s="257"/>
      <c r="AR917" s="257"/>
      <c r="AS917" s="315"/>
      <c r="AT917" s="257"/>
      <c r="AU917" s="257"/>
      <c r="AV917" s="316"/>
      <c r="AW917" s="314"/>
      <c r="AX917" s="315"/>
      <c r="AY917" s="315"/>
      <c r="AZ917" s="315"/>
      <c r="BA917" s="315"/>
      <c r="BB917" s="315"/>
      <c r="BC917" s="315"/>
      <c r="BD917" s="319"/>
      <c r="BE917" s="319"/>
      <c r="BF917" s="319"/>
      <c r="BG917" s="319"/>
      <c r="BH917" s="319"/>
      <c r="BI917" s="319"/>
      <c r="BJ917" s="319"/>
      <c r="BK917" s="315"/>
      <c r="BL917" s="316"/>
      <c r="BM917" s="314"/>
      <c r="BN917" s="319"/>
      <c r="BO917" s="315"/>
      <c r="BP917" s="314"/>
      <c r="BQ917" s="316"/>
      <c r="BR917" s="314"/>
      <c r="BS917" s="262"/>
      <c r="BT917" s="262"/>
    </row>
    <row r="918" spans="1:72" ht="45.75" customHeight="1">
      <c r="A918" s="342"/>
      <c r="B918" s="342"/>
      <c r="C918" s="342"/>
      <c r="D918" s="343"/>
      <c r="E918" s="342"/>
      <c r="F918" s="342"/>
      <c r="G918" s="344"/>
      <c r="H918" s="344"/>
      <c r="I918" s="344"/>
      <c r="J918" s="334"/>
      <c r="K918" s="335"/>
      <c r="L918" s="336"/>
      <c r="M918" s="336"/>
      <c r="N918" s="337"/>
      <c r="O918" s="337"/>
      <c r="P918" s="315"/>
      <c r="Q918" s="314"/>
      <c r="R918" s="317"/>
      <c r="S918" s="315"/>
      <c r="T918" s="315"/>
      <c r="U918" s="315"/>
      <c r="V918" s="258"/>
      <c r="W918" s="322"/>
      <c r="X918" s="318"/>
      <c r="Y918" s="315"/>
      <c r="Z918" s="318"/>
      <c r="AA918" s="314"/>
      <c r="AB918" s="336"/>
      <c r="AC918" s="314"/>
      <c r="AD918" s="316"/>
      <c r="AE918" s="315"/>
      <c r="AF918" s="315"/>
      <c r="AG918" s="315"/>
      <c r="AH918" s="315"/>
      <c r="AI918" s="377"/>
      <c r="AJ918" s="407"/>
      <c r="AK918" s="377"/>
      <c r="AL918" s="314"/>
      <c r="AM918" s="314"/>
      <c r="AN918" s="314"/>
      <c r="AO918" s="315"/>
      <c r="AP918" s="257"/>
      <c r="AQ918" s="257"/>
      <c r="AR918" s="257"/>
      <c r="AS918" s="315"/>
      <c r="AT918" s="257"/>
      <c r="AU918" s="257"/>
      <c r="AV918" s="316"/>
      <c r="AW918" s="314"/>
      <c r="AX918" s="315"/>
      <c r="AY918" s="315"/>
      <c r="AZ918" s="315"/>
      <c r="BA918" s="315"/>
      <c r="BB918" s="315"/>
      <c r="BC918" s="315"/>
      <c r="BD918" s="319"/>
      <c r="BE918" s="319"/>
      <c r="BF918" s="319"/>
      <c r="BG918" s="319"/>
      <c r="BH918" s="319"/>
      <c r="BI918" s="319"/>
      <c r="BJ918" s="319"/>
      <c r="BK918" s="315"/>
      <c r="BL918" s="316"/>
      <c r="BM918" s="314"/>
      <c r="BN918" s="319"/>
      <c r="BO918" s="315"/>
      <c r="BP918" s="314"/>
      <c r="BQ918" s="316"/>
      <c r="BR918" s="314"/>
      <c r="BS918" s="262"/>
      <c r="BT918" s="262"/>
    </row>
    <row r="919" spans="1:72" ht="45.75" customHeight="1">
      <c r="A919" s="342"/>
      <c r="B919" s="342"/>
      <c r="C919" s="342"/>
      <c r="D919" s="343"/>
      <c r="E919" s="342"/>
      <c r="F919" s="342"/>
      <c r="G919" s="344"/>
      <c r="H919" s="344"/>
      <c r="I919" s="344"/>
      <c r="J919" s="334"/>
      <c r="K919" s="335"/>
      <c r="L919" s="336"/>
      <c r="M919" s="336"/>
      <c r="N919" s="337"/>
      <c r="O919" s="337"/>
      <c r="P919" s="315"/>
      <c r="Q919" s="314"/>
      <c r="R919" s="317"/>
      <c r="S919" s="315"/>
      <c r="T919" s="315"/>
      <c r="U919" s="315"/>
      <c r="V919" s="258"/>
      <c r="W919" s="322"/>
      <c r="X919" s="318"/>
      <c r="Y919" s="315"/>
      <c r="Z919" s="318"/>
      <c r="AA919" s="314"/>
      <c r="AB919" s="336"/>
      <c r="AC919" s="314"/>
      <c r="AD919" s="316"/>
      <c r="AE919" s="315"/>
      <c r="AF919" s="315"/>
      <c r="AG919" s="315"/>
      <c r="AH919" s="315"/>
      <c r="AI919" s="377"/>
      <c r="AJ919" s="407"/>
      <c r="AK919" s="377"/>
      <c r="AL919" s="314"/>
      <c r="AM919" s="314"/>
      <c r="AN919" s="314"/>
      <c r="AO919" s="315"/>
      <c r="AP919" s="257"/>
      <c r="AQ919" s="257"/>
      <c r="AR919" s="257"/>
      <c r="AS919" s="315"/>
      <c r="AT919" s="257"/>
      <c r="AU919" s="257"/>
      <c r="AV919" s="316"/>
      <c r="AW919" s="314"/>
      <c r="AX919" s="315"/>
      <c r="AY919" s="315"/>
      <c r="AZ919" s="315"/>
      <c r="BA919" s="315"/>
      <c r="BB919" s="315"/>
      <c r="BC919" s="315"/>
      <c r="BD919" s="319"/>
      <c r="BE919" s="319"/>
      <c r="BF919" s="319"/>
      <c r="BG919" s="319"/>
      <c r="BH919" s="319"/>
      <c r="BI919" s="319"/>
      <c r="BJ919" s="319"/>
      <c r="BK919" s="315"/>
      <c r="BL919" s="316"/>
      <c r="BM919" s="314"/>
      <c r="BN919" s="319"/>
      <c r="BO919" s="315"/>
      <c r="BP919" s="314"/>
      <c r="BQ919" s="316"/>
      <c r="BR919" s="314"/>
      <c r="BS919" s="262"/>
      <c r="BT919" s="262"/>
    </row>
    <row r="920" spans="1:72" ht="45.75" customHeight="1">
      <c r="A920" s="342"/>
      <c r="B920" s="342"/>
      <c r="C920" s="342"/>
      <c r="D920" s="343"/>
      <c r="E920" s="342"/>
      <c r="F920" s="342"/>
      <c r="G920" s="344"/>
      <c r="H920" s="344"/>
      <c r="I920" s="344"/>
      <c r="J920" s="334"/>
      <c r="K920" s="335"/>
      <c r="L920" s="336"/>
      <c r="M920" s="336"/>
      <c r="N920" s="337"/>
      <c r="O920" s="337"/>
      <c r="P920" s="315"/>
      <c r="Q920" s="314"/>
      <c r="R920" s="317"/>
      <c r="S920" s="315"/>
      <c r="T920" s="315"/>
      <c r="U920" s="315"/>
      <c r="V920" s="258"/>
      <c r="W920" s="322"/>
      <c r="X920" s="318"/>
      <c r="Y920" s="315"/>
      <c r="Z920" s="318"/>
      <c r="AA920" s="314"/>
      <c r="AB920" s="336"/>
      <c r="AC920" s="314"/>
      <c r="AD920" s="316"/>
      <c r="AE920" s="315"/>
      <c r="AF920" s="315"/>
      <c r="AG920" s="315"/>
      <c r="AH920" s="315"/>
      <c r="AI920" s="377"/>
      <c r="AJ920" s="407"/>
      <c r="AK920" s="377"/>
      <c r="AL920" s="314"/>
      <c r="AM920" s="314"/>
      <c r="AN920" s="314"/>
      <c r="AO920" s="315"/>
      <c r="AP920" s="257"/>
      <c r="AQ920" s="257"/>
      <c r="AR920" s="257"/>
      <c r="AS920" s="315"/>
      <c r="AT920" s="257"/>
      <c r="AU920" s="257"/>
      <c r="AV920" s="316"/>
      <c r="AW920" s="314"/>
      <c r="AX920" s="315"/>
      <c r="AY920" s="315"/>
      <c r="AZ920" s="315"/>
      <c r="BA920" s="315"/>
      <c r="BB920" s="315"/>
      <c r="BC920" s="315"/>
      <c r="BD920" s="319"/>
      <c r="BE920" s="319"/>
      <c r="BF920" s="319"/>
      <c r="BG920" s="319"/>
      <c r="BH920" s="319"/>
      <c r="BI920" s="319"/>
      <c r="BJ920" s="319"/>
      <c r="BK920" s="315"/>
      <c r="BL920" s="316"/>
      <c r="BM920" s="314"/>
      <c r="BN920" s="319"/>
      <c r="BO920" s="315"/>
      <c r="BP920" s="314"/>
      <c r="BQ920" s="316"/>
      <c r="BR920" s="314"/>
      <c r="BS920" s="262"/>
      <c r="BT920" s="262"/>
    </row>
    <row r="921" spans="1:72" ht="45.75" customHeight="1">
      <c r="A921" s="342"/>
      <c r="B921" s="342"/>
      <c r="C921" s="342"/>
      <c r="D921" s="343"/>
      <c r="E921" s="342"/>
      <c r="F921" s="342"/>
      <c r="G921" s="344"/>
      <c r="H921" s="344"/>
      <c r="I921" s="344"/>
      <c r="J921" s="334"/>
      <c r="K921" s="335"/>
      <c r="L921" s="336"/>
      <c r="M921" s="336"/>
      <c r="N921" s="337"/>
      <c r="O921" s="337"/>
      <c r="P921" s="315"/>
      <c r="Q921" s="314"/>
      <c r="R921" s="317"/>
      <c r="S921" s="315"/>
      <c r="T921" s="315"/>
      <c r="U921" s="315"/>
      <c r="V921" s="258"/>
      <c r="W921" s="322"/>
      <c r="X921" s="318"/>
      <c r="Y921" s="315"/>
      <c r="Z921" s="318"/>
      <c r="AA921" s="314"/>
      <c r="AB921" s="336"/>
      <c r="AC921" s="314"/>
      <c r="AD921" s="316"/>
      <c r="AE921" s="315"/>
      <c r="AF921" s="315"/>
      <c r="AG921" s="315"/>
      <c r="AH921" s="315"/>
      <c r="AI921" s="377"/>
      <c r="AJ921" s="407"/>
      <c r="AK921" s="377"/>
      <c r="AL921" s="314"/>
      <c r="AM921" s="314"/>
      <c r="AN921" s="314"/>
      <c r="AO921" s="315"/>
      <c r="AP921" s="257"/>
      <c r="AQ921" s="257"/>
      <c r="AR921" s="257"/>
      <c r="AS921" s="315"/>
      <c r="AT921" s="257"/>
      <c r="AU921" s="257"/>
      <c r="AV921" s="316"/>
      <c r="AW921" s="314"/>
      <c r="AX921" s="315"/>
      <c r="AY921" s="315"/>
      <c r="AZ921" s="315"/>
      <c r="BA921" s="315"/>
      <c r="BB921" s="315"/>
      <c r="BC921" s="315"/>
      <c r="BD921" s="319"/>
      <c r="BE921" s="319"/>
      <c r="BF921" s="319"/>
      <c r="BG921" s="319"/>
      <c r="BH921" s="319"/>
      <c r="BI921" s="319"/>
      <c r="BJ921" s="319"/>
      <c r="BK921" s="315"/>
      <c r="BL921" s="316"/>
      <c r="BM921" s="314"/>
      <c r="BN921" s="319"/>
      <c r="BO921" s="315"/>
      <c r="BP921" s="314"/>
      <c r="BQ921" s="316"/>
      <c r="BR921" s="314"/>
      <c r="BS921" s="262"/>
      <c r="BT921" s="262"/>
    </row>
    <row r="922" spans="1:72" ht="45.75" customHeight="1">
      <c r="A922" s="342"/>
      <c r="B922" s="342"/>
      <c r="C922" s="342"/>
      <c r="D922" s="343"/>
      <c r="E922" s="342"/>
      <c r="F922" s="342"/>
      <c r="G922" s="344"/>
      <c r="H922" s="344"/>
      <c r="I922" s="344"/>
      <c r="J922" s="334"/>
      <c r="K922" s="335"/>
      <c r="L922" s="336"/>
      <c r="M922" s="336"/>
      <c r="N922" s="337"/>
      <c r="O922" s="337"/>
      <c r="P922" s="315"/>
      <c r="Q922" s="314"/>
      <c r="R922" s="317"/>
      <c r="S922" s="315"/>
      <c r="T922" s="315"/>
      <c r="U922" s="315"/>
      <c r="V922" s="258"/>
      <c r="W922" s="322"/>
      <c r="X922" s="318"/>
      <c r="Y922" s="315"/>
      <c r="Z922" s="318"/>
      <c r="AA922" s="314"/>
      <c r="AB922" s="336"/>
      <c r="AC922" s="314"/>
      <c r="AD922" s="316"/>
      <c r="AE922" s="315"/>
      <c r="AF922" s="315"/>
      <c r="AG922" s="315"/>
      <c r="AH922" s="315"/>
      <c r="AI922" s="377"/>
      <c r="AJ922" s="407"/>
      <c r="AK922" s="377"/>
      <c r="AL922" s="314"/>
      <c r="AM922" s="314"/>
      <c r="AN922" s="314"/>
      <c r="AO922" s="315"/>
      <c r="AP922" s="257"/>
      <c r="AQ922" s="257"/>
      <c r="AR922" s="257"/>
      <c r="AS922" s="315"/>
      <c r="AT922" s="257"/>
      <c r="AU922" s="257"/>
      <c r="AV922" s="316"/>
      <c r="AW922" s="314"/>
      <c r="AX922" s="315"/>
      <c r="AY922" s="315"/>
      <c r="AZ922" s="315"/>
      <c r="BA922" s="315"/>
      <c r="BB922" s="315"/>
      <c r="BC922" s="315"/>
      <c r="BD922" s="319"/>
      <c r="BE922" s="319"/>
      <c r="BF922" s="319"/>
      <c r="BG922" s="319"/>
      <c r="BH922" s="319"/>
      <c r="BI922" s="319"/>
      <c r="BJ922" s="319"/>
      <c r="BK922" s="315"/>
      <c r="BL922" s="316"/>
      <c r="BM922" s="314"/>
      <c r="BN922" s="319"/>
      <c r="BO922" s="315"/>
      <c r="BP922" s="314"/>
      <c r="BQ922" s="316"/>
      <c r="BR922" s="314"/>
      <c r="BS922" s="262"/>
      <c r="BT922" s="262"/>
    </row>
    <row r="923" spans="1:72" ht="45.75" customHeight="1">
      <c r="A923" s="342"/>
      <c r="B923" s="342"/>
      <c r="C923" s="342"/>
      <c r="D923" s="343"/>
      <c r="E923" s="342"/>
      <c r="F923" s="342"/>
      <c r="G923" s="344"/>
      <c r="H923" s="344"/>
      <c r="I923" s="344"/>
      <c r="J923" s="334"/>
      <c r="K923" s="335"/>
      <c r="L923" s="336"/>
      <c r="M923" s="336"/>
      <c r="N923" s="337"/>
      <c r="O923" s="337"/>
      <c r="P923" s="315"/>
      <c r="Q923" s="314"/>
      <c r="R923" s="317"/>
      <c r="S923" s="315"/>
      <c r="T923" s="315"/>
      <c r="U923" s="315"/>
      <c r="V923" s="258"/>
      <c r="W923" s="322"/>
      <c r="X923" s="318"/>
      <c r="Y923" s="315"/>
      <c r="Z923" s="318"/>
      <c r="AA923" s="314"/>
      <c r="AB923" s="336"/>
      <c r="AC923" s="314"/>
      <c r="AD923" s="316"/>
      <c r="AE923" s="315"/>
      <c r="AF923" s="315"/>
      <c r="AG923" s="315"/>
      <c r="AH923" s="315"/>
      <c r="AI923" s="377"/>
      <c r="AJ923" s="407"/>
      <c r="AK923" s="377"/>
      <c r="AL923" s="314"/>
      <c r="AM923" s="314"/>
      <c r="AN923" s="314"/>
      <c r="AO923" s="315"/>
      <c r="AP923" s="257"/>
      <c r="AQ923" s="257"/>
      <c r="AR923" s="257"/>
      <c r="AS923" s="315"/>
      <c r="AT923" s="257"/>
      <c r="AU923" s="257"/>
      <c r="AV923" s="316"/>
      <c r="AW923" s="314"/>
      <c r="AX923" s="315"/>
      <c r="AY923" s="315"/>
      <c r="AZ923" s="315"/>
      <c r="BA923" s="315"/>
      <c r="BB923" s="315"/>
      <c r="BC923" s="315"/>
      <c r="BD923" s="319"/>
      <c r="BE923" s="319"/>
      <c r="BF923" s="319"/>
      <c r="BG923" s="319"/>
      <c r="BH923" s="319"/>
      <c r="BI923" s="319"/>
      <c r="BJ923" s="319"/>
      <c r="BK923" s="315"/>
      <c r="BL923" s="316"/>
      <c r="BM923" s="314"/>
      <c r="BN923" s="319"/>
      <c r="BO923" s="315"/>
      <c r="BP923" s="314"/>
      <c r="BQ923" s="316"/>
      <c r="BR923" s="314"/>
      <c r="BS923" s="262"/>
      <c r="BT923" s="262"/>
    </row>
    <row r="924" spans="1:72" ht="45.75" customHeight="1">
      <c r="A924" s="342"/>
      <c r="B924" s="342"/>
      <c r="C924" s="342"/>
      <c r="D924" s="343"/>
      <c r="E924" s="342"/>
      <c r="F924" s="342"/>
      <c r="G924" s="344"/>
      <c r="H924" s="344"/>
      <c r="I924" s="344"/>
      <c r="J924" s="334"/>
      <c r="K924" s="335"/>
      <c r="L924" s="336"/>
      <c r="M924" s="336"/>
      <c r="N924" s="337"/>
      <c r="O924" s="337"/>
      <c r="P924" s="315"/>
      <c r="Q924" s="314"/>
      <c r="R924" s="317"/>
      <c r="S924" s="315"/>
      <c r="T924" s="315"/>
      <c r="U924" s="315"/>
      <c r="V924" s="258"/>
      <c r="W924" s="322"/>
      <c r="X924" s="318"/>
      <c r="Y924" s="315"/>
      <c r="Z924" s="318"/>
      <c r="AA924" s="314"/>
      <c r="AB924" s="336"/>
      <c r="AC924" s="314"/>
      <c r="AD924" s="316"/>
      <c r="AE924" s="315"/>
      <c r="AF924" s="315"/>
      <c r="AG924" s="315"/>
      <c r="AH924" s="315"/>
      <c r="AI924" s="377"/>
      <c r="AJ924" s="407"/>
      <c r="AK924" s="377"/>
      <c r="AL924" s="314"/>
      <c r="AM924" s="314"/>
      <c r="AN924" s="314"/>
      <c r="AO924" s="315"/>
      <c r="AP924" s="257"/>
      <c r="AQ924" s="257"/>
      <c r="AR924" s="257"/>
      <c r="AS924" s="315"/>
      <c r="AT924" s="257"/>
      <c r="AU924" s="257"/>
      <c r="AV924" s="316"/>
      <c r="AW924" s="314"/>
      <c r="AX924" s="315"/>
      <c r="AY924" s="315"/>
      <c r="AZ924" s="315"/>
      <c r="BA924" s="315"/>
      <c r="BB924" s="315"/>
      <c r="BC924" s="315"/>
      <c r="BD924" s="319"/>
      <c r="BE924" s="319"/>
      <c r="BF924" s="319"/>
      <c r="BG924" s="319"/>
      <c r="BH924" s="319"/>
      <c r="BI924" s="319"/>
      <c r="BJ924" s="319"/>
      <c r="BK924" s="315"/>
      <c r="BL924" s="316"/>
      <c r="BM924" s="314"/>
      <c r="BN924" s="319"/>
      <c r="BO924" s="315"/>
      <c r="BP924" s="314"/>
      <c r="BQ924" s="316"/>
      <c r="BR924" s="314"/>
      <c r="BS924" s="262"/>
      <c r="BT924" s="262"/>
    </row>
    <row r="925" spans="1:72" ht="45.75" customHeight="1">
      <c r="A925" s="342"/>
      <c r="B925" s="342"/>
      <c r="C925" s="342"/>
      <c r="D925" s="343"/>
      <c r="E925" s="342"/>
      <c r="F925" s="342"/>
      <c r="G925" s="344"/>
      <c r="H925" s="344"/>
      <c r="I925" s="344"/>
      <c r="J925" s="334"/>
      <c r="K925" s="335"/>
      <c r="L925" s="336"/>
      <c r="M925" s="336"/>
      <c r="N925" s="337"/>
      <c r="O925" s="337"/>
      <c r="P925" s="315"/>
      <c r="Q925" s="314"/>
      <c r="R925" s="317"/>
      <c r="S925" s="315"/>
      <c r="T925" s="315"/>
      <c r="U925" s="315"/>
      <c r="V925" s="258"/>
      <c r="W925" s="322"/>
      <c r="X925" s="318"/>
      <c r="Y925" s="315"/>
      <c r="Z925" s="318"/>
      <c r="AA925" s="314"/>
      <c r="AB925" s="336"/>
      <c r="AC925" s="314"/>
      <c r="AD925" s="316"/>
      <c r="AE925" s="315"/>
      <c r="AF925" s="315"/>
      <c r="AG925" s="315"/>
      <c r="AH925" s="315"/>
      <c r="AI925" s="377"/>
      <c r="AJ925" s="407"/>
      <c r="AK925" s="377"/>
      <c r="AL925" s="314"/>
      <c r="AM925" s="314"/>
      <c r="AN925" s="314"/>
      <c r="AO925" s="315"/>
      <c r="AP925" s="257"/>
      <c r="AQ925" s="257"/>
      <c r="AR925" s="257"/>
      <c r="AS925" s="315"/>
      <c r="AT925" s="257"/>
      <c r="AU925" s="257"/>
      <c r="AV925" s="316"/>
      <c r="AW925" s="314"/>
      <c r="AX925" s="315"/>
      <c r="AY925" s="315"/>
      <c r="AZ925" s="315"/>
      <c r="BA925" s="315"/>
      <c r="BB925" s="315"/>
      <c r="BC925" s="315"/>
      <c r="BD925" s="319"/>
      <c r="BE925" s="319"/>
      <c r="BF925" s="319"/>
      <c r="BG925" s="319"/>
      <c r="BH925" s="319"/>
      <c r="BI925" s="319"/>
      <c r="BJ925" s="319"/>
      <c r="BK925" s="315"/>
      <c r="BL925" s="316"/>
      <c r="BM925" s="314"/>
      <c r="BN925" s="319"/>
      <c r="BO925" s="315"/>
      <c r="BP925" s="314"/>
      <c r="BQ925" s="316"/>
      <c r="BR925" s="314"/>
      <c r="BS925" s="262"/>
      <c r="BT925" s="262"/>
    </row>
    <row r="926" spans="1:72" ht="45.75" customHeight="1">
      <c r="A926" s="342"/>
      <c r="B926" s="342"/>
      <c r="C926" s="342"/>
      <c r="D926" s="343"/>
      <c r="E926" s="342"/>
      <c r="F926" s="342"/>
      <c r="G926" s="344"/>
      <c r="H926" s="344"/>
      <c r="I926" s="344"/>
      <c r="J926" s="334"/>
      <c r="K926" s="335"/>
      <c r="L926" s="336"/>
      <c r="M926" s="336"/>
      <c r="N926" s="337"/>
      <c r="O926" s="337"/>
      <c r="P926" s="315"/>
      <c r="Q926" s="314"/>
      <c r="R926" s="317"/>
      <c r="S926" s="315"/>
      <c r="T926" s="315"/>
      <c r="U926" s="315"/>
      <c r="V926" s="258"/>
      <c r="W926" s="322"/>
      <c r="X926" s="318"/>
      <c r="Y926" s="315"/>
      <c r="Z926" s="318"/>
      <c r="AA926" s="314"/>
      <c r="AB926" s="336"/>
      <c r="AC926" s="314"/>
      <c r="AD926" s="316"/>
      <c r="AE926" s="315"/>
      <c r="AF926" s="315"/>
      <c r="AG926" s="315"/>
      <c r="AH926" s="315"/>
      <c r="AI926" s="377"/>
      <c r="AJ926" s="407"/>
      <c r="AK926" s="377"/>
      <c r="AL926" s="314"/>
      <c r="AM926" s="314"/>
      <c r="AN926" s="314"/>
      <c r="AO926" s="315"/>
      <c r="AP926" s="257"/>
      <c r="AQ926" s="257"/>
      <c r="AR926" s="257"/>
      <c r="AS926" s="315"/>
      <c r="AT926" s="257"/>
      <c r="AU926" s="257"/>
      <c r="AV926" s="316"/>
      <c r="AW926" s="314"/>
      <c r="AX926" s="315"/>
      <c r="AY926" s="315"/>
      <c r="AZ926" s="315"/>
      <c r="BA926" s="315"/>
      <c r="BB926" s="315"/>
      <c r="BC926" s="315"/>
      <c r="BD926" s="319"/>
      <c r="BE926" s="319"/>
      <c r="BF926" s="319"/>
      <c r="BG926" s="319"/>
      <c r="BH926" s="319"/>
      <c r="BI926" s="319"/>
      <c r="BJ926" s="319"/>
      <c r="BK926" s="315"/>
      <c r="BL926" s="316"/>
      <c r="BM926" s="314"/>
      <c r="BN926" s="319"/>
      <c r="BO926" s="315"/>
      <c r="BP926" s="314"/>
      <c r="BQ926" s="316"/>
      <c r="BR926" s="314"/>
      <c r="BS926" s="262"/>
      <c r="BT926" s="262"/>
    </row>
    <row r="927" spans="1:72" ht="45.75" customHeight="1">
      <c r="A927" s="342"/>
      <c r="B927" s="342"/>
      <c r="C927" s="342"/>
      <c r="D927" s="343"/>
      <c r="E927" s="342"/>
      <c r="F927" s="342"/>
      <c r="G927" s="344"/>
      <c r="H927" s="344"/>
      <c r="I927" s="344"/>
      <c r="J927" s="334"/>
      <c r="K927" s="335"/>
      <c r="L927" s="336"/>
      <c r="M927" s="336"/>
      <c r="N927" s="337"/>
      <c r="O927" s="337"/>
      <c r="P927" s="315"/>
      <c r="Q927" s="314"/>
      <c r="R927" s="317"/>
      <c r="S927" s="315"/>
      <c r="T927" s="315"/>
      <c r="U927" s="315"/>
      <c r="V927" s="258"/>
      <c r="W927" s="322"/>
      <c r="X927" s="318"/>
      <c r="Y927" s="315"/>
      <c r="Z927" s="318"/>
      <c r="AA927" s="314"/>
      <c r="AB927" s="336"/>
      <c r="AC927" s="314"/>
      <c r="AD927" s="316"/>
      <c r="AE927" s="315"/>
      <c r="AF927" s="315"/>
      <c r="AG927" s="315"/>
      <c r="AH927" s="315"/>
      <c r="AI927" s="377"/>
      <c r="AJ927" s="407"/>
      <c r="AK927" s="377"/>
      <c r="AL927" s="314"/>
      <c r="AM927" s="314"/>
      <c r="AN927" s="314"/>
      <c r="AO927" s="315"/>
      <c r="AP927" s="257"/>
      <c r="AQ927" s="257"/>
      <c r="AR927" s="257"/>
      <c r="AS927" s="315"/>
      <c r="AT927" s="257"/>
      <c r="AU927" s="257"/>
      <c r="AV927" s="316"/>
      <c r="AW927" s="314"/>
      <c r="AX927" s="315"/>
      <c r="AY927" s="315"/>
      <c r="AZ927" s="315"/>
      <c r="BA927" s="315"/>
      <c r="BB927" s="315"/>
      <c r="BC927" s="315"/>
      <c r="BD927" s="319"/>
      <c r="BE927" s="319"/>
      <c r="BF927" s="319"/>
      <c r="BG927" s="319"/>
      <c r="BH927" s="319"/>
      <c r="BI927" s="319"/>
      <c r="BJ927" s="319"/>
      <c r="BK927" s="315"/>
      <c r="BL927" s="316"/>
      <c r="BM927" s="314"/>
      <c r="BN927" s="319"/>
      <c r="BO927" s="315"/>
      <c r="BP927" s="314"/>
      <c r="BQ927" s="316"/>
      <c r="BR927" s="314"/>
      <c r="BS927" s="262"/>
      <c r="BT927" s="262"/>
    </row>
    <row r="928" spans="1:72" ht="45.75" customHeight="1">
      <c r="A928" s="342"/>
      <c r="B928" s="342"/>
      <c r="C928" s="342"/>
      <c r="D928" s="343"/>
      <c r="E928" s="342"/>
      <c r="F928" s="342"/>
      <c r="G928" s="344"/>
      <c r="H928" s="344"/>
      <c r="I928" s="344"/>
      <c r="J928" s="334"/>
      <c r="K928" s="335"/>
      <c r="L928" s="336"/>
      <c r="M928" s="336"/>
      <c r="N928" s="337"/>
      <c r="O928" s="337"/>
      <c r="P928" s="315"/>
      <c r="Q928" s="314"/>
      <c r="R928" s="317"/>
      <c r="S928" s="315"/>
      <c r="T928" s="315"/>
      <c r="U928" s="315"/>
      <c r="V928" s="258"/>
      <c r="W928" s="322"/>
      <c r="X928" s="318"/>
      <c r="Y928" s="315"/>
      <c r="Z928" s="318"/>
      <c r="AA928" s="314"/>
      <c r="AB928" s="336"/>
      <c r="AC928" s="314"/>
      <c r="AD928" s="316"/>
      <c r="AE928" s="315"/>
      <c r="AF928" s="315"/>
      <c r="AG928" s="315"/>
      <c r="AH928" s="315"/>
      <c r="AI928" s="377"/>
      <c r="AJ928" s="407"/>
      <c r="AK928" s="377"/>
      <c r="AL928" s="314"/>
      <c r="AM928" s="314"/>
      <c r="AN928" s="314"/>
      <c r="AO928" s="315"/>
      <c r="AP928" s="257"/>
      <c r="AQ928" s="257"/>
      <c r="AR928" s="257"/>
      <c r="AS928" s="315"/>
      <c r="AT928" s="257"/>
      <c r="AU928" s="257"/>
      <c r="AV928" s="316"/>
      <c r="AW928" s="314"/>
      <c r="AX928" s="315"/>
      <c r="AY928" s="315"/>
      <c r="AZ928" s="315"/>
      <c r="BA928" s="315"/>
      <c r="BB928" s="315"/>
      <c r="BC928" s="315"/>
      <c r="BD928" s="319"/>
      <c r="BE928" s="319"/>
      <c r="BF928" s="319"/>
      <c r="BG928" s="319"/>
      <c r="BH928" s="319"/>
      <c r="BI928" s="319"/>
      <c r="BJ928" s="319"/>
      <c r="BK928" s="315"/>
      <c r="BL928" s="316"/>
      <c r="BM928" s="314"/>
      <c r="BN928" s="319"/>
      <c r="BO928" s="315"/>
      <c r="BP928" s="314"/>
      <c r="BQ928" s="316"/>
      <c r="BR928" s="314"/>
      <c r="BS928" s="262"/>
      <c r="BT928" s="262"/>
    </row>
    <row r="929" spans="1:72" ht="45.75" customHeight="1">
      <c r="A929" s="342"/>
      <c r="B929" s="342"/>
      <c r="C929" s="342"/>
      <c r="D929" s="343"/>
      <c r="E929" s="342"/>
      <c r="F929" s="342"/>
      <c r="G929" s="344"/>
      <c r="H929" s="344"/>
      <c r="I929" s="344"/>
      <c r="J929" s="334"/>
      <c r="K929" s="335"/>
      <c r="L929" s="336"/>
      <c r="M929" s="336"/>
      <c r="N929" s="337"/>
      <c r="O929" s="337"/>
      <c r="P929" s="315"/>
      <c r="Q929" s="314"/>
      <c r="R929" s="317"/>
      <c r="S929" s="315"/>
      <c r="T929" s="315"/>
      <c r="U929" s="315"/>
      <c r="V929" s="258"/>
      <c r="W929" s="322"/>
      <c r="X929" s="318"/>
      <c r="Y929" s="315"/>
      <c r="Z929" s="318"/>
      <c r="AA929" s="314"/>
      <c r="AB929" s="336"/>
      <c r="AC929" s="314"/>
      <c r="AD929" s="316"/>
      <c r="AE929" s="315"/>
      <c r="AF929" s="315"/>
      <c r="AG929" s="315"/>
      <c r="AH929" s="315"/>
      <c r="AI929" s="377"/>
      <c r="AJ929" s="407"/>
      <c r="AK929" s="377"/>
      <c r="AL929" s="314"/>
      <c r="AM929" s="314"/>
      <c r="AN929" s="314"/>
      <c r="AO929" s="315"/>
      <c r="AP929" s="257"/>
      <c r="AQ929" s="257"/>
      <c r="AR929" s="257"/>
      <c r="AS929" s="315"/>
      <c r="AT929" s="257"/>
      <c r="AU929" s="257"/>
      <c r="AV929" s="316"/>
      <c r="AW929" s="314"/>
      <c r="AX929" s="315"/>
      <c r="AY929" s="315"/>
      <c r="AZ929" s="315"/>
      <c r="BA929" s="315"/>
      <c r="BB929" s="315"/>
      <c r="BC929" s="315"/>
      <c r="BD929" s="319"/>
      <c r="BE929" s="319"/>
      <c r="BF929" s="319"/>
      <c r="BG929" s="319"/>
      <c r="BH929" s="319"/>
      <c r="BI929" s="319"/>
      <c r="BJ929" s="319"/>
      <c r="BK929" s="315"/>
      <c r="BL929" s="316"/>
      <c r="BM929" s="314"/>
      <c r="BN929" s="319"/>
      <c r="BO929" s="315"/>
      <c r="BP929" s="314"/>
      <c r="BQ929" s="316"/>
      <c r="BR929" s="314"/>
      <c r="BS929" s="262"/>
      <c r="BT929" s="262"/>
    </row>
    <row r="930" spans="1:72" ht="45.75" customHeight="1">
      <c r="A930" s="342"/>
      <c r="B930" s="342"/>
      <c r="C930" s="342"/>
      <c r="D930" s="343"/>
      <c r="E930" s="342"/>
      <c r="F930" s="342"/>
      <c r="G930" s="344"/>
      <c r="H930" s="344"/>
      <c r="I930" s="344"/>
      <c r="J930" s="334"/>
      <c r="K930" s="335"/>
      <c r="L930" s="336"/>
      <c r="M930" s="336"/>
      <c r="N930" s="337"/>
      <c r="O930" s="337"/>
      <c r="P930" s="315"/>
      <c r="Q930" s="314"/>
      <c r="R930" s="317"/>
      <c r="S930" s="315"/>
      <c r="T930" s="315"/>
      <c r="U930" s="315"/>
      <c r="V930" s="258"/>
      <c r="W930" s="322"/>
      <c r="X930" s="318"/>
      <c r="Y930" s="315"/>
      <c r="Z930" s="318"/>
      <c r="AA930" s="314"/>
      <c r="AB930" s="336"/>
      <c r="AC930" s="314"/>
      <c r="AD930" s="316"/>
      <c r="AE930" s="315"/>
      <c r="AF930" s="315"/>
      <c r="AG930" s="315"/>
      <c r="AH930" s="315"/>
      <c r="AI930" s="377"/>
      <c r="AJ930" s="407"/>
      <c r="AK930" s="377"/>
      <c r="AL930" s="314"/>
      <c r="AM930" s="314"/>
      <c r="AN930" s="314"/>
      <c r="AO930" s="315"/>
      <c r="AP930" s="257"/>
      <c r="AQ930" s="257"/>
      <c r="AR930" s="257"/>
      <c r="AS930" s="315"/>
      <c r="AT930" s="257"/>
      <c r="AU930" s="257"/>
      <c r="AV930" s="316"/>
      <c r="AW930" s="314"/>
      <c r="AX930" s="315"/>
      <c r="AY930" s="315"/>
      <c r="AZ930" s="315"/>
      <c r="BA930" s="315"/>
      <c r="BB930" s="315"/>
      <c r="BC930" s="315"/>
      <c r="BD930" s="319"/>
      <c r="BE930" s="319"/>
      <c r="BF930" s="319"/>
      <c r="BG930" s="319"/>
      <c r="BH930" s="319"/>
      <c r="BI930" s="319"/>
      <c r="BJ930" s="319"/>
      <c r="BK930" s="315"/>
      <c r="BL930" s="316"/>
      <c r="BM930" s="314"/>
      <c r="BN930" s="319"/>
      <c r="BO930" s="315"/>
      <c r="BP930" s="314"/>
      <c r="BQ930" s="316"/>
      <c r="BR930" s="314"/>
      <c r="BS930" s="262"/>
      <c r="BT930" s="262"/>
    </row>
    <row r="931" spans="1:72" ht="45.75" customHeight="1">
      <c r="A931" s="342"/>
      <c r="B931" s="342"/>
      <c r="C931" s="342"/>
      <c r="D931" s="343"/>
      <c r="E931" s="342"/>
      <c r="F931" s="342"/>
      <c r="G931" s="344"/>
      <c r="H931" s="344"/>
      <c r="I931" s="344"/>
      <c r="J931" s="334"/>
      <c r="K931" s="335"/>
      <c r="L931" s="336"/>
      <c r="M931" s="336"/>
      <c r="N931" s="337"/>
      <c r="O931" s="337"/>
      <c r="P931" s="315"/>
      <c r="Q931" s="314"/>
      <c r="R931" s="317"/>
      <c r="S931" s="315"/>
      <c r="T931" s="315"/>
      <c r="U931" s="315"/>
      <c r="V931" s="258"/>
      <c r="W931" s="322"/>
      <c r="X931" s="318"/>
      <c r="Y931" s="315"/>
      <c r="Z931" s="318"/>
      <c r="AA931" s="314"/>
      <c r="AB931" s="336"/>
      <c r="AC931" s="314"/>
      <c r="AD931" s="316"/>
      <c r="AE931" s="315"/>
      <c r="AF931" s="315"/>
      <c r="AG931" s="315"/>
      <c r="AH931" s="315"/>
      <c r="AI931" s="377"/>
      <c r="AJ931" s="407"/>
      <c r="AK931" s="377"/>
      <c r="AL931" s="314"/>
      <c r="AM931" s="314"/>
      <c r="AN931" s="314"/>
      <c r="AO931" s="315"/>
      <c r="AP931" s="257"/>
      <c r="AQ931" s="257"/>
      <c r="AR931" s="257"/>
      <c r="AS931" s="315"/>
      <c r="AT931" s="257"/>
      <c r="AU931" s="257"/>
      <c r="AV931" s="316"/>
      <c r="AW931" s="314"/>
      <c r="AX931" s="315"/>
      <c r="AY931" s="315"/>
      <c r="AZ931" s="315"/>
      <c r="BA931" s="315"/>
      <c r="BB931" s="315"/>
      <c r="BC931" s="315"/>
      <c r="BD931" s="319"/>
      <c r="BE931" s="319"/>
      <c r="BF931" s="319"/>
      <c r="BG931" s="319"/>
      <c r="BH931" s="319"/>
      <c r="BI931" s="319"/>
      <c r="BJ931" s="319"/>
      <c r="BK931" s="315"/>
      <c r="BL931" s="316"/>
      <c r="BM931" s="314"/>
      <c r="BN931" s="319"/>
      <c r="BO931" s="315"/>
      <c r="BP931" s="314"/>
      <c r="BQ931" s="316"/>
      <c r="BR931" s="314"/>
      <c r="BS931" s="262"/>
      <c r="BT931" s="262"/>
    </row>
    <row r="932" spans="1:72" ht="45.75" customHeight="1">
      <c r="A932" s="342"/>
      <c r="B932" s="342"/>
      <c r="C932" s="342"/>
      <c r="D932" s="343"/>
      <c r="E932" s="342"/>
      <c r="F932" s="342"/>
      <c r="G932" s="344"/>
      <c r="H932" s="344"/>
      <c r="I932" s="344"/>
      <c r="J932" s="334"/>
      <c r="K932" s="335"/>
      <c r="L932" s="336"/>
      <c r="M932" s="336"/>
      <c r="N932" s="337"/>
      <c r="O932" s="337"/>
      <c r="P932" s="315"/>
      <c r="Q932" s="314"/>
      <c r="R932" s="317"/>
      <c r="S932" s="315"/>
      <c r="T932" s="315"/>
      <c r="U932" s="315"/>
      <c r="V932" s="258"/>
      <c r="W932" s="322"/>
      <c r="X932" s="318"/>
      <c r="Y932" s="315"/>
      <c r="Z932" s="318"/>
      <c r="AA932" s="314"/>
      <c r="AB932" s="336"/>
      <c r="AC932" s="314"/>
      <c r="AD932" s="316"/>
      <c r="AE932" s="315"/>
      <c r="AF932" s="315"/>
      <c r="AG932" s="315"/>
      <c r="AH932" s="315"/>
      <c r="AI932" s="377"/>
      <c r="AJ932" s="407"/>
      <c r="AK932" s="377"/>
      <c r="AL932" s="314"/>
      <c r="AM932" s="314"/>
      <c r="AN932" s="314"/>
      <c r="AO932" s="315"/>
      <c r="AP932" s="257"/>
      <c r="AQ932" s="257"/>
      <c r="AR932" s="257"/>
      <c r="AS932" s="315"/>
      <c r="AT932" s="257"/>
      <c r="AU932" s="257"/>
      <c r="AV932" s="316"/>
      <c r="AW932" s="314"/>
      <c r="AX932" s="315"/>
      <c r="AY932" s="315"/>
      <c r="AZ932" s="315"/>
      <c r="BA932" s="315"/>
      <c r="BB932" s="315"/>
      <c r="BC932" s="315"/>
      <c r="BD932" s="319"/>
      <c r="BE932" s="319"/>
      <c r="BF932" s="319"/>
      <c r="BG932" s="319"/>
      <c r="BH932" s="319"/>
      <c r="BI932" s="319"/>
      <c r="BJ932" s="319"/>
      <c r="BK932" s="315"/>
      <c r="BL932" s="316"/>
      <c r="BM932" s="314"/>
      <c r="BN932" s="319"/>
      <c r="BO932" s="315"/>
      <c r="BP932" s="314"/>
      <c r="BQ932" s="316"/>
      <c r="BR932" s="314"/>
      <c r="BS932" s="262"/>
      <c r="BT932" s="262"/>
    </row>
    <row r="933" spans="1:72" ht="45.75" customHeight="1">
      <c r="A933" s="342"/>
      <c r="B933" s="342"/>
      <c r="C933" s="342"/>
      <c r="D933" s="343"/>
      <c r="E933" s="342"/>
      <c r="F933" s="342"/>
      <c r="G933" s="344"/>
      <c r="H933" s="344"/>
      <c r="I933" s="344"/>
      <c r="J933" s="334"/>
      <c r="K933" s="335"/>
      <c r="L933" s="336"/>
      <c r="M933" s="336"/>
      <c r="N933" s="337"/>
      <c r="O933" s="337"/>
      <c r="P933" s="315"/>
      <c r="Q933" s="314"/>
      <c r="R933" s="317"/>
      <c r="S933" s="315"/>
      <c r="T933" s="315"/>
      <c r="U933" s="315"/>
      <c r="V933" s="258"/>
      <c r="W933" s="322"/>
      <c r="X933" s="318"/>
      <c r="Y933" s="315"/>
      <c r="Z933" s="318"/>
      <c r="AA933" s="314"/>
      <c r="AB933" s="336"/>
      <c r="AC933" s="314"/>
      <c r="AD933" s="316"/>
      <c r="AE933" s="315"/>
      <c r="AF933" s="315"/>
      <c r="AG933" s="315"/>
      <c r="AH933" s="315"/>
      <c r="AI933" s="377"/>
      <c r="AJ933" s="407"/>
      <c r="AK933" s="377"/>
      <c r="AL933" s="314"/>
      <c r="AM933" s="314"/>
      <c r="AN933" s="314"/>
      <c r="AO933" s="315"/>
      <c r="AP933" s="257"/>
      <c r="AQ933" s="257"/>
      <c r="AR933" s="257"/>
      <c r="AS933" s="315"/>
      <c r="AT933" s="257"/>
      <c r="AU933" s="257"/>
      <c r="AV933" s="316"/>
      <c r="AW933" s="314"/>
      <c r="AX933" s="315"/>
      <c r="AY933" s="315"/>
      <c r="AZ933" s="315"/>
      <c r="BA933" s="315"/>
      <c r="BB933" s="315"/>
      <c r="BC933" s="315"/>
      <c r="BD933" s="319"/>
      <c r="BE933" s="319"/>
      <c r="BF933" s="319"/>
      <c r="BG933" s="319"/>
      <c r="BH933" s="319"/>
      <c r="BI933" s="319"/>
      <c r="BJ933" s="319"/>
      <c r="BK933" s="315"/>
      <c r="BL933" s="316"/>
      <c r="BM933" s="314"/>
      <c r="BN933" s="319"/>
      <c r="BO933" s="315"/>
      <c r="BP933" s="314"/>
      <c r="BQ933" s="316"/>
      <c r="BR933" s="314"/>
      <c r="BS933" s="262"/>
      <c r="BT933" s="262"/>
    </row>
    <row r="934" spans="1:72" ht="45.75" customHeight="1">
      <c r="A934" s="342"/>
      <c r="B934" s="342"/>
      <c r="C934" s="342"/>
      <c r="D934" s="343"/>
      <c r="E934" s="342"/>
      <c r="F934" s="342"/>
      <c r="G934" s="344"/>
      <c r="H934" s="344"/>
      <c r="I934" s="344"/>
      <c r="J934" s="334"/>
      <c r="K934" s="335"/>
      <c r="L934" s="336"/>
      <c r="M934" s="336"/>
      <c r="N934" s="337"/>
      <c r="O934" s="337"/>
      <c r="P934" s="315"/>
      <c r="Q934" s="314"/>
      <c r="R934" s="317"/>
      <c r="S934" s="315"/>
      <c r="T934" s="315"/>
      <c r="U934" s="315"/>
      <c r="V934" s="258"/>
      <c r="W934" s="322"/>
      <c r="X934" s="318"/>
      <c r="Y934" s="315"/>
      <c r="Z934" s="318"/>
      <c r="AA934" s="314"/>
      <c r="AB934" s="336"/>
      <c r="AC934" s="314"/>
      <c r="AD934" s="316"/>
      <c r="AE934" s="315"/>
      <c r="AF934" s="315"/>
      <c r="AG934" s="315"/>
      <c r="AH934" s="315"/>
      <c r="AI934" s="377"/>
      <c r="AJ934" s="407"/>
      <c r="AK934" s="377"/>
      <c r="AL934" s="314"/>
      <c r="AM934" s="314"/>
      <c r="AN934" s="314"/>
      <c r="AO934" s="315"/>
      <c r="AP934" s="257"/>
      <c r="AQ934" s="257"/>
      <c r="AR934" s="257"/>
      <c r="AS934" s="315"/>
      <c r="AT934" s="257"/>
      <c r="AU934" s="257"/>
      <c r="AV934" s="316"/>
      <c r="AW934" s="314"/>
      <c r="AX934" s="315"/>
      <c r="AY934" s="315"/>
      <c r="AZ934" s="315"/>
      <c r="BA934" s="315"/>
      <c r="BB934" s="315"/>
      <c r="BC934" s="315"/>
      <c r="BD934" s="319"/>
      <c r="BE934" s="319"/>
      <c r="BF934" s="319"/>
      <c r="BG934" s="319"/>
      <c r="BH934" s="319"/>
      <c r="BI934" s="319"/>
      <c r="BJ934" s="319"/>
      <c r="BK934" s="315"/>
      <c r="BL934" s="316"/>
      <c r="BM934" s="314"/>
      <c r="BN934" s="319"/>
      <c r="BO934" s="315"/>
      <c r="BP934" s="314"/>
      <c r="BQ934" s="316"/>
      <c r="BR934" s="314"/>
      <c r="BS934" s="262"/>
      <c r="BT934" s="262"/>
    </row>
    <row r="935" spans="1:72" ht="45.75" customHeight="1">
      <c r="A935" s="342"/>
      <c r="B935" s="342"/>
      <c r="C935" s="342"/>
      <c r="D935" s="343"/>
      <c r="E935" s="342"/>
      <c r="F935" s="342"/>
      <c r="G935" s="344"/>
      <c r="H935" s="344"/>
      <c r="I935" s="344"/>
      <c r="J935" s="334"/>
      <c r="K935" s="335"/>
      <c r="L935" s="336"/>
      <c r="M935" s="336"/>
      <c r="N935" s="337"/>
      <c r="O935" s="337"/>
      <c r="P935" s="315"/>
      <c r="Q935" s="314"/>
      <c r="R935" s="317"/>
      <c r="S935" s="315"/>
      <c r="T935" s="315"/>
      <c r="U935" s="315"/>
      <c r="V935" s="258"/>
      <c r="W935" s="322"/>
      <c r="X935" s="318"/>
      <c r="Y935" s="315"/>
      <c r="Z935" s="318"/>
      <c r="AA935" s="314"/>
      <c r="AB935" s="336"/>
      <c r="AC935" s="314"/>
      <c r="AD935" s="316"/>
      <c r="AE935" s="315"/>
      <c r="AF935" s="315"/>
      <c r="AG935" s="315"/>
      <c r="AH935" s="315"/>
      <c r="AI935" s="377"/>
      <c r="AJ935" s="407"/>
      <c r="AK935" s="377"/>
      <c r="AL935" s="314"/>
      <c r="AM935" s="314"/>
      <c r="AN935" s="314"/>
      <c r="AO935" s="315"/>
      <c r="AP935" s="257"/>
      <c r="AQ935" s="257"/>
      <c r="AR935" s="257"/>
      <c r="AS935" s="315"/>
      <c r="AT935" s="257"/>
      <c r="AU935" s="257"/>
      <c r="AV935" s="316"/>
      <c r="AW935" s="314"/>
      <c r="AX935" s="315"/>
      <c r="AY935" s="315"/>
      <c r="AZ935" s="315"/>
      <c r="BA935" s="315"/>
      <c r="BB935" s="315"/>
      <c r="BC935" s="315"/>
      <c r="BD935" s="319"/>
      <c r="BE935" s="319"/>
      <c r="BF935" s="319"/>
      <c r="BG935" s="319"/>
      <c r="BH935" s="319"/>
      <c r="BI935" s="319"/>
      <c r="BJ935" s="319"/>
      <c r="BK935" s="315"/>
      <c r="BL935" s="316"/>
      <c r="BM935" s="314"/>
      <c r="BN935" s="319"/>
      <c r="BO935" s="315"/>
      <c r="BP935" s="314"/>
      <c r="BQ935" s="316"/>
      <c r="BR935" s="314"/>
      <c r="BS935" s="262"/>
      <c r="BT935" s="262"/>
    </row>
    <row r="936" spans="1:72" ht="45.75" customHeight="1">
      <c r="A936" s="342"/>
      <c r="B936" s="342"/>
      <c r="C936" s="342"/>
      <c r="D936" s="343"/>
      <c r="E936" s="342"/>
      <c r="F936" s="342"/>
      <c r="G936" s="344"/>
      <c r="H936" s="344"/>
      <c r="I936" s="344"/>
      <c r="J936" s="334"/>
      <c r="K936" s="335"/>
      <c r="L936" s="336"/>
      <c r="M936" s="336"/>
      <c r="N936" s="337"/>
      <c r="O936" s="337"/>
      <c r="P936" s="315"/>
      <c r="Q936" s="314"/>
      <c r="R936" s="317"/>
      <c r="S936" s="315"/>
      <c r="T936" s="315"/>
      <c r="U936" s="315"/>
      <c r="V936" s="258"/>
      <c r="W936" s="322"/>
      <c r="X936" s="318"/>
      <c r="Y936" s="315"/>
      <c r="Z936" s="318"/>
      <c r="AA936" s="314"/>
      <c r="AB936" s="336"/>
      <c r="AC936" s="314"/>
      <c r="AD936" s="316"/>
      <c r="AE936" s="315"/>
      <c r="AF936" s="315"/>
      <c r="AG936" s="315"/>
      <c r="AH936" s="315"/>
      <c r="AI936" s="377"/>
      <c r="AJ936" s="407"/>
      <c r="AK936" s="377"/>
      <c r="AL936" s="314"/>
      <c r="AM936" s="314"/>
      <c r="AN936" s="314"/>
      <c r="AO936" s="315"/>
      <c r="AP936" s="257"/>
      <c r="AQ936" s="257"/>
      <c r="AR936" s="257"/>
      <c r="AS936" s="315"/>
      <c r="AT936" s="257"/>
      <c r="AU936" s="257"/>
      <c r="AV936" s="316"/>
      <c r="AW936" s="314"/>
      <c r="AX936" s="315"/>
      <c r="AY936" s="315"/>
      <c r="AZ936" s="315"/>
      <c r="BA936" s="315"/>
      <c r="BB936" s="315"/>
      <c r="BC936" s="315"/>
      <c r="BD936" s="319"/>
      <c r="BE936" s="319"/>
      <c r="BF936" s="319"/>
      <c r="BG936" s="319"/>
      <c r="BH936" s="319"/>
      <c r="BI936" s="319"/>
      <c r="BJ936" s="319"/>
      <c r="BK936" s="315"/>
      <c r="BL936" s="316"/>
      <c r="BM936" s="314"/>
      <c r="BN936" s="319"/>
      <c r="BO936" s="315"/>
      <c r="BP936" s="314"/>
      <c r="BQ936" s="316"/>
      <c r="BR936" s="314"/>
      <c r="BS936" s="262"/>
      <c r="BT936" s="262"/>
    </row>
    <row r="937" spans="1:72" ht="45.75" customHeight="1">
      <c r="A937" s="342"/>
      <c r="B937" s="342"/>
      <c r="C937" s="342"/>
      <c r="D937" s="343"/>
      <c r="E937" s="342"/>
      <c r="F937" s="342"/>
      <c r="G937" s="344"/>
      <c r="H937" s="344"/>
      <c r="I937" s="344"/>
      <c r="J937" s="334"/>
      <c r="K937" s="335"/>
      <c r="L937" s="336"/>
      <c r="M937" s="336"/>
      <c r="N937" s="337"/>
      <c r="O937" s="337"/>
      <c r="P937" s="315"/>
      <c r="Q937" s="314"/>
      <c r="R937" s="317"/>
      <c r="S937" s="315"/>
      <c r="T937" s="315"/>
      <c r="U937" s="315"/>
      <c r="V937" s="258"/>
      <c r="W937" s="322"/>
      <c r="X937" s="318"/>
      <c r="Y937" s="315"/>
      <c r="Z937" s="318"/>
      <c r="AA937" s="314"/>
      <c r="AB937" s="336"/>
      <c r="AC937" s="314"/>
      <c r="AD937" s="316"/>
      <c r="AE937" s="315"/>
      <c r="AF937" s="315"/>
      <c r="AG937" s="315"/>
      <c r="AH937" s="315"/>
      <c r="AI937" s="377"/>
      <c r="AJ937" s="407"/>
      <c r="AK937" s="377"/>
      <c r="AL937" s="314"/>
      <c r="AM937" s="314"/>
      <c r="AN937" s="314"/>
      <c r="AO937" s="315"/>
      <c r="AP937" s="257"/>
      <c r="AQ937" s="257"/>
      <c r="AR937" s="257"/>
      <c r="AS937" s="315"/>
      <c r="AT937" s="257"/>
      <c r="AU937" s="257"/>
      <c r="AV937" s="316"/>
      <c r="AW937" s="314"/>
      <c r="AX937" s="315"/>
      <c r="AY937" s="315"/>
      <c r="AZ937" s="315"/>
      <c r="BA937" s="315"/>
      <c r="BB937" s="315"/>
      <c r="BC937" s="315"/>
      <c r="BD937" s="319"/>
      <c r="BE937" s="319"/>
      <c r="BF937" s="319"/>
      <c r="BG937" s="319"/>
      <c r="BH937" s="319"/>
      <c r="BI937" s="319"/>
      <c r="BJ937" s="319"/>
      <c r="BK937" s="315"/>
      <c r="BL937" s="316"/>
      <c r="BM937" s="314"/>
      <c r="BN937" s="319"/>
      <c r="BO937" s="315"/>
      <c r="BP937" s="314"/>
      <c r="BQ937" s="316"/>
      <c r="BR937" s="314"/>
      <c r="BS937" s="262"/>
      <c r="BT937" s="262"/>
    </row>
    <row r="938" spans="1:72" ht="45.75" customHeight="1">
      <c r="A938" s="342"/>
      <c r="B938" s="342"/>
      <c r="C938" s="342"/>
      <c r="D938" s="343"/>
      <c r="E938" s="342"/>
      <c r="F938" s="342"/>
      <c r="G938" s="344"/>
      <c r="H938" s="344"/>
      <c r="I938" s="344"/>
      <c r="J938" s="334"/>
      <c r="K938" s="335"/>
      <c r="L938" s="336"/>
      <c r="M938" s="336"/>
      <c r="N938" s="337"/>
      <c r="O938" s="337"/>
      <c r="P938" s="315"/>
      <c r="Q938" s="314"/>
      <c r="R938" s="317"/>
      <c r="S938" s="315"/>
      <c r="T938" s="315"/>
      <c r="U938" s="315"/>
      <c r="V938" s="258"/>
      <c r="W938" s="322"/>
      <c r="X938" s="318"/>
      <c r="Y938" s="315"/>
      <c r="Z938" s="318"/>
      <c r="AA938" s="314"/>
      <c r="AB938" s="336"/>
      <c r="AC938" s="314"/>
      <c r="AD938" s="316"/>
      <c r="AE938" s="315"/>
      <c r="AF938" s="315"/>
      <c r="AG938" s="315"/>
      <c r="AH938" s="315"/>
      <c r="AI938" s="377"/>
      <c r="AJ938" s="407"/>
      <c r="AK938" s="377"/>
      <c r="AL938" s="314"/>
      <c r="AM938" s="314"/>
      <c r="AN938" s="314"/>
      <c r="AO938" s="315"/>
      <c r="AP938" s="257"/>
      <c r="AQ938" s="257"/>
      <c r="AR938" s="257"/>
      <c r="AS938" s="315"/>
      <c r="AT938" s="257"/>
      <c r="AU938" s="257"/>
      <c r="AV938" s="316"/>
      <c r="AW938" s="314"/>
      <c r="AX938" s="315"/>
      <c r="AY938" s="315"/>
      <c r="AZ938" s="315"/>
      <c r="BA938" s="315"/>
      <c r="BB938" s="315"/>
      <c r="BC938" s="315"/>
      <c r="BD938" s="319"/>
      <c r="BE938" s="319"/>
      <c r="BF938" s="319"/>
      <c r="BG938" s="319"/>
      <c r="BH938" s="319"/>
      <c r="BI938" s="319"/>
      <c r="BJ938" s="319"/>
      <c r="BK938" s="315"/>
      <c r="BL938" s="316"/>
      <c r="BM938" s="314"/>
      <c r="BN938" s="319"/>
      <c r="BO938" s="315"/>
      <c r="BP938" s="314"/>
      <c r="BQ938" s="316"/>
      <c r="BR938" s="314"/>
      <c r="BS938" s="262"/>
      <c r="BT938" s="262"/>
    </row>
    <row r="939" spans="1:72" ht="45.75" customHeight="1">
      <c r="A939" s="342"/>
      <c r="B939" s="342"/>
      <c r="C939" s="342"/>
      <c r="D939" s="343"/>
      <c r="E939" s="342"/>
      <c r="F939" s="342"/>
      <c r="G939" s="344"/>
      <c r="H939" s="344"/>
      <c r="I939" s="344"/>
      <c r="J939" s="334"/>
      <c r="K939" s="335"/>
      <c r="L939" s="336"/>
      <c r="M939" s="336"/>
      <c r="N939" s="337"/>
      <c r="O939" s="337"/>
      <c r="P939" s="315"/>
      <c r="Q939" s="314"/>
      <c r="R939" s="317"/>
      <c r="S939" s="315"/>
      <c r="T939" s="315"/>
      <c r="U939" s="315"/>
      <c r="V939" s="258"/>
      <c r="W939" s="322"/>
      <c r="X939" s="318"/>
      <c r="Y939" s="315"/>
      <c r="Z939" s="318"/>
      <c r="AA939" s="314"/>
      <c r="AB939" s="336"/>
      <c r="AC939" s="314"/>
      <c r="AD939" s="316"/>
      <c r="AE939" s="315"/>
      <c r="AF939" s="315"/>
      <c r="AG939" s="315"/>
      <c r="AH939" s="315"/>
      <c r="AI939" s="377"/>
      <c r="AJ939" s="407"/>
      <c r="AK939" s="377"/>
      <c r="AL939" s="314"/>
      <c r="AM939" s="314"/>
      <c r="AN939" s="314"/>
      <c r="AO939" s="315"/>
      <c r="AP939" s="257"/>
      <c r="AQ939" s="257"/>
      <c r="AR939" s="257"/>
      <c r="AS939" s="315"/>
      <c r="AT939" s="257"/>
      <c r="AU939" s="257"/>
      <c r="AV939" s="316"/>
      <c r="AW939" s="314"/>
      <c r="AX939" s="315"/>
      <c r="AY939" s="315"/>
      <c r="AZ939" s="315"/>
      <c r="BA939" s="315"/>
      <c r="BB939" s="315"/>
      <c r="BC939" s="315"/>
      <c r="BD939" s="319"/>
      <c r="BE939" s="319"/>
      <c r="BF939" s="319"/>
      <c r="BG939" s="319"/>
      <c r="BH939" s="319"/>
      <c r="BI939" s="319"/>
      <c r="BJ939" s="319"/>
      <c r="BK939" s="315"/>
      <c r="BL939" s="316"/>
      <c r="BM939" s="314"/>
      <c r="BN939" s="319"/>
      <c r="BO939" s="315"/>
      <c r="BP939" s="314"/>
      <c r="BQ939" s="316"/>
      <c r="BR939" s="314"/>
      <c r="BS939" s="262"/>
      <c r="BT939" s="262"/>
    </row>
    <row r="940" spans="1:72" ht="45.75" customHeight="1">
      <c r="A940" s="342"/>
      <c r="B940" s="342"/>
      <c r="C940" s="342"/>
      <c r="D940" s="343"/>
      <c r="E940" s="342"/>
      <c r="F940" s="342"/>
      <c r="G940" s="344"/>
      <c r="H940" s="344"/>
      <c r="I940" s="344"/>
      <c r="J940" s="334"/>
      <c r="K940" s="335"/>
      <c r="L940" s="336"/>
      <c r="M940" s="336"/>
      <c r="N940" s="337"/>
      <c r="O940" s="337"/>
      <c r="P940" s="315"/>
      <c r="Q940" s="314"/>
      <c r="R940" s="317"/>
      <c r="S940" s="315"/>
      <c r="T940" s="315"/>
      <c r="U940" s="315"/>
      <c r="V940" s="258"/>
      <c r="W940" s="322"/>
      <c r="X940" s="318"/>
      <c r="Y940" s="315"/>
      <c r="Z940" s="318"/>
      <c r="AA940" s="314"/>
      <c r="AB940" s="336"/>
      <c r="AC940" s="314"/>
      <c r="AD940" s="316"/>
      <c r="AE940" s="315"/>
      <c r="AF940" s="315"/>
      <c r="AG940" s="315"/>
      <c r="AH940" s="315"/>
      <c r="AI940" s="377"/>
      <c r="AJ940" s="407"/>
      <c r="AK940" s="377"/>
      <c r="AL940" s="314"/>
      <c r="AM940" s="314"/>
      <c r="AN940" s="314"/>
      <c r="AO940" s="315"/>
      <c r="AP940" s="257"/>
      <c r="AQ940" s="257"/>
      <c r="AR940" s="257"/>
      <c r="AS940" s="315"/>
      <c r="AT940" s="257"/>
      <c r="AU940" s="257"/>
      <c r="AV940" s="316"/>
      <c r="AW940" s="314"/>
      <c r="AX940" s="315"/>
      <c r="AY940" s="315"/>
      <c r="AZ940" s="315"/>
      <c r="BA940" s="315"/>
      <c r="BB940" s="315"/>
      <c r="BC940" s="315"/>
      <c r="BD940" s="319"/>
      <c r="BE940" s="319"/>
      <c r="BF940" s="319"/>
      <c r="BG940" s="319"/>
      <c r="BH940" s="319"/>
      <c r="BI940" s="319"/>
      <c r="BJ940" s="319"/>
      <c r="BK940" s="315"/>
      <c r="BL940" s="316"/>
      <c r="BM940" s="314"/>
      <c r="BN940" s="319"/>
      <c r="BO940" s="315"/>
      <c r="BP940" s="314"/>
      <c r="BQ940" s="316"/>
      <c r="BR940" s="314"/>
      <c r="BS940" s="262"/>
      <c r="BT940" s="262"/>
    </row>
    <row r="941" spans="1:72" ht="45.75" customHeight="1">
      <c r="A941" s="342"/>
      <c r="B941" s="342"/>
      <c r="C941" s="342"/>
      <c r="D941" s="343"/>
      <c r="E941" s="342"/>
      <c r="F941" s="342"/>
      <c r="G941" s="344"/>
      <c r="H941" s="344"/>
      <c r="I941" s="344"/>
      <c r="J941" s="334"/>
      <c r="K941" s="335"/>
      <c r="L941" s="336"/>
      <c r="M941" s="336"/>
      <c r="N941" s="337"/>
      <c r="O941" s="337"/>
      <c r="P941" s="315"/>
      <c r="Q941" s="314"/>
      <c r="R941" s="317"/>
      <c r="S941" s="315"/>
      <c r="T941" s="315"/>
      <c r="U941" s="315"/>
      <c r="V941" s="258"/>
      <c r="W941" s="322"/>
      <c r="X941" s="318"/>
      <c r="Y941" s="315"/>
      <c r="Z941" s="318"/>
      <c r="AA941" s="314"/>
      <c r="AB941" s="336"/>
      <c r="AC941" s="314"/>
      <c r="AD941" s="316"/>
      <c r="AE941" s="315"/>
      <c r="AF941" s="315"/>
      <c r="AG941" s="315"/>
      <c r="AH941" s="315"/>
      <c r="AI941" s="377"/>
      <c r="AJ941" s="407"/>
      <c r="AK941" s="377"/>
      <c r="AL941" s="314"/>
      <c r="AM941" s="314"/>
      <c r="AN941" s="314"/>
      <c r="AO941" s="315"/>
      <c r="AP941" s="257"/>
      <c r="AQ941" s="257"/>
      <c r="AR941" s="257"/>
      <c r="AS941" s="315"/>
      <c r="AT941" s="257"/>
      <c r="AU941" s="257"/>
      <c r="AV941" s="316"/>
      <c r="AW941" s="314"/>
      <c r="AX941" s="315"/>
      <c r="AY941" s="315"/>
      <c r="AZ941" s="315"/>
      <c r="BA941" s="315"/>
      <c r="BB941" s="315"/>
      <c r="BC941" s="315"/>
      <c r="BD941" s="319"/>
      <c r="BE941" s="319"/>
      <c r="BF941" s="319"/>
      <c r="BG941" s="319"/>
      <c r="BH941" s="319"/>
      <c r="BI941" s="319"/>
      <c r="BJ941" s="319"/>
      <c r="BK941" s="315"/>
      <c r="BL941" s="316"/>
      <c r="BM941" s="314"/>
      <c r="BN941" s="319"/>
      <c r="BO941" s="315"/>
      <c r="BP941" s="314"/>
      <c r="BQ941" s="316"/>
      <c r="BR941" s="314"/>
      <c r="BS941" s="262"/>
      <c r="BT941" s="262"/>
    </row>
    <row r="942" spans="1:72" ht="45.75" customHeight="1">
      <c r="A942" s="342"/>
      <c r="B942" s="342"/>
      <c r="C942" s="342"/>
      <c r="D942" s="343"/>
      <c r="E942" s="342"/>
      <c r="F942" s="342"/>
      <c r="G942" s="344"/>
      <c r="H942" s="344"/>
      <c r="I942" s="344"/>
      <c r="J942" s="334"/>
      <c r="K942" s="335"/>
      <c r="L942" s="336"/>
      <c r="M942" s="336"/>
      <c r="N942" s="337"/>
      <c r="O942" s="337"/>
      <c r="P942" s="315"/>
      <c r="Q942" s="314"/>
      <c r="R942" s="317"/>
      <c r="S942" s="315"/>
      <c r="T942" s="315"/>
      <c r="U942" s="315"/>
      <c r="V942" s="258"/>
      <c r="W942" s="322"/>
      <c r="X942" s="318"/>
      <c r="Y942" s="315"/>
      <c r="Z942" s="318"/>
      <c r="AA942" s="314"/>
      <c r="AB942" s="336"/>
      <c r="AC942" s="314"/>
      <c r="AD942" s="316"/>
      <c r="AE942" s="315"/>
      <c r="AF942" s="315"/>
      <c r="AG942" s="315"/>
      <c r="AH942" s="315"/>
      <c r="AI942" s="377"/>
      <c r="AJ942" s="407"/>
      <c r="AK942" s="377"/>
      <c r="AL942" s="314"/>
      <c r="AM942" s="314"/>
      <c r="AN942" s="314"/>
      <c r="AO942" s="315"/>
      <c r="AP942" s="257"/>
      <c r="AQ942" s="257"/>
      <c r="AR942" s="257"/>
      <c r="AS942" s="315"/>
      <c r="AT942" s="257"/>
      <c r="AU942" s="257"/>
      <c r="AV942" s="316"/>
      <c r="AW942" s="314"/>
      <c r="AX942" s="315"/>
      <c r="AY942" s="315"/>
      <c r="AZ942" s="315"/>
      <c r="BA942" s="315"/>
      <c r="BB942" s="315"/>
      <c r="BC942" s="315"/>
      <c r="BD942" s="319"/>
      <c r="BE942" s="319"/>
      <c r="BF942" s="319"/>
      <c r="BG942" s="319"/>
      <c r="BH942" s="319"/>
      <c r="BI942" s="319"/>
      <c r="BJ942" s="319"/>
      <c r="BK942" s="315"/>
      <c r="BL942" s="316"/>
      <c r="BM942" s="314"/>
      <c r="BN942" s="319"/>
      <c r="BO942" s="315"/>
      <c r="BP942" s="314"/>
      <c r="BQ942" s="316"/>
      <c r="BR942" s="314"/>
      <c r="BS942" s="262"/>
      <c r="BT942" s="262"/>
    </row>
    <row r="943" spans="1:72" ht="45.75" customHeight="1">
      <c r="A943" s="342"/>
      <c r="B943" s="342"/>
      <c r="C943" s="342"/>
      <c r="D943" s="343"/>
      <c r="E943" s="342"/>
      <c r="F943" s="342"/>
      <c r="G943" s="344"/>
      <c r="H943" s="344"/>
      <c r="I943" s="344"/>
      <c r="J943" s="334"/>
      <c r="K943" s="335"/>
      <c r="L943" s="336"/>
      <c r="M943" s="336"/>
      <c r="N943" s="337"/>
      <c r="O943" s="337"/>
      <c r="P943" s="315"/>
      <c r="Q943" s="314"/>
      <c r="R943" s="317"/>
      <c r="S943" s="315"/>
      <c r="T943" s="315"/>
      <c r="U943" s="315"/>
      <c r="V943" s="258"/>
      <c r="W943" s="322"/>
      <c r="X943" s="318"/>
      <c r="Y943" s="315"/>
      <c r="Z943" s="318"/>
      <c r="AA943" s="314"/>
      <c r="AB943" s="336"/>
      <c r="AC943" s="314"/>
      <c r="AD943" s="316"/>
      <c r="AE943" s="315"/>
      <c r="AF943" s="315"/>
      <c r="AG943" s="315"/>
      <c r="AH943" s="315"/>
      <c r="AI943" s="377"/>
      <c r="AJ943" s="407"/>
      <c r="AK943" s="377"/>
      <c r="AL943" s="314"/>
      <c r="AM943" s="314"/>
      <c r="AN943" s="314"/>
      <c r="AO943" s="315"/>
      <c r="AP943" s="257"/>
      <c r="AQ943" s="257"/>
      <c r="AR943" s="257"/>
      <c r="AS943" s="315"/>
      <c r="AT943" s="257"/>
      <c r="AU943" s="257"/>
      <c r="AV943" s="316"/>
      <c r="AW943" s="314"/>
      <c r="AX943" s="315"/>
      <c r="AY943" s="315"/>
      <c r="AZ943" s="315"/>
      <c r="BA943" s="315"/>
      <c r="BB943" s="315"/>
      <c r="BC943" s="315"/>
      <c r="BD943" s="319"/>
      <c r="BE943" s="319"/>
      <c r="BF943" s="319"/>
      <c r="BG943" s="319"/>
      <c r="BH943" s="319"/>
      <c r="BI943" s="319"/>
      <c r="BJ943" s="319"/>
      <c r="BK943" s="315"/>
      <c r="BL943" s="316"/>
      <c r="BM943" s="314"/>
      <c r="BN943" s="319"/>
      <c r="BO943" s="315"/>
      <c r="BP943" s="314"/>
      <c r="BQ943" s="316"/>
      <c r="BR943" s="314"/>
      <c r="BS943" s="262"/>
      <c r="BT943" s="262"/>
    </row>
    <row r="944" spans="1:72" ht="45.75" customHeight="1">
      <c r="A944" s="342"/>
      <c r="B944" s="342"/>
      <c r="C944" s="342"/>
      <c r="D944" s="343"/>
      <c r="E944" s="342"/>
      <c r="F944" s="342"/>
      <c r="G944" s="344"/>
      <c r="H944" s="344"/>
      <c r="I944" s="344"/>
      <c r="J944" s="334"/>
      <c r="K944" s="335"/>
      <c r="L944" s="336"/>
      <c r="M944" s="336"/>
      <c r="N944" s="337"/>
      <c r="O944" s="337"/>
      <c r="P944" s="315"/>
      <c r="Q944" s="314"/>
      <c r="R944" s="317"/>
      <c r="S944" s="315"/>
      <c r="T944" s="315"/>
      <c r="U944" s="315"/>
      <c r="V944" s="258"/>
      <c r="W944" s="322"/>
      <c r="X944" s="318"/>
      <c r="Y944" s="315"/>
      <c r="Z944" s="318"/>
      <c r="AA944" s="314"/>
      <c r="AB944" s="336"/>
      <c r="AC944" s="314"/>
      <c r="AD944" s="316"/>
      <c r="AE944" s="315"/>
      <c r="AF944" s="315"/>
      <c r="AG944" s="315"/>
      <c r="AH944" s="315"/>
      <c r="AI944" s="377"/>
      <c r="AJ944" s="407"/>
      <c r="AK944" s="377"/>
      <c r="AL944" s="314"/>
      <c r="AM944" s="314"/>
      <c r="AN944" s="314"/>
      <c r="AO944" s="315"/>
      <c r="AP944" s="257"/>
      <c r="AQ944" s="257"/>
      <c r="AR944" s="257"/>
      <c r="AS944" s="315"/>
      <c r="AT944" s="257"/>
      <c r="AU944" s="257"/>
      <c r="AV944" s="316"/>
      <c r="AW944" s="314"/>
      <c r="AX944" s="315"/>
      <c r="AY944" s="315"/>
      <c r="AZ944" s="315"/>
      <c r="BA944" s="315"/>
      <c r="BB944" s="315"/>
      <c r="BC944" s="315"/>
      <c r="BD944" s="319"/>
      <c r="BE944" s="319"/>
      <c r="BF944" s="319"/>
      <c r="BG944" s="319"/>
      <c r="BH944" s="319"/>
      <c r="BI944" s="319"/>
      <c r="BJ944" s="319"/>
      <c r="BK944" s="315"/>
      <c r="BL944" s="316"/>
      <c r="BM944" s="314"/>
      <c r="BN944" s="319"/>
      <c r="BO944" s="315"/>
      <c r="BP944" s="314"/>
      <c r="BQ944" s="316"/>
      <c r="BR944" s="314"/>
      <c r="BS944" s="262"/>
      <c r="BT944" s="262"/>
    </row>
    <row r="945" spans="1:72" ht="45.75" customHeight="1">
      <c r="A945" s="342"/>
      <c r="B945" s="342"/>
      <c r="C945" s="342"/>
      <c r="D945" s="343"/>
      <c r="E945" s="342"/>
      <c r="F945" s="342"/>
      <c r="G945" s="344"/>
      <c r="H945" s="344"/>
      <c r="I945" s="344"/>
      <c r="J945" s="334"/>
      <c r="K945" s="335"/>
      <c r="L945" s="336"/>
      <c r="M945" s="336"/>
      <c r="N945" s="337"/>
      <c r="O945" s="337"/>
      <c r="P945" s="315"/>
      <c r="Q945" s="314"/>
      <c r="R945" s="317"/>
      <c r="S945" s="315"/>
      <c r="T945" s="315"/>
      <c r="U945" s="315"/>
      <c r="V945" s="258"/>
      <c r="W945" s="322"/>
      <c r="X945" s="318"/>
      <c r="Y945" s="315"/>
      <c r="Z945" s="318"/>
      <c r="AA945" s="314"/>
      <c r="AB945" s="336"/>
      <c r="AC945" s="314"/>
      <c r="AD945" s="316"/>
      <c r="AE945" s="315"/>
      <c r="AF945" s="315"/>
      <c r="AG945" s="315"/>
      <c r="AH945" s="315"/>
      <c r="AI945" s="377"/>
      <c r="AJ945" s="407"/>
      <c r="AK945" s="377"/>
      <c r="AL945" s="314"/>
      <c r="AM945" s="314"/>
      <c r="AN945" s="314"/>
      <c r="AO945" s="315"/>
      <c r="AP945" s="257"/>
      <c r="AQ945" s="257"/>
      <c r="AR945" s="257"/>
      <c r="AS945" s="315"/>
      <c r="AT945" s="257"/>
      <c r="AU945" s="257"/>
      <c r="AV945" s="316"/>
      <c r="AW945" s="314"/>
      <c r="AX945" s="315"/>
      <c r="AY945" s="315"/>
      <c r="AZ945" s="315"/>
      <c r="BA945" s="315"/>
      <c r="BB945" s="315"/>
      <c r="BC945" s="315"/>
      <c r="BD945" s="319"/>
      <c r="BE945" s="319"/>
      <c r="BF945" s="319"/>
      <c r="BG945" s="319"/>
      <c r="BH945" s="319"/>
      <c r="BI945" s="319"/>
      <c r="BJ945" s="319"/>
      <c r="BK945" s="315"/>
      <c r="BL945" s="316"/>
      <c r="BM945" s="314"/>
      <c r="BN945" s="319"/>
      <c r="BO945" s="315"/>
      <c r="BP945" s="314"/>
      <c r="BQ945" s="316"/>
      <c r="BR945" s="314"/>
      <c r="BS945" s="262"/>
      <c r="BT945" s="262"/>
    </row>
    <row r="946" spans="1:72" ht="45.75" customHeight="1">
      <c r="A946" s="342"/>
      <c r="B946" s="342"/>
      <c r="C946" s="342"/>
      <c r="D946" s="343"/>
      <c r="E946" s="342"/>
      <c r="F946" s="342"/>
      <c r="G946" s="344"/>
      <c r="H946" s="344"/>
      <c r="I946" s="344"/>
      <c r="J946" s="334"/>
      <c r="K946" s="335"/>
      <c r="L946" s="336"/>
      <c r="M946" s="336"/>
      <c r="N946" s="337"/>
      <c r="O946" s="337"/>
      <c r="P946" s="315"/>
      <c r="Q946" s="314"/>
      <c r="R946" s="317"/>
      <c r="S946" s="315"/>
      <c r="T946" s="315"/>
      <c r="U946" s="315"/>
      <c r="V946" s="258"/>
      <c r="W946" s="322"/>
      <c r="X946" s="318"/>
      <c r="Y946" s="315"/>
      <c r="Z946" s="318"/>
      <c r="AA946" s="314"/>
      <c r="AB946" s="336"/>
      <c r="AC946" s="314"/>
      <c r="AD946" s="316"/>
      <c r="AE946" s="315"/>
      <c r="AF946" s="315"/>
      <c r="AG946" s="315"/>
      <c r="AH946" s="315"/>
      <c r="AI946" s="377"/>
      <c r="AJ946" s="407"/>
      <c r="AK946" s="377"/>
      <c r="AL946" s="314"/>
      <c r="AM946" s="314"/>
      <c r="AN946" s="314"/>
      <c r="AO946" s="315"/>
      <c r="AP946" s="257"/>
      <c r="AQ946" s="257"/>
      <c r="AR946" s="257"/>
      <c r="AS946" s="315"/>
      <c r="AT946" s="257"/>
      <c r="AU946" s="257"/>
      <c r="AV946" s="316"/>
      <c r="AW946" s="314"/>
      <c r="AX946" s="315"/>
      <c r="AY946" s="315"/>
      <c r="AZ946" s="315"/>
      <c r="BA946" s="315"/>
      <c r="BB946" s="315"/>
      <c r="BC946" s="315"/>
      <c r="BD946" s="319"/>
      <c r="BE946" s="319"/>
      <c r="BF946" s="319"/>
      <c r="BG946" s="319"/>
      <c r="BH946" s="319"/>
      <c r="BI946" s="319"/>
      <c r="BJ946" s="319"/>
      <c r="BK946" s="315"/>
      <c r="BL946" s="316"/>
      <c r="BM946" s="314"/>
      <c r="BN946" s="319"/>
      <c r="BO946" s="315"/>
      <c r="BP946" s="314"/>
      <c r="BQ946" s="316"/>
      <c r="BR946" s="314"/>
      <c r="BS946" s="262"/>
      <c r="BT946" s="262"/>
    </row>
    <row r="947" spans="1:72" ht="45.75" customHeight="1">
      <c r="A947" s="342"/>
      <c r="B947" s="342"/>
      <c r="C947" s="342"/>
      <c r="D947" s="343"/>
      <c r="E947" s="342"/>
      <c r="F947" s="342"/>
      <c r="G947" s="344"/>
      <c r="H947" s="344"/>
      <c r="I947" s="344"/>
      <c r="J947" s="334"/>
      <c r="K947" s="335"/>
      <c r="L947" s="336"/>
      <c r="M947" s="336"/>
      <c r="N947" s="337"/>
      <c r="O947" s="337"/>
      <c r="P947" s="315"/>
      <c r="Q947" s="314"/>
      <c r="R947" s="317"/>
      <c r="S947" s="315"/>
      <c r="T947" s="315"/>
      <c r="U947" s="315"/>
      <c r="V947" s="258"/>
      <c r="W947" s="322"/>
      <c r="X947" s="318"/>
      <c r="Y947" s="315"/>
      <c r="Z947" s="318"/>
      <c r="AA947" s="314"/>
      <c r="AB947" s="336"/>
      <c r="AC947" s="314"/>
      <c r="AD947" s="316"/>
      <c r="AE947" s="315"/>
      <c r="AF947" s="315"/>
      <c r="AG947" s="315"/>
      <c r="AH947" s="315"/>
      <c r="AI947" s="377"/>
      <c r="AJ947" s="407"/>
      <c r="AK947" s="377"/>
      <c r="AL947" s="314"/>
      <c r="AM947" s="314"/>
      <c r="AN947" s="314"/>
      <c r="AO947" s="315"/>
      <c r="AP947" s="257"/>
      <c r="AQ947" s="257"/>
      <c r="AR947" s="257"/>
      <c r="AS947" s="315"/>
      <c r="AT947" s="257"/>
      <c r="AU947" s="257"/>
      <c r="AV947" s="316"/>
      <c r="AW947" s="314"/>
      <c r="AX947" s="315"/>
      <c r="AY947" s="315"/>
      <c r="AZ947" s="315"/>
      <c r="BA947" s="315"/>
      <c r="BB947" s="315"/>
      <c r="BC947" s="315"/>
      <c r="BD947" s="319"/>
      <c r="BE947" s="319"/>
      <c r="BF947" s="319"/>
      <c r="BG947" s="319"/>
      <c r="BH947" s="319"/>
      <c r="BI947" s="319"/>
      <c r="BJ947" s="319"/>
      <c r="BK947" s="315"/>
      <c r="BL947" s="316"/>
      <c r="BM947" s="314"/>
      <c r="BN947" s="319"/>
      <c r="BO947" s="315"/>
      <c r="BP947" s="314"/>
      <c r="BQ947" s="316"/>
      <c r="BR947" s="314"/>
      <c r="BS947" s="262"/>
      <c r="BT947" s="262"/>
    </row>
    <row r="948" spans="1:72" ht="45.75" customHeight="1">
      <c r="A948" s="342"/>
      <c r="B948" s="342"/>
      <c r="C948" s="342"/>
      <c r="D948" s="343"/>
      <c r="E948" s="342"/>
      <c r="F948" s="342"/>
      <c r="G948" s="344"/>
      <c r="H948" s="344"/>
      <c r="I948" s="344"/>
      <c r="J948" s="334"/>
      <c r="K948" s="335"/>
      <c r="L948" s="336"/>
      <c r="M948" s="336"/>
      <c r="N948" s="337"/>
      <c r="O948" s="337"/>
      <c r="P948" s="315"/>
      <c r="Q948" s="314"/>
      <c r="R948" s="317"/>
      <c r="S948" s="315"/>
      <c r="T948" s="315"/>
      <c r="U948" s="315"/>
      <c r="V948" s="258"/>
      <c r="W948" s="322"/>
      <c r="X948" s="318"/>
      <c r="Y948" s="315"/>
      <c r="Z948" s="318"/>
      <c r="AA948" s="314"/>
      <c r="AB948" s="336"/>
      <c r="AC948" s="314"/>
      <c r="AD948" s="316"/>
      <c r="AE948" s="315"/>
      <c r="AF948" s="315"/>
      <c r="AG948" s="315"/>
      <c r="AH948" s="315"/>
      <c r="AI948" s="377"/>
      <c r="AJ948" s="407"/>
      <c r="AK948" s="377"/>
      <c r="AL948" s="314"/>
      <c r="AM948" s="314"/>
      <c r="AN948" s="314"/>
      <c r="AO948" s="315"/>
      <c r="AP948" s="257"/>
      <c r="AQ948" s="257"/>
      <c r="AR948" s="257"/>
      <c r="AS948" s="315"/>
      <c r="AT948" s="257"/>
      <c r="AU948" s="257"/>
      <c r="AV948" s="316"/>
      <c r="AW948" s="314"/>
      <c r="AX948" s="315"/>
      <c r="AY948" s="315"/>
      <c r="AZ948" s="315"/>
      <c r="BA948" s="315"/>
      <c r="BB948" s="315"/>
      <c r="BC948" s="315"/>
      <c r="BD948" s="319"/>
      <c r="BE948" s="319"/>
      <c r="BF948" s="319"/>
      <c r="BG948" s="319"/>
      <c r="BH948" s="319"/>
      <c r="BI948" s="319"/>
      <c r="BJ948" s="319"/>
      <c r="BK948" s="315"/>
      <c r="BL948" s="316"/>
      <c r="BM948" s="314"/>
      <c r="BN948" s="319"/>
      <c r="BO948" s="315"/>
      <c r="BP948" s="314"/>
      <c r="BQ948" s="316"/>
      <c r="BR948" s="314"/>
      <c r="BS948" s="262"/>
      <c r="BT948" s="262"/>
    </row>
    <row r="949" spans="1:72" ht="45.75" customHeight="1">
      <c r="A949" s="342"/>
      <c r="B949" s="342"/>
      <c r="C949" s="342"/>
      <c r="D949" s="343"/>
      <c r="E949" s="342"/>
      <c r="F949" s="342"/>
      <c r="G949" s="344"/>
      <c r="H949" s="344"/>
      <c r="I949" s="344"/>
      <c r="J949" s="334"/>
      <c r="K949" s="335"/>
      <c r="L949" s="336"/>
      <c r="M949" s="336"/>
      <c r="N949" s="337"/>
      <c r="O949" s="337"/>
      <c r="P949" s="315"/>
      <c r="Q949" s="314"/>
      <c r="R949" s="317"/>
      <c r="S949" s="315"/>
      <c r="T949" s="315"/>
      <c r="U949" s="315"/>
      <c r="V949" s="258"/>
      <c r="W949" s="322"/>
      <c r="X949" s="318"/>
      <c r="Y949" s="315"/>
      <c r="Z949" s="318"/>
      <c r="AA949" s="314"/>
      <c r="AB949" s="336"/>
      <c r="AC949" s="314"/>
      <c r="AD949" s="316"/>
      <c r="AE949" s="315"/>
      <c r="AF949" s="315"/>
      <c r="AG949" s="315"/>
      <c r="AH949" s="315"/>
      <c r="AI949" s="377"/>
      <c r="AJ949" s="407"/>
      <c r="AK949" s="377"/>
      <c r="AL949" s="314"/>
      <c r="AM949" s="314"/>
      <c r="AN949" s="314"/>
      <c r="AO949" s="315"/>
      <c r="AP949" s="257"/>
      <c r="AQ949" s="257"/>
      <c r="AR949" s="257"/>
      <c r="AS949" s="315"/>
      <c r="AT949" s="257"/>
      <c r="AU949" s="257"/>
      <c r="AV949" s="316"/>
      <c r="AW949" s="314"/>
      <c r="AX949" s="315"/>
      <c r="AY949" s="315"/>
      <c r="AZ949" s="315"/>
      <c r="BA949" s="315"/>
      <c r="BB949" s="315"/>
      <c r="BC949" s="315"/>
      <c r="BD949" s="319"/>
      <c r="BE949" s="319"/>
      <c r="BF949" s="319"/>
      <c r="BG949" s="319"/>
      <c r="BH949" s="319"/>
      <c r="BI949" s="319"/>
      <c r="BJ949" s="319"/>
      <c r="BK949" s="315"/>
      <c r="BL949" s="316"/>
      <c r="BM949" s="314"/>
      <c r="BN949" s="319"/>
      <c r="BO949" s="315"/>
      <c r="BP949" s="314"/>
      <c r="BQ949" s="316"/>
      <c r="BR949" s="314"/>
      <c r="BS949" s="262"/>
      <c r="BT949" s="262"/>
    </row>
    <row r="950" spans="1:72" ht="45.75" customHeight="1">
      <c r="A950" s="342"/>
      <c r="B950" s="342"/>
      <c r="C950" s="342"/>
      <c r="D950" s="343"/>
      <c r="E950" s="342"/>
      <c r="F950" s="342"/>
      <c r="G950" s="344"/>
      <c r="H950" s="344"/>
      <c r="I950" s="344"/>
      <c r="J950" s="334"/>
      <c r="K950" s="335"/>
      <c r="L950" s="336"/>
      <c r="M950" s="336"/>
      <c r="N950" s="337"/>
      <c r="O950" s="337"/>
      <c r="P950" s="315"/>
      <c r="Q950" s="314"/>
      <c r="R950" s="317"/>
      <c r="S950" s="315"/>
      <c r="T950" s="315"/>
      <c r="U950" s="315"/>
      <c r="V950" s="258"/>
      <c r="W950" s="322"/>
      <c r="X950" s="318"/>
      <c r="Y950" s="315"/>
      <c r="Z950" s="318"/>
      <c r="AA950" s="314"/>
      <c r="AB950" s="336"/>
      <c r="AC950" s="314"/>
      <c r="AD950" s="316"/>
      <c r="AE950" s="315"/>
      <c r="AF950" s="315"/>
      <c r="AG950" s="315"/>
      <c r="AH950" s="315"/>
      <c r="AI950" s="377"/>
      <c r="AJ950" s="407"/>
      <c r="AK950" s="377"/>
      <c r="AL950" s="314"/>
      <c r="AM950" s="314"/>
      <c r="AN950" s="314"/>
      <c r="AO950" s="315"/>
      <c r="AP950" s="257"/>
      <c r="AQ950" s="257"/>
      <c r="AR950" s="257"/>
      <c r="AS950" s="315"/>
      <c r="AT950" s="257"/>
      <c r="AU950" s="257"/>
      <c r="AV950" s="316"/>
      <c r="AW950" s="314"/>
      <c r="AX950" s="315"/>
      <c r="AY950" s="315"/>
      <c r="AZ950" s="315"/>
      <c r="BA950" s="315"/>
      <c r="BB950" s="315"/>
      <c r="BC950" s="315"/>
      <c r="BD950" s="319"/>
      <c r="BE950" s="319"/>
      <c r="BF950" s="319"/>
      <c r="BG950" s="319"/>
      <c r="BH950" s="319"/>
      <c r="BI950" s="319"/>
      <c r="BJ950" s="319"/>
      <c r="BK950" s="315"/>
      <c r="BL950" s="316"/>
      <c r="BM950" s="314"/>
      <c r="BN950" s="319"/>
      <c r="BO950" s="315"/>
      <c r="BP950" s="314"/>
      <c r="BQ950" s="316"/>
      <c r="BR950" s="314"/>
      <c r="BS950" s="262"/>
      <c r="BT950" s="262"/>
    </row>
    <row r="951" spans="1:72" ht="45.75" customHeight="1">
      <c r="A951" s="342"/>
      <c r="B951" s="342"/>
      <c r="C951" s="342"/>
      <c r="D951" s="343"/>
      <c r="E951" s="342"/>
      <c r="F951" s="342"/>
      <c r="G951" s="344"/>
      <c r="H951" s="344"/>
      <c r="I951" s="344"/>
      <c r="J951" s="334"/>
      <c r="K951" s="335"/>
      <c r="L951" s="336"/>
      <c r="M951" s="336"/>
      <c r="N951" s="337"/>
      <c r="O951" s="337"/>
      <c r="P951" s="315"/>
      <c r="Q951" s="314"/>
      <c r="R951" s="317"/>
      <c r="S951" s="315"/>
      <c r="T951" s="315"/>
      <c r="U951" s="315"/>
      <c r="V951" s="258"/>
      <c r="W951" s="322"/>
      <c r="X951" s="318"/>
      <c r="Y951" s="315"/>
      <c r="Z951" s="318"/>
      <c r="AA951" s="314"/>
      <c r="AB951" s="336"/>
      <c r="AC951" s="314"/>
      <c r="AD951" s="316"/>
      <c r="AE951" s="315"/>
      <c r="AF951" s="315"/>
      <c r="AG951" s="315"/>
      <c r="AH951" s="315"/>
      <c r="AI951" s="377"/>
      <c r="AJ951" s="407"/>
      <c r="AK951" s="377"/>
      <c r="AL951" s="314"/>
      <c r="AM951" s="314"/>
      <c r="AN951" s="314"/>
      <c r="AO951" s="315"/>
      <c r="AP951" s="257"/>
      <c r="AQ951" s="257"/>
      <c r="AR951" s="257"/>
      <c r="AS951" s="315"/>
      <c r="AT951" s="257"/>
      <c r="AU951" s="257"/>
      <c r="AV951" s="316"/>
      <c r="AW951" s="314"/>
      <c r="AX951" s="315"/>
      <c r="AY951" s="315"/>
      <c r="AZ951" s="315"/>
      <c r="BA951" s="315"/>
      <c r="BB951" s="315"/>
      <c r="BC951" s="315"/>
      <c r="BD951" s="319"/>
      <c r="BE951" s="319"/>
      <c r="BF951" s="319"/>
      <c r="BG951" s="319"/>
      <c r="BH951" s="319"/>
      <c r="BI951" s="319"/>
      <c r="BJ951" s="319"/>
      <c r="BK951" s="315"/>
      <c r="BL951" s="316"/>
      <c r="BM951" s="314"/>
      <c r="BN951" s="319"/>
      <c r="BO951" s="315"/>
      <c r="BP951" s="314"/>
      <c r="BQ951" s="316"/>
      <c r="BR951" s="314"/>
      <c r="BS951" s="262"/>
      <c r="BT951" s="262"/>
    </row>
    <row r="952" spans="1:72" ht="45.75" customHeight="1">
      <c r="A952" s="342"/>
      <c r="B952" s="342"/>
      <c r="C952" s="342"/>
      <c r="D952" s="343"/>
      <c r="E952" s="342"/>
      <c r="F952" s="342"/>
      <c r="G952" s="344"/>
      <c r="H952" s="344"/>
      <c r="I952" s="344"/>
      <c r="J952" s="334"/>
      <c r="K952" s="335"/>
      <c r="L952" s="336"/>
      <c r="M952" s="336"/>
      <c r="N952" s="337"/>
      <c r="O952" s="337"/>
      <c r="P952" s="315"/>
      <c r="Q952" s="314"/>
      <c r="R952" s="317"/>
      <c r="S952" s="315"/>
      <c r="T952" s="315"/>
      <c r="U952" s="315"/>
      <c r="V952" s="258"/>
      <c r="W952" s="322"/>
      <c r="X952" s="318"/>
      <c r="Y952" s="315"/>
      <c r="Z952" s="318"/>
      <c r="AA952" s="314"/>
      <c r="AB952" s="336"/>
      <c r="AC952" s="314"/>
      <c r="AD952" s="316"/>
      <c r="AE952" s="315"/>
      <c r="AF952" s="315"/>
      <c r="AG952" s="315"/>
      <c r="AH952" s="315"/>
      <c r="AI952" s="377"/>
      <c r="AJ952" s="407"/>
      <c r="AK952" s="377"/>
      <c r="AL952" s="314"/>
      <c r="AM952" s="314"/>
      <c r="AN952" s="314"/>
      <c r="AO952" s="315"/>
      <c r="AP952" s="257"/>
      <c r="AQ952" s="257"/>
      <c r="AR952" s="257"/>
      <c r="AS952" s="315"/>
      <c r="AT952" s="257"/>
      <c r="AU952" s="257"/>
      <c r="AV952" s="316"/>
      <c r="AW952" s="314"/>
      <c r="AX952" s="315"/>
      <c r="AY952" s="315"/>
      <c r="AZ952" s="315"/>
      <c r="BA952" s="315"/>
      <c r="BB952" s="315"/>
      <c r="BC952" s="315"/>
      <c r="BD952" s="319"/>
      <c r="BE952" s="319"/>
      <c r="BF952" s="319"/>
      <c r="BG952" s="319"/>
      <c r="BH952" s="319"/>
      <c r="BI952" s="319"/>
      <c r="BJ952" s="319"/>
      <c r="BK952" s="315"/>
      <c r="BL952" s="316"/>
      <c r="BM952" s="314"/>
      <c r="BN952" s="319"/>
      <c r="BO952" s="315"/>
      <c r="BP952" s="314"/>
      <c r="BQ952" s="316"/>
      <c r="BR952" s="314"/>
      <c r="BS952" s="262"/>
      <c r="BT952" s="262"/>
    </row>
    <row r="953" spans="1:72" ht="45.75" customHeight="1">
      <c r="A953" s="342"/>
      <c r="B953" s="342"/>
      <c r="C953" s="342"/>
      <c r="D953" s="343"/>
      <c r="E953" s="342"/>
      <c r="F953" s="342"/>
      <c r="G953" s="344"/>
      <c r="H953" s="344"/>
      <c r="I953" s="344"/>
      <c r="J953" s="334"/>
      <c r="K953" s="335"/>
      <c r="L953" s="336"/>
      <c r="M953" s="336"/>
      <c r="N953" s="337"/>
      <c r="O953" s="337"/>
      <c r="P953" s="315"/>
      <c r="Q953" s="314"/>
      <c r="R953" s="317"/>
      <c r="S953" s="315"/>
      <c r="T953" s="315"/>
      <c r="U953" s="315"/>
      <c r="V953" s="258"/>
      <c r="W953" s="322"/>
      <c r="X953" s="318"/>
      <c r="Y953" s="315"/>
      <c r="Z953" s="318"/>
      <c r="AA953" s="314"/>
      <c r="AB953" s="336"/>
      <c r="AC953" s="314"/>
      <c r="AD953" s="316"/>
      <c r="AE953" s="315"/>
      <c r="AF953" s="315"/>
      <c r="AG953" s="315"/>
      <c r="AH953" s="315"/>
      <c r="AI953" s="377"/>
      <c r="AJ953" s="407"/>
      <c r="AK953" s="377"/>
      <c r="AL953" s="314"/>
      <c r="AM953" s="314"/>
      <c r="AN953" s="314"/>
      <c r="AO953" s="315"/>
      <c r="AP953" s="257"/>
      <c r="AQ953" s="257"/>
      <c r="AR953" s="257"/>
      <c r="AS953" s="315"/>
      <c r="AT953" s="257"/>
      <c r="AU953" s="257"/>
      <c r="AV953" s="316"/>
      <c r="AW953" s="314"/>
      <c r="AX953" s="315"/>
      <c r="AY953" s="315"/>
      <c r="AZ953" s="315"/>
      <c r="BA953" s="315"/>
      <c r="BB953" s="315"/>
      <c r="BC953" s="315"/>
      <c r="BD953" s="319"/>
      <c r="BE953" s="319"/>
      <c r="BF953" s="319"/>
      <c r="BG953" s="319"/>
      <c r="BH953" s="319"/>
      <c r="BI953" s="319"/>
      <c r="BJ953" s="319"/>
      <c r="BK953" s="315"/>
      <c r="BL953" s="316"/>
      <c r="BM953" s="314"/>
      <c r="BN953" s="319"/>
      <c r="BO953" s="315"/>
      <c r="BP953" s="314"/>
      <c r="BQ953" s="316"/>
      <c r="BR953" s="314"/>
      <c r="BS953" s="262"/>
      <c r="BT953" s="262"/>
    </row>
    <row r="954" spans="1:72" ht="45.75" customHeight="1">
      <c r="A954" s="342"/>
      <c r="B954" s="342"/>
      <c r="C954" s="342"/>
      <c r="D954" s="343"/>
      <c r="E954" s="342"/>
      <c r="F954" s="342"/>
      <c r="G954" s="344"/>
      <c r="H954" s="344"/>
      <c r="I954" s="344"/>
      <c r="J954" s="334"/>
      <c r="K954" s="335"/>
      <c r="L954" s="336"/>
      <c r="M954" s="336"/>
      <c r="N954" s="337"/>
      <c r="O954" s="337"/>
      <c r="P954" s="315"/>
      <c r="Q954" s="314"/>
      <c r="R954" s="317"/>
      <c r="S954" s="315"/>
      <c r="T954" s="315"/>
      <c r="U954" s="315"/>
      <c r="V954" s="258"/>
      <c r="W954" s="322"/>
      <c r="X954" s="318"/>
      <c r="Y954" s="315"/>
      <c r="Z954" s="318"/>
      <c r="AA954" s="314"/>
      <c r="AB954" s="336"/>
      <c r="AC954" s="314"/>
      <c r="AD954" s="316"/>
      <c r="AE954" s="315"/>
      <c r="AF954" s="315"/>
      <c r="AG954" s="315"/>
      <c r="AH954" s="315"/>
      <c r="AI954" s="377"/>
      <c r="AJ954" s="407"/>
      <c r="AK954" s="377"/>
      <c r="AL954" s="314"/>
      <c r="AM954" s="314"/>
      <c r="AN954" s="314"/>
      <c r="AO954" s="315"/>
      <c r="AP954" s="257"/>
      <c r="AQ954" s="257"/>
      <c r="AR954" s="257"/>
      <c r="AS954" s="315"/>
      <c r="AT954" s="257"/>
      <c r="AU954" s="257"/>
      <c r="AV954" s="316"/>
      <c r="AW954" s="314"/>
      <c r="AX954" s="315"/>
      <c r="AY954" s="315"/>
      <c r="AZ954" s="315"/>
      <c r="BA954" s="315"/>
      <c r="BB954" s="315"/>
      <c r="BC954" s="315"/>
      <c r="BD954" s="319"/>
      <c r="BE954" s="319"/>
      <c r="BF954" s="319"/>
      <c r="BG954" s="319"/>
      <c r="BH954" s="319"/>
      <c r="BI954" s="319"/>
      <c r="BJ954" s="319"/>
      <c r="BK954" s="315"/>
      <c r="BL954" s="316"/>
      <c r="BM954" s="314"/>
      <c r="BN954" s="319"/>
      <c r="BO954" s="315"/>
      <c r="BP954" s="314"/>
      <c r="BQ954" s="316"/>
      <c r="BR954" s="314"/>
      <c r="BS954" s="262"/>
      <c r="BT954" s="262"/>
    </row>
    <row r="955" spans="1:72" ht="45.75" customHeight="1">
      <c r="A955" s="342"/>
      <c r="B955" s="342"/>
      <c r="C955" s="342"/>
      <c r="D955" s="343"/>
      <c r="E955" s="342"/>
      <c r="F955" s="342"/>
      <c r="G955" s="344"/>
      <c r="H955" s="344"/>
      <c r="I955" s="344"/>
      <c r="J955" s="334"/>
      <c r="K955" s="335"/>
      <c r="L955" s="336"/>
      <c r="M955" s="336"/>
      <c r="N955" s="337"/>
      <c r="O955" s="337"/>
      <c r="P955" s="315"/>
      <c r="Q955" s="314"/>
      <c r="R955" s="317"/>
      <c r="S955" s="315"/>
      <c r="T955" s="315"/>
      <c r="U955" s="315"/>
      <c r="V955" s="258"/>
      <c r="W955" s="322"/>
      <c r="X955" s="318"/>
      <c r="Y955" s="315"/>
      <c r="Z955" s="318"/>
      <c r="AA955" s="314"/>
      <c r="AB955" s="336"/>
      <c r="AC955" s="314"/>
      <c r="AD955" s="316"/>
      <c r="AE955" s="315"/>
      <c r="AF955" s="315"/>
      <c r="AG955" s="315"/>
      <c r="AH955" s="315"/>
      <c r="AI955" s="377"/>
      <c r="AJ955" s="407"/>
      <c r="AK955" s="377"/>
      <c r="AL955" s="314"/>
      <c r="AM955" s="314"/>
      <c r="AN955" s="314"/>
      <c r="AO955" s="315"/>
      <c r="AP955" s="257"/>
      <c r="AQ955" s="257"/>
      <c r="AR955" s="257"/>
      <c r="AS955" s="315"/>
      <c r="AT955" s="257"/>
      <c r="AU955" s="257"/>
      <c r="AV955" s="316"/>
      <c r="AW955" s="314"/>
      <c r="AX955" s="315"/>
      <c r="AY955" s="315"/>
      <c r="AZ955" s="315"/>
      <c r="BA955" s="315"/>
      <c r="BB955" s="315"/>
      <c r="BC955" s="315"/>
      <c r="BD955" s="319"/>
      <c r="BE955" s="319"/>
      <c r="BF955" s="319"/>
      <c r="BG955" s="319"/>
      <c r="BH955" s="319"/>
      <c r="BI955" s="319"/>
      <c r="BJ955" s="319"/>
      <c r="BK955" s="315"/>
      <c r="BL955" s="316"/>
      <c r="BM955" s="314"/>
      <c r="BN955" s="319"/>
      <c r="BO955" s="315"/>
      <c r="BP955" s="314"/>
      <c r="BQ955" s="316"/>
      <c r="BR955" s="314"/>
      <c r="BS955" s="262"/>
      <c r="BT955" s="262"/>
    </row>
    <row r="956" spans="1:72" ht="45.75" customHeight="1">
      <c r="A956" s="342"/>
      <c r="B956" s="342"/>
      <c r="C956" s="342"/>
      <c r="D956" s="343"/>
      <c r="E956" s="342"/>
      <c r="F956" s="342"/>
      <c r="G956" s="344"/>
      <c r="H956" s="344"/>
      <c r="I956" s="344"/>
      <c r="J956" s="334"/>
      <c r="K956" s="335"/>
      <c r="L956" s="336"/>
      <c r="M956" s="336"/>
      <c r="N956" s="337"/>
      <c r="O956" s="337"/>
      <c r="P956" s="315"/>
      <c r="Q956" s="314"/>
      <c r="R956" s="317"/>
      <c r="S956" s="315"/>
      <c r="T956" s="315"/>
      <c r="U956" s="315"/>
      <c r="V956" s="258"/>
      <c r="W956" s="322"/>
      <c r="X956" s="318"/>
      <c r="Y956" s="315"/>
      <c r="Z956" s="318"/>
      <c r="AA956" s="314"/>
      <c r="AB956" s="336"/>
      <c r="AC956" s="314"/>
      <c r="AD956" s="316"/>
      <c r="AE956" s="315"/>
      <c r="AF956" s="315"/>
      <c r="AG956" s="315"/>
      <c r="AH956" s="315"/>
      <c r="AI956" s="377"/>
      <c r="AJ956" s="407"/>
      <c r="AK956" s="377"/>
      <c r="AL956" s="314"/>
      <c r="AM956" s="314"/>
      <c r="AN956" s="314"/>
      <c r="AO956" s="315"/>
      <c r="AP956" s="257"/>
      <c r="AQ956" s="257"/>
      <c r="AR956" s="257"/>
      <c r="AS956" s="315"/>
      <c r="AT956" s="257"/>
      <c r="AU956" s="257"/>
      <c r="AV956" s="316"/>
      <c r="AW956" s="314"/>
      <c r="AX956" s="315"/>
      <c r="AY956" s="315"/>
      <c r="AZ956" s="315"/>
      <c r="BA956" s="315"/>
      <c r="BB956" s="315"/>
      <c r="BC956" s="315"/>
      <c r="BD956" s="319"/>
      <c r="BE956" s="319"/>
      <c r="BF956" s="319"/>
      <c r="BG956" s="319"/>
      <c r="BH956" s="319"/>
      <c r="BI956" s="319"/>
      <c r="BJ956" s="319"/>
      <c r="BK956" s="315"/>
      <c r="BL956" s="316"/>
      <c r="BM956" s="314"/>
      <c r="BN956" s="319"/>
      <c r="BO956" s="315"/>
      <c r="BP956" s="314"/>
      <c r="BQ956" s="316"/>
      <c r="BR956" s="314"/>
      <c r="BS956" s="262"/>
      <c r="BT956" s="262"/>
    </row>
    <row r="957" spans="1:72" ht="45.75" customHeight="1">
      <c r="A957" s="342"/>
      <c r="B957" s="342"/>
      <c r="C957" s="342"/>
      <c r="D957" s="343"/>
      <c r="E957" s="342"/>
      <c r="F957" s="342"/>
      <c r="G957" s="344"/>
      <c r="H957" s="344"/>
      <c r="I957" s="344"/>
      <c r="J957" s="334"/>
      <c r="K957" s="335"/>
      <c r="L957" s="336"/>
      <c r="M957" s="336"/>
      <c r="N957" s="337"/>
      <c r="O957" s="337"/>
      <c r="P957" s="315"/>
      <c r="Q957" s="314"/>
      <c r="R957" s="317"/>
      <c r="S957" s="315"/>
      <c r="T957" s="315"/>
      <c r="U957" s="315"/>
      <c r="V957" s="258"/>
      <c r="W957" s="322"/>
      <c r="X957" s="318"/>
      <c r="Y957" s="315"/>
      <c r="Z957" s="318"/>
      <c r="AA957" s="314"/>
      <c r="AB957" s="336"/>
      <c r="AC957" s="314"/>
      <c r="AD957" s="316"/>
      <c r="AE957" s="315"/>
      <c r="AF957" s="315"/>
      <c r="AG957" s="315"/>
      <c r="AH957" s="315"/>
      <c r="AI957" s="377"/>
      <c r="AJ957" s="407"/>
      <c r="AK957" s="377"/>
      <c r="AL957" s="314"/>
      <c r="AM957" s="314"/>
      <c r="AN957" s="314"/>
      <c r="AO957" s="315"/>
      <c r="AP957" s="257"/>
      <c r="AQ957" s="257"/>
      <c r="AR957" s="257"/>
      <c r="AS957" s="315"/>
      <c r="AT957" s="257"/>
      <c r="AU957" s="257"/>
      <c r="AV957" s="316"/>
      <c r="AW957" s="314"/>
      <c r="AX957" s="315"/>
      <c r="AY957" s="315"/>
      <c r="AZ957" s="315"/>
      <c r="BA957" s="315"/>
      <c r="BB957" s="315"/>
      <c r="BC957" s="315"/>
      <c r="BD957" s="319"/>
      <c r="BE957" s="319"/>
      <c r="BF957" s="319"/>
      <c r="BG957" s="319"/>
      <c r="BH957" s="319"/>
      <c r="BI957" s="319"/>
      <c r="BJ957" s="319"/>
      <c r="BK957" s="315"/>
      <c r="BL957" s="316"/>
      <c r="BM957" s="314"/>
      <c r="BN957" s="319"/>
      <c r="BO957" s="315"/>
      <c r="BP957" s="314"/>
      <c r="BQ957" s="316"/>
      <c r="BR957" s="314"/>
      <c r="BS957" s="262"/>
      <c r="BT957" s="262"/>
    </row>
    <row r="958" spans="1:72" ht="45.75" customHeight="1">
      <c r="A958" s="342"/>
      <c r="B958" s="342"/>
      <c r="C958" s="342"/>
      <c r="D958" s="343"/>
      <c r="E958" s="342"/>
      <c r="F958" s="342"/>
      <c r="G958" s="344"/>
      <c r="H958" s="344"/>
      <c r="I958" s="344"/>
      <c r="J958" s="334"/>
      <c r="K958" s="335"/>
      <c r="L958" s="336"/>
      <c r="M958" s="336"/>
      <c r="N958" s="337"/>
      <c r="O958" s="337"/>
      <c r="P958" s="315"/>
      <c r="Q958" s="314"/>
      <c r="R958" s="317"/>
      <c r="S958" s="315"/>
      <c r="T958" s="315"/>
      <c r="U958" s="315"/>
      <c r="V958" s="258"/>
      <c r="W958" s="322"/>
      <c r="X958" s="318"/>
      <c r="Y958" s="315"/>
      <c r="Z958" s="318"/>
      <c r="AA958" s="314"/>
      <c r="AB958" s="336"/>
      <c r="AC958" s="314"/>
      <c r="AD958" s="316"/>
      <c r="AE958" s="315"/>
      <c r="AF958" s="315"/>
      <c r="AG958" s="315"/>
      <c r="AH958" s="315"/>
      <c r="AI958" s="377"/>
      <c r="AJ958" s="407"/>
      <c r="AK958" s="377"/>
      <c r="AL958" s="314"/>
      <c r="AM958" s="314"/>
      <c r="AN958" s="314"/>
      <c r="AO958" s="315"/>
      <c r="AP958" s="257"/>
      <c r="AQ958" s="257"/>
      <c r="AR958" s="257"/>
      <c r="AS958" s="315"/>
      <c r="AT958" s="257"/>
      <c r="AU958" s="257"/>
      <c r="AV958" s="316"/>
      <c r="AW958" s="314"/>
      <c r="AX958" s="315"/>
      <c r="AY958" s="315"/>
      <c r="AZ958" s="315"/>
      <c r="BA958" s="315"/>
      <c r="BB958" s="315"/>
      <c r="BC958" s="315"/>
      <c r="BD958" s="319"/>
      <c r="BE958" s="319"/>
      <c r="BF958" s="319"/>
      <c r="BG958" s="319"/>
      <c r="BH958" s="319"/>
      <c r="BI958" s="319"/>
      <c r="BJ958" s="319"/>
      <c r="BK958" s="315"/>
      <c r="BL958" s="316"/>
      <c r="BM958" s="314"/>
      <c r="BN958" s="319"/>
      <c r="BO958" s="315"/>
      <c r="BP958" s="314"/>
      <c r="BQ958" s="316"/>
      <c r="BR958" s="314"/>
      <c r="BS958" s="262"/>
      <c r="BT958" s="262"/>
    </row>
    <row r="959" spans="1:72" ht="45.75" customHeight="1">
      <c r="A959" s="342"/>
      <c r="B959" s="342"/>
      <c r="C959" s="342"/>
      <c r="D959" s="343"/>
      <c r="E959" s="342"/>
      <c r="F959" s="342"/>
      <c r="G959" s="344"/>
      <c r="H959" s="344"/>
      <c r="I959" s="344"/>
      <c r="J959" s="334"/>
      <c r="K959" s="335"/>
      <c r="L959" s="336"/>
      <c r="M959" s="336"/>
      <c r="N959" s="337"/>
      <c r="O959" s="337"/>
      <c r="P959" s="315"/>
      <c r="Q959" s="314"/>
      <c r="R959" s="317"/>
      <c r="S959" s="315"/>
      <c r="T959" s="315"/>
      <c r="U959" s="315"/>
      <c r="V959" s="258"/>
      <c r="W959" s="322"/>
      <c r="X959" s="318"/>
      <c r="Y959" s="315"/>
      <c r="Z959" s="318"/>
      <c r="AA959" s="314"/>
      <c r="AB959" s="336"/>
      <c r="AC959" s="314"/>
      <c r="AD959" s="316"/>
      <c r="AE959" s="315"/>
      <c r="AF959" s="315"/>
      <c r="AG959" s="315"/>
      <c r="AH959" s="315"/>
      <c r="AI959" s="377"/>
      <c r="AJ959" s="407"/>
      <c r="AK959" s="377"/>
      <c r="AL959" s="314"/>
      <c r="AM959" s="314"/>
      <c r="AN959" s="314"/>
      <c r="AO959" s="315"/>
      <c r="AP959" s="257"/>
      <c r="AQ959" s="257"/>
      <c r="AR959" s="257"/>
      <c r="AS959" s="315"/>
      <c r="AT959" s="257"/>
      <c r="AU959" s="257"/>
      <c r="AV959" s="316"/>
      <c r="AW959" s="314"/>
      <c r="AX959" s="315"/>
      <c r="AY959" s="315"/>
      <c r="AZ959" s="315"/>
      <c r="BA959" s="315"/>
      <c r="BB959" s="315"/>
      <c r="BC959" s="315"/>
      <c r="BD959" s="319"/>
      <c r="BE959" s="319"/>
      <c r="BF959" s="319"/>
      <c r="BG959" s="319"/>
      <c r="BH959" s="319"/>
      <c r="BI959" s="319"/>
      <c r="BJ959" s="319"/>
      <c r="BK959" s="315"/>
      <c r="BL959" s="316"/>
      <c r="BM959" s="314"/>
      <c r="BN959" s="319"/>
      <c r="BO959" s="315"/>
      <c r="BP959" s="314"/>
      <c r="BQ959" s="316"/>
      <c r="BR959" s="314"/>
      <c r="BS959" s="262"/>
      <c r="BT959" s="262"/>
    </row>
    <row r="960" spans="1:72" ht="45.75" customHeight="1">
      <c r="A960" s="342"/>
      <c r="B960" s="342"/>
      <c r="C960" s="342"/>
      <c r="D960" s="343"/>
      <c r="E960" s="342"/>
      <c r="F960" s="342"/>
      <c r="G960" s="344"/>
      <c r="H960" s="344"/>
      <c r="I960" s="344"/>
      <c r="J960" s="334"/>
      <c r="K960" s="335"/>
      <c r="L960" s="336"/>
      <c r="M960" s="336"/>
      <c r="N960" s="337"/>
      <c r="O960" s="337"/>
      <c r="P960" s="315"/>
      <c r="Q960" s="314"/>
      <c r="R960" s="317"/>
      <c r="S960" s="315"/>
      <c r="T960" s="315"/>
      <c r="U960" s="315"/>
      <c r="V960" s="258"/>
      <c r="W960" s="322"/>
      <c r="X960" s="318"/>
      <c r="Y960" s="315"/>
      <c r="Z960" s="318"/>
      <c r="AA960" s="314"/>
      <c r="AB960" s="336"/>
      <c r="AC960" s="314"/>
      <c r="AD960" s="316"/>
      <c r="AE960" s="315"/>
      <c r="AF960" s="315"/>
      <c r="AG960" s="315"/>
      <c r="AH960" s="315"/>
      <c r="AI960" s="377"/>
      <c r="AJ960" s="407"/>
      <c r="AK960" s="377"/>
      <c r="AL960" s="314"/>
      <c r="AM960" s="314"/>
      <c r="AN960" s="314"/>
      <c r="AO960" s="315"/>
      <c r="AP960" s="257"/>
      <c r="AQ960" s="257"/>
      <c r="AR960" s="257"/>
      <c r="AS960" s="315"/>
      <c r="AT960" s="257"/>
      <c r="AU960" s="257"/>
      <c r="AV960" s="316"/>
      <c r="AW960" s="314"/>
      <c r="AX960" s="315"/>
      <c r="AY960" s="315"/>
      <c r="AZ960" s="315"/>
      <c r="BA960" s="315"/>
      <c r="BB960" s="315"/>
      <c r="BC960" s="315"/>
      <c r="BD960" s="319"/>
      <c r="BE960" s="319"/>
      <c r="BF960" s="319"/>
      <c r="BG960" s="319"/>
      <c r="BH960" s="319"/>
      <c r="BI960" s="319"/>
      <c r="BJ960" s="319"/>
      <c r="BK960" s="315"/>
      <c r="BL960" s="316"/>
      <c r="BM960" s="314"/>
      <c r="BN960" s="319"/>
      <c r="BO960" s="315"/>
      <c r="BP960" s="314"/>
      <c r="BQ960" s="316"/>
      <c r="BR960" s="314"/>
      <c r="BS960" s="262"/>
      <c r="BT960" s="262"/>
    </row>
    <row r="961" spans="1:72" ht="45.75" customHeight="1">
      <c r="A961" s="342"/>
      <c r="B961" s="342"/>
      <c r="C961" s="342"/>
      <c r="D961" s="343"/>
      <c r="E961" s="342"/>
      <c r="F961" s="342"/>
      <c r="G961" s="344"/>
      <c r="H961" s="344"/>
      <c r="I961" s="344"/>
      <c r="J961" s="334"/>
      <c r="K961" s="335"/>
      <c r="L961" s="336"/>
      <c r="M961" s="336"/>
      <c r="N961" s="337"/>
      <c r="O961" s="337"/>
      <c r="P961" s="315"/>
      <c r="Q961" s="314"/>
      <c r="R961" s="317"/>
      <c r="S961" s="315"/>
      <c r="T961" s="315"/>
      <c r="U961" s="315"/>
      <c r="V961" s="258"/>
      <c r="W961" s="322"/>
      <c r="X961" s="318"/>
      <c r="Y961" s="315"/>
      <c r="Z961" s="318"/>
      <c r="AA961" s="314"/>
      <c r="AB961" s="336"/>
      <c r="AC961" s="314"/>
      <c r="AD961" s="316"/>
      <c r="AE961" s="315"/>
      <c r="AF961" s="315"/>
      <c r="AG961" s="315"/>
      <c r="AH961" s="315"/>
      <c r="AI961" s="377"/>
      <c r="AJ961" s="407"/>
      <c r="AK961" s="377"/>
      <c r="AL961" s="314"/>
      <c r="AM961" s="314"/>
      <c r="AN961" s="314"/>
      <c r="AO961" s="315"/>
      <c r="AP961" s="257"/>
      <c r="AQ961" s="257"/>
      <c r="AR961" s="257"/>
      <c r="AS961" s="315"/>
      <c r="AT961" s="257"/>
      <c r="AU961" s="257"/>
      <c r="AV961" s="316"/>
      <c r="AW961" s="314"/>
      <c r="AX961" s="315"/>
      <c r="AY961" s="315"/>
      <c r="AZ961" s="315"/>
      <c r="BA961" s="315"/>
      <c r="BB961" s="315"/>
      <c r="BC961" s="315"/>
      <c r="BD961" s="319"/>
      <c r="BE961" s="319"/>
      <c r="BF961" s="319"/>
      <c r="BG961" s="319"/>
      <c r="BH961" s="319"/>
      <c r="BI961" s="319"/>
      <c r="BJ961" s="319"/>
      <c r="BK961" s="315"/>
      <c r="BL961" s="316"/>
      <c r="BM961" s="314"/>
      <c r="BN961" s="319"/>
      <c r="BO961" s="315"/>
      <c r="BP961" s="314"/>
      <c r="BQ961" s="316"/>
      <c r="BR961" s="314"/>
      <c r="BS961" s="262"/>
      <c r="BT961" s="262"/>
    </row>
    <row r="962" spans="1:72" ht="45.75" customHeight="1">
      <c r="A962" s="342"/>
      <c r="B962" s="342"/>
      <c r="C962" s="342"/>
      <c r="D962" s="343"/>
      <c r="E962" s="342"/>
      <c r="F962" s="342"/>
      <c r="G962" s="344"/>
      <c r="H962" s="344"/>
      <c r="I962" s="344"/>
      <c r="J962" s="334"/>
      <c r="K962" s="335"/>
      <c r="L962" s="336"/>
      <c r="M962" s="336"/>
      <c r="N962" s="337"/>
      <c r="O962" s="337"/>
      <c r="P962" s="315"/>
      <c r="Q962" s="314"/>
      <c r="R962" s="317"/>
      <c r="S962" s="315"/>
      <c r="T962" s="315"/>
      <c r="U962" s="315"/>
      <c r="V962" s="258"/>
      <c r="W962" s="322"/>
      <c r="X962" s="318"/>
      <c r="Y962" s="315"/>
      <c r="Z962" s="318"/>
      <c r="AA962" s="314"/>
      <c r="AB962" s="336"/>
      <c r="AC962" s="314"/>
      <c r="AD962" s="316"/>
      <c r="AE962" s="315"/>
      <c r="AF962" s="315"/>
      <c r="AG962" s="315"/>
      <c r="AH962" s="315"/>
      <c r="AI962" s="377"/>
      <c r="AJ962" s="407"/>
      <c r="AK962" s="377"/>
      <c r="AL962" s="314"/>
      <c r="AM962" s="314"/>
      <c r="AN962" s="314"/>
      <c r="AO962" s="315"/>
      <c r="AP962" s="257"/>
      <c r="AQ962" s="257"/>
      <c r="AR962" s="257"/>
      <c r="AS962" s="315"/>
      <c r="AT962" s="257"/>
      <c r="AU962" s="257"/>
      <c r="AV962" s="316"/>
      <c r="AW962" s="314"/>
      <c r="AX962" s="315"/>
      <c r="AY962" s="315"/>
      <c r="AZ962" s="315"/>
      <c r="BA962" s="315"/>
      <c r="BB962" s="315"/>
      <c r="BC962" s="315"/>
      <c r="BD962" s="319"/>
      <c r="BE962" s="319"/>
      <c r="BF962" s="319"/>
      <c r="BG962" s="319"/>
      <c r="BH962" s="319"/>
      <c r="BI962" s="319"/>
      <c r="BJ962" s="319"/>
      <c r="BK962" s="315"/>
      <c r="BL962" s="316"/>
      <c r="BM962" s="314"/>
      <c r="BN962" s="319"/>
      <c r="BO962" s="315"/>
      <c r="BP962" s="314"/>
      <c r="BQ962" s="316"/>
      <c r="BR962" s="314"/>
      <c r="BS962" s="262"/>
      <c r="BT962" s="262"/>
    </row>
    <row r="963" spans="1:72" ht="45.75" customHeight="1">
      <c r="A963" s="342"/>
      <c r="B963" s="342"/>
      <c r="C963" s="342"/>
      <c r="D963" s="343"/>
      <c r="E963" s="342"/>
      <c r="F963" s="342"/>
      <c r="G963" s="344"/>
      <c r="H963" s="344"/>
      <c r="I963" s="344"/>
      <c r="J963" s="334"/>
      <c r="K963" s="335"/>
      <c r="L963" s="336"/>
      <c r="M963" s="336"/>
      <c r="N963" s="337"/>
      <c r="O963" s="337"/>
      <c r="P963" s="315"/>
      <c r="Q963" s="314"/>
      <c r="R963" s="317"/>
      <c r="S963" s="315"/>
      <c r="T963" s="315"/>
      <c r="U963" s="315"/>
      <c r="V963" s="258"/>
      <c r="W963" s="322"/>
      <c r="X963" s="318"/>
      <c r="Y963" s="315"/>
      <c r="Z963" s="318"/>
      <c r="AA963" s="314"/>
      <c r="AB963" s="336"/>
      <c r="AC963" s="314"/>
      <c r="AD963" s="316"/>
      <c r="AE963" s="315"/>
      <c r="AF963" s="315"/>
      <c r="AG963" s="315"/>
      <c r="AH963" s="315"/>
      <c r="AI963" s="377"/>
      <c r="AJ963" s="407"/>
      <c r="AK963" s="377"/>
      <c r="AL963" s="314"/>
      <c r="AM963" s="314"/>
      <c r="AN963" s="314"/>
      <c r="AO963" s="315"/>
      <c r="AP963" s="257"/>
      <c r="AQ963" s="257"/>
      <c r="AR963" s="257"/>
      <c r="AS963" s="315"/>
      <c r="AT963" s="257"/>
      <c r="AU963" s="257"/>
      <c r="AV963" s="316"/>
      <c r="AW963" s="314"/>
      <c r="AX963" s="315"/>
      <c r="AY963" s="315"/>
      <c r="AZ963" s="315"/>
      <c r="BA963" s="315"/>
      <c r="BB963" s="315"/>
      <c r="BC963" s="315"/>
      <c r="BD963" s="319"/>
      <c r="BE963" s="319"/>
      <c r="BF963" s="319"/>
      <c r="BG963" s="319"/>
      <c r="BH963" s="319"/>
      <c r="BI963" s="319"/>
      <c r="BJ963" s="319"/>
      <c r="BK963" s="315"/>
      <c r="BL963" s="316"/>
      <c r="BM963" s="314"/>
      <c r="BN963" s="319"/>
      <c r="BO963" s="315"/>
      <c r="BP963" s="314"/>
      <c r="BQ963" s="316"/>
      <c r="BR963" s="314"/>
      <c r="BS963" s="262"/>
      <c r="BT963" s="262"/>
    </row>
    <row r="964" spans="1:72" ht="45.75" customHeight="1">
      <c r="A964" s="342"/>
      <c r="B964" s="342"/>
      <c r="C964" s="342"/>
      <c r="D964" s="343"/>
      <c r="E964" s="342"/>
      <c r="F964" s="342"/>
      <c r="G964" s="344"/>
      <c r="H964" s="344"/>
      <c r="I964" s="344"/>
      <c r="J964" s="334"/>
      <c r="K964" s="335"/>
      <c r="L964" s="336"/>
      <c r="M964" s="336"/>
      <c r="N964" s="337"/>
      <c r="O964" s="337"/>
      <c r="P964" s="315"/>
      <c r="Q964" s="314"/>
      <c r="R964" s="317"/>
      <c r="S964" s="315"/>
      <c r="T964" s="315"/>
      <c r="U964" s="315"/>
      <c r="V964" s="258"/>
      <c r="W964" s="322"/>
      <c r="X964" s="318"/>
      <c r="Y964" s="315"/>
      <c r="Z964" s="318"/>
      <c r="AA964" s="314"/>
      <c r="AB964" s="336"/>
      <c r="AC964" s="314"/>
      <c r="AD964" s="316"/>
      <c r="AE964" s="315"/>
      <c r="AF964" s="315"/>
      <c r="AG964" s="315"/>
      <c r="AH964" s="315"/>
      <c r="AI964" s="377"/>
      <c r="AJ964" s="407"/>
      <c r="AK964" s="377"/>
      <c r="AL964" s="314"/>
      <c r="AM964" s="314"/>
      <c r="AN964" s="314"/>
      <c r="AO964" s="315"/>
      <c r="AP964" s="257"/>
      <c r="AQ964" s="257"/>
      <c r="AR964" s="257"/>
      <c r="AS964" s="315"/>
      <c r="AT964" s="257"/>
      <c r="AU964" s="257"/>
      <c r="AV964" s="316"/>
      <c r="AW964" s="314"/>
      <c r="AX964" s="315"/>
      <c r="AY964" s="315"/>
      <c r="AZ964" s="315"/>
      <c r="BA964" s="315"/>
      <c r="BB964" s="315"/>
      <c r="BC964" s="315"/>
      <c r="BD964" s="319"/>
      <c r="BE964" s="319"/>
      <c r="BF964" s="319"/>
      <c r="BG964" s="319"/>
      <c r="BH964" s="319"/>
      <c r="BI964" s="319"/>
      <c r="BJ964" s="319"/>
      <c r="BK964" s="315"/>
      <c r="BL964" s="316"/>
      <c r="BM964" s="314"/>
      <c r="BN964" s="319"/>
      <c r="BO964" s="315"/>
      <c r="BP964" s="314"/>
      <c r="BQ964" s="316"/>
      <c r="BR964" s="314"/>
      <c r="BS964" s="262"/>
      <c r="BT964" s="262"/>
    </row>
    <row r="965" spans="1:72" ht="45.75" customHeight="1">
      <c r="A965" s="342"/>
      <c r="B965" s="342"/>
      <c r="C965" s="342"/>
      <c r="D965" s="343"/>
      <c r="E965" s="342"/>
      <c r="F965" s="342"/>
      <c r="G965" s="344"/>
      <c r="H965" s="344"/>
      <c r="I965" s="344"/>
      <c r="J965" s="334"/>
      <c r="K965" s="335"/>
      <c r="L965" s="336"/>
      <c r="M965" s="336"/>
      <c r="N965" s="337"/>
      <c r="O965" s="337"/>
      <c r="P965" s="315"/>
      <c r="Q965" s="314"/>
      <c r="R965" s="317"/>
      <c r="S965" s="315"/>
      <c r="T965" s="315"/>
      <c r="U965" s="315"/>
      <c r="V965" s="258"/>
      <c r="W965" s="322"/>
      <c r="X965" s="318"/>
      <c r="Y965" s="315"/>
      <c r="Z965" s="318"/>
      <c r="AA965" s="314"/>
      <c r="AB965" s="336"/>
      <c r="AC965" s="314"/>
      <c r="AD965" s="316"/>
      <c r="AE965" s="315"/>
      <c r="AF965" s="315"/>
      <c r="AG965" s="315"/>
      <c r="AH965" s="315"/>
      <c r="AI965" s="377"/>
      <c r="AJ965" s="407"/>
      <c r="AK965" s="377"/>
      <c r="AL965" s="314"/>
      <c r="AM965" s="314"/>
      <c r="AN965" s="314"/>
      <c r="AO965" s="315"/>
      <c r="AP965" s="257"/>
      <c r="AQ965" s="257"/>
      <c r="AR965" s="257"/>
      <c r="AS965" s="315"/>
      <c r="AT965" s="257"/>
      <c r="AU965" s="257"/>
      <c r="AV965" s="316"/>
      <c r="AW965" s="314"/>
      <c r="AX965" s="315"/>
      <c r="AY965" s="315"/>
      <c r="AZ965" s="315"/>
      <c r="BA965" s="315"/>
      <c r="BB965" s="315"/>
      <c r="BC965" s="315"/>
      <c r="BD965" s="319"/>
      <c r="BE965" s="319"/>
      <c r="BF965" s="319"/>
      <c r="BG965" s="319"/>
      <c r="BH965" s="319"/>
      <c r="BI965" s="319"/>
      <c r="BJ965" s="319"/>
      <c r="BK965" s="315"/>
      <c r="BL965" s="316"/>
      <c r="BM965" s="314"/>
      <c r="BN965" s="319"/>
      <c r="BO965" s="315"/>
      <c r="BP965" s="314"/>
      <c r="BQ965" s="316"/>
      <c r="BR965" s="314"/>
      <c r="BS965" s="262"/>
      <c r="BT965" s="262"/>
    </row>
    <row r="966" spans="1:72" ht="45.75" customHeight="1">
      <c r="A966" s="342"/>
      <c r="B966" s="342"/>
      <c r="C966" s="342"/>
      <c r="D966" s="343"/>
      <c r="E966" s="342"/>
      <c r="F966" s="342"/>
      <c r="G966" s="344"/>
      <c r="H966" s="344"/>
      <c r="I966" s="344"/>
      <c r="J966" s="334"/>
      <c r="K966" s="335"/>
      <c r="L966" s="336"/>
      <c r="M966" s="336"/>
      <c r="N966" s="337"/>
      <c r="O966" s="337"/>
      <c r="P966" s="315"/>
      <c r="Q966" s="314"/>
      <c r="R966" s="317"/>
      <c r="S966" s="315"/>
      <c r="T966" s="315"/>
      <c r="U966" s="315"/>
      <c r="V966" s="258"/>
      <c r="W966" s="322"/>
      <c r="X966" s="318"/>
      <c r="Y966" s="315"/>
      <c r="Z966" s="318"/>
      <c r="AA966" s="314"/>
      <c r="AB966" s="336"/>
      <c r="AC966" s="314"/>
      <c r="AD966" s="316"/>
      <c r="AE966" s="315"/>
      <c r="AF966" s="315"/>
      <c r="AG966" s="315"/>
      <c r="AH966" s="315"/>
      <c r="AI966" s="377"/>
      <c r="AJ966" s="407"/>
      <c r="AK966" s="377"/>
      <c r="AL966" s="314"/>
      <c r="AM966" s="314"/>
      <c r="AN966" s="314"/>
      <c r="AO966" s="315"/>
      <c r="AP966" s="257"/>
      <c r="AQ966" s="257"/>
      <c r="AR966" s="257"/>
      <c r="AS966" s="315"/>
      <c r="AT966" s="257"/>
      <c r="AU966" s="257"/>
      <c r="AV966" s="316"/>
      <c r="AW966" s="314"/>
      <c r="AX966" s="315"/>
      <c r="AY966" s="315"/>
      <c r="AZ966" s="315"/>
      <c r="BA966" s="315"/>
      <c r="BB966" s="315"/>
      <c r="BC966" s="315"/>
      <c r="BD966" s="319"/>
      <c r="BE966" s="319"/>
      <c r="BF966" s="319"/>
      <c r="BG966" s="319"/>
      <c r="BH966" s="319"/>
      <c r="BI966" s="319"/>
      <c r="BJ966" s="319"/>
      <c r="BK966" s="315"/>
      <c r="BL966" s="316"/>
      <c r="BM966" s="314"/>
      <c r="BN966" s="319"/>
      <c r="BO966" s="315"/>
      <c r="BP966" s="314"/>
      <c r="BQ966" s="316"/>
      <c r="BR966" s="314"/>
      <c r="BS966" s="262"/>
      <c r="BT966" s="262"/>
    </row>
    <row r="967" spans="1:72" ht="45.75" customHeight="1">
      <c r="A967" s="342"/>
      <c r="B967" s="342"/>
      <c r="C967" s="342"/>
      <c r="D967" s="343"/>
      <c r="E967" s="342"/>
      <c r="F967" s="342"/>
      <c r="G967" s="344"/>
      <c r="H967" s="344"/>
      <c r="I967" s="344"/>
      <c r="J967" s="334"/>
      <c r="K967" s="335"/>
      <c r="L967" s="336"/>
      <c r="M967" s="336"/>
      <c r="N967" s="337"/>
      <c r="O967" s="337"/>
      <c r="P967" s="315"/>
      <c r="Q967" s="314"/>
      <c r="R967" s="317"/>
      <c r="S967" s="315"/>
      <c r="T967" s="315"/>
      <c r="U967" s="315"/>
      <c r="V967" s="258"/>
      <c r="W967" s="322"/>
      <c r="X967" s="318"/>
      <c r="Y967" s="315"/>
      <c r="Z967" s="318"/>
      <c r="AA967" s="314"/>
      <c r="AB967" s="336"/>
      <c r="AC967" s="314"/>
      <c r="AD967" s="316"/>
      <c r="AE967" s="315"/>
      <c r="AF967" s="315"/>
      <c r="AG967" s="315"/>
      <c r="AH967" s="315"/>
      <c r="AI967" s="377"/>
      <c r="AJ967" s="407"/>
      <c r="AK967" s="377"/>
      <c r="AL967" s="314"/>
      <c r="AM967" s="314"/>
      <c r="AN967" s="314"/>
      <c r="AO967" s="315"/>
      <c r="AP967" s="257"/>
      <c r="AQ967" s="257"/>
      <c r="AR967" s="257"/>
      <c r="AS967" s="315"/>
      <c r="AT967" s="257"/>
      <c r="AU967" s="257"/>
      <c r="AV967" s="316"/>
      <c r="AW967" s="314"/>
      <c r="AX967" s="315"/>
      <c r="AY967" s="315"/>
      <c r="AZ967" s="315"/>
      <c r="BA967" s="315"/>
      <c r="BB967" s="315"/>
      <c r="BC967" s="315"/>
      <c r="BD967" s="319"/>
      <c r="BE967" s="319"/>
      <c r="BF967" s="319"/>
      <c r="BG967" s="319"/>
      <c r="BH967" s="319"/>
      <c r="BI967" s="319"/>
      <c r="BJ967" s="319"/>
      <c r="BK967" s="315"/>
      <c r="BL967" s="316"/>
      <c r="BM967" s="314"/>
      <c r="BN967" s="319"/>
      <c r="BO967" s="315"/>
      <c r="BP967" s="314"/>
      <c r="BQ967" s="316"/>
      <c r="BR967" s="314"/>
      <c r="BS967" s="262"/>
      <c r="BT967" s="262"/>
    </row>
    <row r="968" spans="1:72" ht="45.75" customHeight="1">
      <c r="A968" s="342"/>
      <c r="B968" s="342"/>
      <c r="C968" s="342"/>
      <c r="D968" s="343"/>
      <c r="E968" s="342"/>
      <c r="F968" s="342"/>
      <c r="G968" s="344"/>
      <c r="H968" s="344"/>
      <c r="I968" s="344"/>
      <c r="J968" s="334"/>
      <c r="K968" s="335"/>
      <c r="L968" s="336"/>
      <c r="M968" s="336"/>
      <c r="N968" s="337"/>
      <c r="O968" s="337"/>
      <c r="P968" s="315"/>
      <c r="Q968" s="314"/>
      <c r="R968" s="317"/>
      <c r="S968" s="315"/>
      <c r="T968" s="315"/>
      <c r="U968" s="315"/>
      <c r="V968" s="258"/>
      <c r="W968" s="322"/>
      <c r="X968" s="318"/>
      <c r="Y968" s="315"/>
      <c r="Z968" s="318"/>
      <c r="AA968" s="314"/>
      <c r="AB968" s="336"/>
      <c r="AC968" s="314"/>
      <c r="AD968" s="316"/>
      <c r="AE968" s="315"/>
      <c r="AF968" s="315"/>
      <c r="AG968" s="315"/>
      <c r="AH968" s="315"/>
      <c r="AI968" s="377"/>
      <c r="AJ968" s="407"/>
      <c r="AK968" s="377"/>
      <c r="AL968" s="314"/>
      <c r="AM968" s="314"/>
      <c r="AN968" s="314"/>
      <c r="AO968" s="315"/>
      <c r="AP968" s="257"/>
      <c r="AQ968" s="257"/>
      <c r="AR968" s="257"/>
      <c r="AS968" s="315"/>
      <c r="AT968" s="257"/>
      <c r="AU968" s="257"/>
      <c r="AV968" s="316"/>
      <c r="AW968" s="314"/>
      <c r="AX968" s="315"/>
      <c r="AY968" s="315"/>
      <c r="AZ968" s="315"/>
      <c r="BA968" s="315"/>
      <c r="BB968" s="315"/>
      <c r="BC968" s="315"/>
      <c r="BD968" s="319"/>
      <c r="BE968" s="319"/>
      <c r="BF968" s="319"/>
      <c r="BG968" s="319"/>
      <c r="BH968" s="319"/>
      <c r="BI968" s="319"/>
      <c r="BJ968" s="319"/>
      <c r="BK968" s="315"/>
      <c r="BL968" s="316"/>
      <c r="BM968" s="314"/>
      <c r="BN968" s="319"/>
      <c r="BO968" s="315"/>
      <c r="BP968" s="314"/>
      <c r="BQ968" s="316"/>
      <c r="BR968" s="314"/>
      <c r="BS968" s="262"/>
      <c r="BT968" s="262"/>
    </row>
    <row r="969" spans="1:72" ht="45.75" customHeight="1">
      <c r="A969" s="342"/>
      <c r="B969" s="342"/>
      <c r="C969" s="342"/>
      <c r="D969" s="343"/>
      <c r="E969" s="342"/>
      <c r="F969" s="342"/>
      <c r="G969" s="344"/>
      <c r="H969" s="344"/>
      <c r="I969" s="344"/>
      <c r="J969" s="334"/>
      <c r="K969" s="335"/>
      <c r="L969" s="336"/>
      <c r="M969" s="336"/>
      <c r="N969" s="337"/>
      <c r="O969" s="337"/>
      <c r="P969" s="315"/>
      <c r="Q969" s="314"/>
      <c r="R969" s="317"/>
      <c r="S969" s="315"/>
      <c r="T969" s="315"/>
      <c r="U969" s="315"/>
      <c r="V969" s="258"/>
      <c r="W969" s="322"/>
      <c r="X969" s="318"/>
      <c r="Y969" s="315"/>
      <c r="Z969" s="318"/>
      <c r="AA969" s="314"/>
      <c r="AB969" s="336"/>
      <c r="AC969" s="314"/>
      <c r="AD969" s="316"/>
      <c r="AE969" s="315"/>
      <c r="AF969" s="315"/>
      <c r="AG969" s="315"/>
      <c r="AH969" s="315"/>
      <c r="AI969" s="377"/>
      <c r="AJ969" s="407"/>
      <c r="AK969" s="377"/>
      <c r="AL969" s="314"/>
      <c r="AM969" s="314"/>
      <c r="AN969" s="314"/>
      <c r="AO969" s="315"/>
      <c r="AP969" s="257"/>
      <c r="AQ969" s="257"/>
      <c r="AR969" s="257"/>
      <c r="AS969" s="315"/>
      <c r="AT969" s="257"/>
      <c r="AU969" s="257"/>
      <c r="AV969" s="316"/>
      <c r="AW969" s="314"/>
      <c r="AX969" s="315"/>
      <c r="AY969" s="315"/>
      <c r="AZ969" s="315"/>
      <c r="BA969" s="315"/>
      <c r="BB969" s="315"/>
      <c r="BC969" s="315"/>
      <c r="BD969" s="319"/>
      <c r="BE969" s="319"/>
      <c r="BF969" s="319"/>
      <c r="BG969" s="319"/>
      <c r="BH969" s="319"/>
      <c r="BI969" s="319"/>
      <c r="BJ969" s="319"/>
      <c r="BK969" s="315"/>
      <c r="BL969" s="316"/>
      <c r="BM969" s="314"/>
      <c r="BN969" s="319"/>
      <c r="BO969" s="315"/>
      <c r="BP969" s="314"/>
      <c r="BQ969" s="316"/>
      <c r="BR969" s="314"/>
      <c r="BS969" s="262"/>
      <c r="BT969" s="262"/>
    </row>
    <row r="970" spans="1:72" ht="45.75" customHeight="1">
      <c r="A970" s="342"/>
      <c r="B970" s="342"/>
      <c r="C970" s="342"/>
      <c r="D970" s="343"/>
      <c r="E970" s="342"/>
      <c r="F970" s="342"/>
      <c r="G970" s="344"/>
      <c r="H970" s="344"/>
      <c r="I970" s="344"/>
      <c r="J970" s="334"/>
      <c r="K970" s="335"/>
      <c r="L970" s="336"/>
      <c r="M970" s="336"/>
      <c r="N970" s="337"/>
      <c r="O970" s="337"/>
      <c r="P970" s="315"/>
      <c r="Q970" s="314"/>
      <c r="R970" s="317"/>
      <c r="S970" s="315"/>
      <c r="T970" s="315"/>
      <c r="U970" s="315"/>
      <c r="V970" s="258"/>
      <c r="W970" s="322"/>
      <c r="X970" s="318"/>
      <c r="Y970" s="315"/>
      <c r="Z970" s="318"/>
      <c r="AA970" s="314"/>
      <c r="AB970" s="336"/>
      <c r="AC970" s="314"/>
      <c r="AD970" s="316"/>
      <c r="AE970" s="315"/>
      <c r="AF970" s="315"/>
      <c r="AG970" s="315"/>
      <c r="AH970" s="315"/>
      <c r="AI970" s="377"/>
      <c r="AJ970" s="407"/>
      <c r="AK970" s="377"/>
      <c r="AL970" s="314"/>
      <c r="AM970" s="314"/>
      <c r="AN970" s="314"/>
      <c r="AO970" s="315"/>
      <c r="AP970" s="257"/>
      <c r="AQ970" s="257"/>
      <c r="AR970" s="257"/>
      <c r="AS970" s="315"/>
      <c r="AT970" s="257"/>
      <c r="AU970" s="257"/>
      <c r="AV970" s="316"/>
      <c r="AW970" s="314"/>
      <c r="AX970" s="315"/>
      <c r="AY970" s="315"/>
      <c r="AZ970" s="315"/>
      <c r="BA970" s="315"/>
      <c r="BB970" s="315"/>
      <c r="BC970" s="315"/>
      <c r="BD970" s="319"/>
      <c r="BE970" s="319"/>
      <c r="BF970" s="319"/>
      <c r="BG970" s="319"/>
      <c r="BH970" s="319"/>
      <c r="BI970" s="319"/>
      <c r="BJ970" s="319"/>
      <c r="BK970" s="315"/>
      <c r="BL970" s="316"/>
      <c r="BM970" s="314"/>
      <c r="BN970" s="319"/>
      <c r="BO970" s="315"/>
      <c r="BP970" s="314"/>
      <c r="BQ970" s="316"/>
      <c r="BR970" s="314"/>
      <c r="BS970" s="262"/>
      <c r="BT970" s="262"/>
    </row>
    <row r="971" spans="1:72" ht="45.75" customHeight="1">
      <c r="A971" s="342"/>
      <c r="B971" s="342"/>
      <c r="C971" s="342"/>
      <c r="D971" s="343"/>
      <c r="E971" s="342"/>
      <c r="F971" s="342"/>
      <c r="G971" s="344"/>
      <c r="H971" s="344"/>
      <c r="I971" s="344"/>
      <c r="J971" s="334"/>
      <c r="K971" s="335"/>
      <c r="L971" s="336"/>
      <c r="M971" s="336"/>
      <c r="N971" s="337"/>
      <c r="O971" s="337"/>
      <c r="P971" s="315"/>
      <c r="Q971" s="314"/>
      <c r="R971" s="317"/>
      <c r="S971" s="315"/>
      <c r="T971" s="315"/>
      <c r="U971" s="315"/>
      <c r="V971" s="258"/>
      <c r="W971" s="322"/>
      <c r="X971" s="318"/>
      <c r="Y971" s="315"/>
      <c r="Z971" s="318"/>
      <c r="AA971" s="314"/>
      <c r="AB971" s="336"/>
      <c r="AC971" s="314"/>
      <c r="AD971" s="316"/>
      <c r="AE971" s="315"/>
      <c r="AF971" s="315"/>
      <c r="AG971" s="315"/>
      <c r="AH971" s="315"/>
      <c r="AI971" s="377"/>
      <c r="AJ971" s="407"/>
      <c r="AK971" s="377"/>
      <c r="AL971" s="314"/>
      <c r="AM971" s="314"/>
      <c r="AN971" s="314"/>
      <c r="AO971" s="315"/>
      <c r="AP971" s="257"/>
      <c r="AQ971" s="257"/>
      <c r="AR971" s="257"/>
      <c r="AS971" s="315"/>
      <c r="AT971" s="257"/>
      <c r="AU971" s="257"/>
      <c r="AV971" s="316"/>
      <c r="AW971" s="314"/>
      <c r="AX971" s="315"/>
      <c r="AY971" s="315"/>
      <c r="AZ971" s="315"/>
      <c r="BA971" s="315"/>
      <c r="BB971" s="315"/>
      <c r="BC971" s="315"/>
      <c r="BD971" s="319"/>
      <c r="BE971" s="319"/>
      <c r="BF971" s="319"/>
      <c r="BG971" s="319"/>
      <c r="BH971" s="319"/>
      <c r="BI971" s="319"/>
      <c r="BJ971" s="319"/>
      <c r="BK971" s="315"/>
      <c r="BL971" s="316"/>
      <c r="BM971" s="314"/>
      <c r="BN971" s="319"/>
      <c r="BO971" s="315"/>
      <c r="BP971" s="314"/>
      <c r="BQ971" s="316"/>
      <c r="BR971" s="314"/>
      <c r="BS971" s="262"/>
      <c r="BT971" s="262"/>
    </row>
    <row r="972" spans="1:72" ht="45.75" customHeight="1">
      <c r="A972" s="342"/>
      <c r="B972" s="342"/>
      <c r="C972" s="342"/>
      <c r="D972" s="343"/>
      <c r="E972" s="342"/>
      <c r="F972" s="342"/>
      <c r="G972" s="344"/>
      <c r="H972" s="344"/>
      <c r="I972" s="344"/>
      <c r="J972" s="334"/>
      <c r="K972" s="335"/>
      <c r="L972" s="336"/>
      <c r="M972" s="336"/>
      <c r="N972" s="337"/>
      <c r="O972" s="337"/>
      <c r="P972" s="315"/>
      <c r="Q972" s="314"/>
      <c r="R972" s="317"/>
      <c r="S972" s="315"/>
      <c r="T972" s="315"/>
      <c r="U972" s="315"/>
      <c r="V972" s="258"/>
      <c r="W972" s="322"/>
      <c r="X972" s="318"/>
      <c r="Y972" s="315"/>
      <c r="Z972" s="318"/>
      <c r="AA972" s="314"/>
      <c r="AB972" s="336"/>
      <c r="AC972" s="314"/>
      <c r="AD972" s="316"/>
      <c r="AE972" s="315"/>
      <c r="AF972" s="315"/>
      <c r="AG972" s="315"/>
      <c r="AH972" s="315"/>
      <c r="AI972" s="377"/>
      <c r="AJ972" s="407"/>
      <c r="AK972" s="377"/>
      <c r="AL972" s="314"/>
      <c r="AM972" s="314"/>
      <c r="AN972" s="314"/>
      <c r="AO972" s="315"/>
      <c r="AP972" s="257"/>
      <c r="AQ972" s="257"/>
      <c r="AR972" s="257"/>
      <c r="AS972" s="315"/>
      <c r="AT972" s="257"/>
      <c r="AU972" s="257"/>
      <c r="AV972" s="316"/>
      <c r="AW972" s="314"/>
      <c r="AX972" s="315"/>
      <c r="AY972" s="315"/>
      <c r="AZ972" s="315"/>
      <c r="BA972" s="315"/>
      <c r="BB972" s="315"/>
      <c r="BC972" s="315"/>
      <c r="BD972" s="319"/>
      <c r="BE972" s="319"/>
      <c r="BF972" s="319"/>
      <c r="BG972" s="319"/>
      <c r="BH972" s="319"/>
      <c r="BI972" s="319"/>
      <c r="BJ972" s="319"/>
      <c r="BK972" s="315"/>
      <c r="BL972" s="316"/>
      <c r="BM972" s="314"/>
      <c r="BN972" s="319"/>
      <c r="BO972" s="315"/>
      <c r="BP972" s="314"/>
      <c r="BQ972" s="316"/>
      <c r="BR972" s="314"/>
      <c r="BS972" s="262"/>
      <c r="BT972" s="262"/>
    </row>
    <row r="973" spans="1:72" ht="45.75" customHeight="1">
      <c r="A973" s="342"/>
      <c r="B973" s="342"/>
      <c r="C973" s="342"/>
      <c r="D973" s="343"/>
      <c r="E973" s="342"/>
      <c r="F973" s="342"/>
      <c r="G973" s="344"/>
      <c r="H973" s="344"/>
      <c r="I973" s="344"/>
      <c r="J973" s="334"/>
      <c r="K973" s="335"/>
      <c r="L973" s="336"/>
      <c r="M973" s="336"/>
      <c r="N973" s="337"/>
      <c r="O973" s="337"/>
      <c r="P973" s="315"/>
      <c r="Q973" s="314"/>
      <c r="R973" s="317"/>
      <c r="S973" s="315"/>
      <c r="T973" s="315"/>
      <c r="U973" s="315"/>
      <c r="V973" s="258"/>
      <c r="W973" s="322"/>
      <c r="X973" s="318"/>
      <c r="Y973" s="315"/>
      <c r="Z973" s="318"/>
      <c r="AA973" s="314"/>
      <c r="AB973" s="336"/>
      <c r="AC973" s="314"/>
      <c r="AD973" s="316"/>
      <c r="AE973" s="315"/>
      <c r="AF973" s="315"/>
      <c r="AG973" s="315"/>
      <c r="AH973" s="315"/>
      <c r="AI973" s="377"/>
      <c r="AJ973" s="407"/>
      <c r="AK973" s="377"/>
      <c r="AL973" s="314"/>
      <c r="AM973" s="314"/>
      <c r="AN973" s="314"/>
      <c r="AO973" s="315"/>
      <c r="AP973" s="257"/>
      <c r="AQ973" s="257"/>
      <c r="AR973" s="257"/>
      <c r="AS973" s="315"/>
      <c r="AT973" s="257"/>
      <c r="AU973" s="257"/>
      <c r="AV973" s="316"/>
      <c r="AW973" s="314"/>
      <c r="AX973" s="315"/>
      <c r="AY973" s="315"/>
      <c r="AZ973" s="315"/>
      <c r="BA973" s="315"/>
      <c r="BB973" s="315"/>
      <c r="BC973" s="315"/>
      <c r="BD973" s="319"/>
      <c r="BE973" s="319"/>
      <c r="BF973" s="319"/>
      <c r="BG973" s="319"/>
      <c r="BH973" s="319"/>
      <c r="BI973" s="319"/>
      <c r="BJ973" s="319"/>
      <c r="BK973" s="315"/>
      <c r="BL973" s="316"/>
      <c r="BM973" s="314"/>
      <c r="BN973" s="319"/>
      <c r="BO973" s="315"/>
      <c r="BP973" s="314"/>
      <c r="BQ973" s="316"/>
      <c r="BR973" s="314"/>
      <c r="BS973" s="262"/>
      <c r="BT973" s="262"/>
    </row>
    <row r="974" spans="1:72" ht="45.75" customHeight="1">
      <c r="A974" s="342"/>
      <c r="B974" s="342"/>
      <c r="C974" s="342"/>
      <c r="D974" s="343"/>
      <c r="E974" s="342"/>
      <c r="F974" s="342"/>
      <c r="G974" s="344"/>
      <c r="H974" s="344"/>
      <c r="I974" s="344"/>
      <c r="J974" s="334"/>
      <c r="K974" s="335"/>
      <c r="L974" s="336"/>
      <c r="M974" s="336"/>
      <c r="N974" s="337"/>
      <c r="O974" s="337"/>
      <c r="P974" s="315"/>
      <c r="Q974" s="314"/>
      <c r="R974" s="317"/>
      <c r="S974" s="315"/>
      <c r="T974" s="315"/>
      <c r="U974" s="315"/>
      <c r="V974" s="258"/>
      <c r="W974" s="322"/>
      <c r="X974" s="318"/>
      <c r="Y974" s="315"/>
      <c r="Z974" s="318"/>
      <c r="AA974" s="314"/>
      <c r="AB974" s="336"/>
      <c r="AC974" s="314"/>
      <c r="AD974" s="316"/>
      <c r="AE974" s="315"/>
      <c r="AF974" s="315"/>
      <c r="AG974" s="315"/>
      <c r="AH974" s="315"/>
      <c r="AI974" s="377"/>
      <c r="AJ974" s="407"/>
      <c r="AK974" s="377"/>
      <c r="AL974" s="314"/>
      <c r="AM974" s="314"/>
      <c r="AN974" s="314"/>
      <c r="AO974" s="315"/>
      <c r="AP974" s="257"/>
      <c r="AQ974" s="257"/>
      <c r="AR974" s="257"/>
      <c r="AS974" s="315"/>
      <c r="AT974" s="257"/>
      <c r="AU974" s="257"/>
      <c r="AV974" s="316"/>
      <c r="AW974" s="314"/>
      <c r="AX974" s="315"/>
      <c r="AY974" s="315"/>
      <c r="AZ974" s="315"/>
      <c r="BA974" s="315"/>
      <c r="BB974" s="315"/>
      <c r="BC974" s="315"/>
      <c r="BD974" s="319"/>
      <c r="BE974" s="319"/>
      <c r="BF974" s="319"/>
      <c r="BG974" s="319"/>
      <c r="BH974" s="319"/>
      <c r="BI974" s="319"/>
      <c r="BJ974" s="319"/>
      <c r="BK974" s="315"/>
      <c r="BL974" s="316"/>
      <c r="BM974" s="314"/>
      <c r="BN974" s="319"/>
      <c r="BO974" s="315"/>
      <c r="BP974" s="314"/>
      <c r="BQ974" s="316"/>
      <c r="BR974" s="314"/>
      <c r="BS974" s="262"/>
      <c r="BT974" s="262"/>
    </row>
    <row r="975" spans="1:72" ht="45.75" customHeight="1">
      <c r="A975" s="342"/>
      <c r="B975" s="342"/>
      <c r="C975" s="342"/>
      <c r="D975" s="343"/>
      <c r="E975" s="342"/>
      <c r="F975" s="342"/>
      <c r="G975" s="344"/>
      <c r="H975" s="344"/>
      <c r="I975" s="344"/>
      <c r="J975" s="334"/>
      <c r="K975" s="335"/>
      <c r="L975" s="336"/>
      <c r="M975" s="336"/>
      <c r="N975" s="337"/>
      <c r="O975" s="337"/>
      <c r="P975" s="315"/>
      <c r="Q975" s="314"/>
      <c r="R975" s="317"/>
      <c r="S975" s="315"/>
      <c r="T975" s="315"/>
      <c r="U975" s="315"/>
      <c r="V975" s="258"/>
      <c r="W975" s="322"/>
      <c r="X975" s="318"/>
      <c r="Y975" s="315"/>
      <c r="Z975" s="318"/>
      <c r="AA975" s="314"/>
      <c r="AB975" s="336"/>
      <c r="AC975" s="314"/>
      <c r="AD975" s="316"/>
      <c r="AE975" s="315"/>
      <c r="AF975" s="315"/>
      <c r="AG975" s="315"/>
      <c r="AH975" s="315"/>
      <c r="AI975" s="377"/>
      <c r="AJ975" s="407"/>
      <c r="AK975" s="377"/>
      <c r="AL975" s="314"/>
      <c r="AM975" s="314"/>
      <c r="AN975" s="314"/>
      <c r="AO975" s="315"/>
      <c r="AP975" s="257"/>
      <c r="AQ975" s="257"/>
      <c r="AR975" s="257"/>
      <c r="AS975" s="315"/>
      <c r="AT975" s="257"/>
      <c r="AU975" s="257"/>
      <c r="AV975" s="316"/>
      <c r="AW975" s="314"/>
      <c r="AX975" s="315"/>
      <c r="AY975" s="315"/>
      <c r="AZ975" s="315"/>
      <c r="BA975" s="315"/>
      <c r="BB975" s="315"/>
      <c r="BC975" s="315"/>
      <c r="BD975" s="319"/>
      <c r="BE975" s="319"/>
      <c r="BF975" s="319"/>
      <c r="BG975" s="319"/>
      <c r="BH975" s="319"/>
      <c r="BI975" s="319"/>
      <c r="BJ975" s="319"/>
      <c r="BK975" s="315"/>
      <c r="BL975" s="316"/>
      <c r="BM975" s="314"/>
      <c r="BN975" s="319"/>
      <c r="BO975" s="315"/>
      <c r="BP975" s="314"/>
      <c r="BQ975" s="316"/>
      <c r="BR975" s="314"/>
      <c r="BS975" s="262"/>
      <c r="BT975" s="262"/>
    </row>
    <row r="976" spans="1:72" ht="45.75" customHeight="1">
      <c r="A976" s="342"/>
      <c r="B976" s="342"/>
      <c r="C976" s="342"/>
      <c r="D976" s="343"/>
      <c r="E976" s="342"/>
      <c r="F976" s="342"/>
      <c r="G976" s="344"/>
      <c r="H976" s="344"/>
      <c r="I976" s="344"/>
      <c r="J976" s="334"/>
      <c r="K976" s="335"/>
      <c r="L976" s="336"/>
      <c r="M976" s="336"/>
      <c r="N976" s="337"/>
      <c r="O976" s="337"/>
      <c r="P976" s="315"/>
      <c r="Q976" s="314"/>
      <c r="R976" s="317"/>
      <c r="S976" s="315"/>
      <c r="T976" s="315"/>
      <c r="U976" s="315"/>
      <c r="V976" s="258"/>
      <c r="W976" s="322"/>
      <c r="X976" s="318"/>
      <c r="Y976" s="315"/>
      <c r="Z976" s="318"/>
      <c r="AA976" s="314"/>
      <c r="AB976" s="336"/>
      <c r="AC976" s="314"/>
      <c r="AD976" s="316"/>
      <c r="AE976" s="315"/>
      <c r="AF976" s="315"/>
      <c r="AG976" s="315"/>
      <c r="AH976" s="315"/>
      <c r="AI976" s="377"/>
      <c r="AJ976" s="407"/>
      <c r="AK976" s="377"/>
      <c r="AL976" s="314"/>
      <c r="AM976" s="314"/>
      <c r="AN976" s="314"/>
      <c r="AO976" s="315"/>
      <c r="AP976" s="257"/>
      <c r="AQ976" s="257"/>
      <c r="AR976" s="257"/>
      <c r="AS976" s="315"/>
      <c r="AT976" s="257"/>
      <c r="AU976" s="257"/>
      <c r="AV976" s="316"/>
      <c r="AW976" s="314"/>
      <c r="AX976" s="315"/>
      <c r="AY976" s="315"/>
      <c r="AZ976" s="315"/>
      <c r="BA976" s="315"/>
      <c r="BB976" s="315"/>
      <c r="BC976" s="315"/>
      <c r="BD976" s="319"/>
      <c r="BE976" s="319"/>
      <c r="BF976" s="319"/>
      <c r="BG976" s="319"/>
      <c r="BH976" s="319"/>
      <c r="BI976" s="319"/>
      <c r="BJ976" s="319"/>
      <c r="BK976" s="315"/>
      <c r="BL976" s="316"/>
      <c r="BM976" s="314"/>
      <c r="BN976" s="319"/>
      <c r="BO976" s="315"/>
      <c r="BP976" s="314"/>
      <c r="BQ976" s="316"/>
      <c r="BR976" s="314"/>
      <c r="BS976" s="262"/>
      <c r="BT976" s="262"/>
    </row>
    <row r="977" spans="1:72" ht="45.75" customHeight="1">
      <c r="A977" s="342"/>
      <c r="B977" s="342"/>
      <c r="C977" s="342"/>
      <c r="D977" s="343"/>
      <c r="E977" s="342"/>
      <c r="F977" s="342"/>
      <c r="G977" s="344"/>
      <c r="H977" s="344"/>
      <c r="I977" s="344"/>
      <c r="J977" s="334"/>
      <c r="K977" s="335"/>
      <c r="L977" s="336"/>
      <c r="M977" s="336"/>
      <c r="N977" s="337"/>
      <c r="O977" s="337"/>
      <c r="P977" s="315"/>
      <c r="Q977" s="314"/>
      <c r="R977" s="317"/>
      <c r="S977" s="315"/>
      <c r="T977" s="315"/>
      <c r="U977" s="315"/>
      <c r="V977" s="258"/>
      <c r="W977" s="322"/>
      <c r="X977" s="318"/>
      <c r="Y977" s="315"/>
      <c r="Z977" s="318"/>
      <c r="AA977" s="314"/>
      <c r="AB977" s="336"/>
      <c r="AC977" s="314"/>
      <c r="AD977" s="316"/>
      <c r="AE977" s="315"/>
      <c r="AF977" s="315"/>
      <c r="AG977" s="315"/>
      <c r="AH977" s="315"/>
      <c r="AI977" s="377"/>
      <c r="AJ977" s="407"/>
      <c r="AK977" s="377"/>
      <c r="AL977" s="314"/>
      <c r="AM977" s="314"/>
      <c r="AN977" s="314"/>
      <c r="AO977" s="315"/>
      <c r="AP977" s="257"/>
      <c r="AQ977" s="257"/>
      <c r="AR977" s="257"/>
      <c r="AS977" s="315"/>
      <c r="AT977" s="257"/>
      <c r="AU977" s="257"/>
      <c r="AV977" s="316"/>
      <c r="AW977" s="314"/>
      <c r="AX977" s="315"/>
      <c r="AY977" s="315"/>
      <c r="AZ977" s="315"/>
      <c r="BA977" s="315"/>
      <c r="BB977" s="315"/>
      <c r="BC977" s="315"/>
      <c r="BD977" s="319"/>
      <c r="BE977" s="319"/>
      <c r="BF977" s="319"/>
      <c r="BG977" s="319"/>
      <c r="BH977" s="319"/>
      <c r="BI977" s="319"/>
      <c r="BJ977" s="319"/>
      <c r="BK977" s="315"/>
      <c r="BL977" s="316"/>
      <c r="BM977" s="314"/>
      <c r="BN977" s="319"/>
      <c r="BO977" s="315"/>
      <c r="BP977" s="314"/>
      <c r="BQ977" s="316"/>
      <c r="BR977" s="314"/>
      <c r="BS977" s="262"/>
      <c r="BT977" s="262"/>
    </row>
    <row r="978" spans="1:72" ht="45.75" customHeight="1">
      <c r="A978" s="342"/>
      <c r="B978" s="342"/>
      <c r="C978" s="342"/>
      <c r="D978" s="343"/>
      <c r="E978" s="342"/>
      <c r="F978" s="342"/>
      <c r="G978" s="344"/>
      <c r="H978" s="344"/>
      <c r="I978" s="344"/>
      <c r="J978" s="334"/>
      <c r="K978" s="335"/>
      <c r="L978" s="336"/>
      <c r="M978" s="336"/>
      <c r="N978" s="337"/>
      <c r="O978" s="337"/>
      <c r="P978" s="315"/>
      <c r="Q978" s="314"/>
      <c r="R978" s="317"/>
      <c r="S978" s="315"/>
      <c r="T978" s="315"/>
      <c r="U978" s="315"/>
      <c r="V978" s="258"/>
      <c r="W978" s="322"/>
      <c r="X978" s="318"/>
      <c r="Y978" s="315"/>
      <c r="Z978" s="318"/>
      <c r="AA978" s="314"/>
      <c r="AB978" s="336"/>
      <c r="AC978" s="314"/>
      <c r="AD978" s="316"/>
      <c r="AE978" s="315"/>
      <c r="AF978" s="315"/>
      <c r="AG978" s="315"/>
      <c r="AH978" s="315"/>
      <c r="AI978" s="377"/>
      <c r="AJ978" s="407"/>
      <c r="AK978" s="377"/>
      <c r="AL978" s="314"/>
      <c r="AM978" s="314"/>
      <c r="AN978" s="314"/>
      <c r="AO978" s="315"/>
      <c r="AP978" s="257"/>
      <c r="AQ978" s="257"/>
      <c r="AR978" s="257"/>
      <c r="AS978" s="315"/>
      <c r="AT978" s="257"/>
      <c r="AU978" s="257"/>
      <c r="AV978" s="316"/>
      <c r="AW978" s="314"/>
      <c r="AX978" s="315"/>
      <c r="AY978" s="315"/>
      <c r="AZ978" s="315"/>
      <c r="BA978" s="315"/>
      <c r="BB978" s="315"/>
      <c r="BC978" s="315"/>
      <c r="BD978" s="319"/>
      <c r="BE978" s="319"/>
      <c r="BF978" s="319"/>
      <c r="BG978" s="319"/>
      <c r="BH978" s="319"/>
      <c r="BI978" s="319"/>
      <c r="BJ978" s="319"/>
      <c r="BK978" s="315"/>
      <c r="BL978" s="316"/>
      <c r="BM978" s="314"/>
      <c r="BN978" s="319"/>
      <c r="BO978" s="315"/>
      <c r="BP978" s="314"/>
      <c r="BQ978" s="316"/>
      <c r="BR978" s="314"/>
      <c r="BS978" s="262"/>
      <c r="BT978" s="262"/>
    </row>
    <row r="979" spans="1:72" ht="45.75" customHeight="1">
      <c r="A979" s="342"/>
      <c r="B979" s="342"/>
      <c r="C979" s="342"/>
      <c r="D979" s="343"/>
      <c r="E979" s="342"/>
      <c r="F979" s="342"/>
      <c r="G979" s="344"/>
      <c r="H979" s="344"/>
      <c r="I979" s="344"/>
      <c r="J979" s="334"/>
      <c r="K979" s="335"/>
      <c r="L979" s="336"/>
      <c r="M979" s="336"/>
      <c r="N979" s="337"/>
      <c r="O979" s="337"/>
      <c r="P979" s="315"/>
      <c r="Q979" s="314"/>
      <c r="R979" s="317"/>
      <c r="S979" s="315"/>
      <c r="T979" s="315"/>
      <c r="U979" s="315"/>
      <c r="V979" s="258"/>
      <c r="W979" s="322"/>
      <c r="X979" s="318"/>
      <c r="Y979" s="315"/>
      <c r="Z979" s="318"/>
      <c r="AA979" s="314"/>
      <c r="AB979" s="336"/>
      <c r="AC979" s="314"/>
      <c r="AD979" s="316"/>
      <c r="AE979" s="315"/>
      <c r="AF979" s="315"/>
      <c r="AG979" s="315"/>
      <c r="AH979" s="315"/>
      <c r="AI979" s="377"/>
      <c r="AJ979" s="407"/>
      <c r="AK979" s="377"/>
      <c r="AL979" s="314"/>
      <c r="AM979" s="314"/>
      <c r="AN979" s="314"/>
      <c r="AO979" s="315"/>
      <c r="AP979" s="257"/>
      <c r="AQ979" s="257"/>
      <c r="AR979" s="257"/>
      <c r="AS979" s="315"/>
      <c r="AT979" s="257"/>
      <c r="AU979" s="257"/>
      <c r="AV979" s="316"/>
      <c r="AW979" s="314"/>
      <c r="AX979" s="315"/>
      <c r="AY979" s="315"/>
      <c r="AZ979" s="315"/>
      <c r="BA979" s="315"/>
      <c r="BB979" s="315"/>
      <c r="BC979" s="315"/>
      <c r="BD979" s="319"/>
      <c r="BE979" s="319"/>
      <c r="BF979" s="319"/>
      <c r="BG979" s="319"/>
      <c r="BH979" s="319"/>
      <c r="BI979" s="319"/>
      <c r="BJ979" s="319"/>
      <c r="BK979" s="315"/>
      <c r="BL979" s="316"/>
      <c r="BM979" s="314"/>
      <c r="BN979" s="319"/>
      <c r="BO979" s="315"/>
      <c r="BP979" s="314"/>
      <c r="BQ979" s="316"/>
      <c r="BR979" s="314"/>
      <c r="BS979" s="262"/>
      <c r="BT979" s="262"/>
    </row>
    <row r="980" spans="1:72" ht="45.75" customHeight="1">
      <c r="A980" s="342"/>
      <c r="B980" s="342"/>
      <c r="C980" s="342"/>
      <c r="D980" s="343"/>
      <c r="E980" s="342"/>
      <c r="F980" s="342"/>
      <c r="G980" s="344"/>
      <c r="H980" s="344"/>
      <c r="I980" s="344"/>
      <c r="J980" s="334"/>
      <c r="K980" s="335"/>
      <c r="L980" s="336"/>
      <c r="M980" s="336"/>
      <c r="N980" s="337"/>
      <c r="O980" s="337"/>
      <c r="P980" s="315"/>
      <c r="Q980" s="314"/>
      <c r="R980" s="317"/>
      <c r="S980" s="315"/>
      <c r="T980" s="315"/>
      <c r="U980" s="315"/>
      <c r="V980" s="258"/>
      <c r="W980" s="322"/>
      <c r="X980" s="318"/>
      <c r="Y980" s="315"/>
      <c r="Z980" s="318"/>
      <c r="AA980" s="314"/>
      <c r="AB980" s="336"/>
      <c r="AC980" s="314"/>
      <c r="AD980" s="316"/>
      <c r="AE980" s="315"/>
      <c r="AF980" s="315"/>
      <c r="AG980" s="315"/>
      <c r="AH980" s="315"/>
      <c r="AI980" s="377"/>
      <c r="AJ980" s="407"/>
      <c r="AK980" s="377"/>
      <c r="AL980" s="314"/>
      <c r="AM980" s="314"/>
      <c r="AN980" s="314"/>
      <c r="AO980" s="315"/>
      <c r="AP980" s="257"/>
      <c r="AQ980" s="257"/>
      <c r="AR980" s="257"/>
      <c r="AS980" s="315"/>
      <c r="AT980" s="257"/>
      <c r="AU980" s="257"/>
      <c r="AV980" s="316"/>
      <c r="AW980" s="314"/>
      <c r="AX980" s="315"/>
      <c r="AY980" s="315"/>
      <c r="AZ980" s="315"/>
      <c r="BA980" s="315"/>
      <c r="BB980" s="315"/>
      <c r="BC980" s="315"/>
      <c r="BD980" s="319"/>
      <c r="BE980" s="319"/>
      <c r="BF980" s="319"/>
      <c r="BG980" s="319"/>
      <c r="BH980" s="319"/>
      <c r="BI980" s="319"/>
      <c r="BJ980" s="319"/>
      <c r="BK980" s="315"/>
      <c r="BL980" s="316"/>
      <c r="BM980" s="314"/>
      <c r="BN980" s="319"/>
      <c r="BO980" s="315"/>
      <c r="BP980" s="314"/>
      <c r="BQ980" s="316"/>
      <c r="BR980" s="314"/>
      <c r="BS980" s="262"/>
      <c r="BT980" s="262"/>
    </row>
    <row r="981" spans="1:72" ht="45.75" customHeight="1">
      <c r="A981" s="342"/>
      <c r="B981" s="342"/>
      <c r="C981" s="342"/>
      <c r="D981" s="343"/>
      <c r="E981" s="342"/>
      <c r="F981" s="342"/>
      <c r="G981" s="344"/>
      <c r="H981" s="344"/>
      <c r="I981" s="344"/>
      <c r="J981" s="334"/>
      <c r="K981" s="335"/>
      <c r="L981" s="336"/>
      <c r="M981" s="336"/>
      <c r="N981" s="337"/>
      <c r="O981" s="337"/>
      <c r="P981" s="315"/>
      <c r="Q981" s="314"/>
      <c r="R981" s="317"/>
      <c r="S981" s="315"/>
      <c r="T981" s="315"/>
      <c r="U981" s="315"/>
      <c r="V981" s="258"/>
      <c r="W981" s="322"/>
      <c r="X981" s="318"/>
      <c r="Y981" s="315"/>
      <c r="Z981" s="318"/>
      <c r="AA981" s="314"/>
      <c r="AB981" s="336"/>
      <c r="AC981" s="314"/>
      <c r="AD981" s="316"/>
      <c r="AE981" s="315"/>
      <c r="AF981" s="315"/>
      <c r="AG981" s="315"/>
      <c r="AH981" s="315"/>
      <c r="AI981" s="377"/>
      <c r="AJ981" s="407"/>
      <c r="AK981" s="377"/>
      <c r="AL981" s="314"/>
      <c r="AM981" s="314"/>
      <c r="AN981" s="314"/>
      <c r="AO981" s="315"/>
      <c r="AP981" s="257"/>
      <c r="AQ981" s="257"/>
      <c r="AR981" s="257"/>
      <c r="AS981" s="315"/>
      <c r="AT981" s="257"/>
      <c r="AU981" s="257"/>
      <c r="AV981" s="316"/>
      <c r="AW981" s="314"/>
      <c r="AX981" s="315"/>
      <c r="AY981" s="315"/>
      <c r="AZ981" s="315"/>
      <c r="BA981" s="315"/>
      <c r="BB981" s="315"/>
      <c r="BC981" s="315"/>
      <c r="BD981" s="319"/>
      <c r="BE981" s="319"/>
      <c r="BF981" s="319"/>
      <c r="BG981" s="319"/>
      <c r="BH981" s="319"/>
      <c r="BI981" s="319"/>
      <c r="BJ981" s="319"/>
      <c r="BK981" s="315"/>
      <c r="BL981" s="316"/>
      <c r="BM981" s="314"/>
      <c r="BN981" s="319"/>
      <c r="BO981" s="315"/>
      <c r="BP981" s="314"/>
      <c r="BQ981" s="316"/>
      <c r="BR981" s="314"/>
      <c r="BS981" s="262"/>
      <c r="BT981" s="262"/>
    </row>
    <row r="982" spans="1:72" ht="45.75" customHeight="1">
      <c r="A982" s="342"/>
      <c r="B982" s="342"/>
      <c r="C982" s="342"/>
      <c r="D982" s="343"/>
      <c r="E982" s="342"/>
      <c r="F982" s="342"/>
      <c r="G982" s="344"/>
      <c r="H982" s="344"/>
      <c r="I982" s="344"/>
      <c r="J982" s="334"/>
      <c r="K982" s="335"/>
      <c r="L982" s="336"/>
      <c r="M982" s="336"/>
      <c r="N982" s="337"/>
      <c r="O982" s="337"/>
      <c r="P982" s="315"/>
      <c r="Q982" s="314"/>
      <c r="R982" s="317"/>
      <c r="S982" s="315"/>
      <c r="T982" s="315"/>
      <c r="U982" s="315"/>
      <c r="V982" s="258"/>
      <c r="W982" s="322"/>
      <c r="X982" s="318"/>
      <c r="Y982" s="315"/>
      <c r="Z982" s="318"/>
      <c r="AA982" s="314"/>
      <c r="AB982" s="336"/>
      <c r="AC982" s="314"/>
      <c r="AD982" s="316"/>
      <c r="AE982" s="315"/>
      <c r="AF982" s="315"/>
      <c r="AG982" s="315"/>
      <c r="AH982" s="315"/>
      <c r="AI982" s="377"/>
      <c r="AJ982" s="407"/>
      <c r="AK982" s="377"/>
      <c r="AL982" s="314"/>
      <c r="AM982" s="314"/>
      <c r="AN982" s="314"/>
      <c r="AO982" s="315"/>
      <c r="AP982" s="257"/>
      <c r="AQ982" s="257"/>
      <c r="AR982" s="257"/>
      <c r="AS982" s="315"/>
      <c r="AT982" s="257"/>
      <c r="AU982" s="257"/>
      <c r="AV982" s="316"/>
      <c r="AW982" s="314"/>
      <c r="AX982" s="315"/>
      <c r="AY982" s="315"/>
      <c r="AZ982" s="315"/>
      <c r="BA982" s="315"/>
      <c r="BB982" s="315"/>
      <c r="BC982" s="315"/>
      <c r="BD982" s="319"/>
      <c r="BE982" s="319"/>
      <c r="BF982" s="319"/>
      <c r="BG982" s="319"/>
      <c r="BH982" s="319"/>
      <c r="BI982" s="319"/>
      <c r="BJ982" s="319"/>
      <c r="BK982" s="315"/>
      <c r="BL982" s="316"/>
      <c r="BM982" s="314"/>
      <c r="BN982" s="319"/>
      <c r="BO982" s="315"/>
      <c r="BP982" s="314"/>
      <c r="BQ982" s="316"/>
      <c r="BR982" s="314"/>
      <c r="BS982" s="262"/>
      <c r="BT982" s="262"/>
    </row>
    <row r="983" spans="1:72" ht="45.75" customHeight="1">
      <c r="A983" s="342"/>
      <c r="B983" s="342"/>
      <c r="C983" s="342"/>
      <c r="D983" s="343"/>
      <c r="E983" s="342"/>
      <c r="F983" s="342"/>
      <c r="G983" s="344"/>
      <c r="H983" s="344"/>
      <c r="I983" s="344"/>
      <c r="J983" s="334"/>
      <c r="K983" s="335"/>
      <c r="L983" s="336"/>
      <c r="M983" s="336"/>
      <c r="N983" s="337"/>
      <c r="O983" s="337"/>
      <c r="P983" s="315"/>
      <c r="Q983" s="314"/>
      <c r="R983" s="317"/>
      <c r="S983" s="315"/>
      <c r="T983" s="315"/>
      <c r="U983" s="315"/>
      <c r="V983" s="258"/>
      <c r="W983" s="322"/>
      <c r="X983" s="318"/>
      <c r="Y983" s="315"/>
      <c r="Z983" s="318"/>
      <c r="AA983" s="314"/>
      <c r="AB983" s="336"/>
      <c r="AC983" s="314"/>
      <c r="AD983" s="316"/>
      <c r="AE983" s="315"/>
      <c r="AF983" s="315"/>
      <c r="AG983" s="315"/>
      <c r="AH983" s="315"/>
      <c r="AI983" s="377"/>
      <c r="AJ983" s="407"/>
      <c r="AK983" s="377"/>
      <c r="AL983" s="314"/>
      <c r="AM983" s="314"/>
      <c r="AN983" s="314"/>
      <c r="AO983" s="315"/>
      <c r="AP983" s="257"/>
      <c r="AQ983" s="257"/>
      <c r="AR983" s="257"/>
      <c r="AS983" s="315"/>
      <c r="AT983" s="257"/>
      <c r="AU983" s="257"/>
      <c r="AV983" s="316"/>
      <c r="AW983" s="314"/>
      <c r="AX983" s="315"/>
      <c r="AY983" s="315"/>
      <c r="AZ983" s="315"/>
      <c r="BA983" s="315"/>
      <c r="BB983" s="315"/>
      <c r="BC983" s="315"/>
      <c r="BD983" s="319"/>
      <c r="BE983" s="319"/>
      <c r="BF983" s="319"/>
      <c r="BG983" s="319"/>
      <c r="BH983" s="319"/>
      <c r="BI983" s="319"/>
      <c r="BJ983" s="319"/>
      <c r="BK983" s="315"/>
      <c r="BL983" s="316"/>
      <c r="BM983" s="314"/>
      <c r="BN983" s="319"/>
      <c r="BO983" s="315"/>
      <c r="BP983" s="314"/>
      <c r="BQ983" s="316"/>
      <c r="BR983" s="314"/>
      <c r="BS983" s="262"/>
      <c r="BT983" s="262"/>
    </row>
    <row r="984" spans="1:72" ht="45.75" customHeight="1">
      <c r="A984" s="342"/>
      <c r="B984" s="342"/>
      <c r="C984" s="342"/>
      <c r="D984" s="343"/>
      <c r="E984" s="342"/>
      <c r="F984" s="342"/>
      <c r="G984" s="344"/>
      <c r="H984" s="344"/>
      <c r="I984" s="344"/>
      <c r="J984" s="334"/>
      <c r="K984" s="335"/>
      <c r="L984" s="336"/>
      <c r="M984" s="336"/>
      <c r="N984" s="337"/>
      <c r="O984" s="337"/>
      <c r="P984" s="315"/>
      <c r="Q984" s="314"/>
      <c r="R984" s="317"/>
      <c r="S984" s="315"/>
      <c r="T984" s="315"/>
      <c r="U984" s="315"/>
      <c r="V984" s="258"/>
      <c r="W984" s="322"/>
      <c r="X984" s="318"/>
      <c r="Y984" s="315"/>
      <c r="Z984" s="318"/>
      <c r="AA984" s="314"/>
      <c r="AB984" s="336"/>
      <c r="AC984" s="314"/>
      <c r="AD984" s="316"/>
      <c r="AE984" s="315"/>
      <c r="AF984" s="315"/>
      <c r="AG984" s="315"/>
      <c r="AH984" s="315"/>
      <c r="AI984" s="377"/>
      <c r="AJ984" s="407"/>
      <c r="AK984" s="377"/>
      <c r="AL984" s="314"/>
      <c r="AM984" s="314"/>
      <c r="AN984" s="314"/>
      <c r="AO984" s="315"/>
      <c r="AP984" s="257"/>
      <c r="AQ984" s="257"/>
      <c r="AR984" s="257"/>
      <c r="AS984" s="315"/>
      <c r="AT984" s="257"/>
      <c r="AU984" s="257"/>
      <c r="AV984" s="316"/>
      <c r="AW984" s="314"/>
      <c r="AX984" s="315"/>
      <c r="AY984" s="315"/>
      <c r="AZ984" s="315"/>
      <c r="BA984" s="315"/>
      <c r="BB984" s="315"/>
      <c r="BC984" s="315"/>
      <c r="BD984" s="319"/>
      <c r="BE984" s="319"/>
      <c r="BF984" s="319"/>
      <c r="BG984" s="319"/>
      <c r="BH984" s="319"/>
      <c r="BI984" s="319"/>
      <c r="BJ984" s="319"/>
      <c r="BK984" s="315"/>
      <c r="BL984" s="316"/>
      <c r="BM984" s="314"/>
      <c r="BN984" s="319"/>
      <c r="BO984" s="315"/>
      <c r="BP984" s="314"/>
      <c r="BQ984" s="316"/>
      <c r="BR984" s="314"/>
      <c r="BS984" s="262"/>
      <c r="BT984" s="262"/>
    </row>
    <row r="985" spans="1:72" ht="45.75" customHeight="1">
      <c r="A985" s="342"/>
      <c r="B985" s="342"/>
      <c r="C985" s="342"/>
      <c r="D985" s="343"/>
      <c r="E985" s="342"/>
      <c r="F985" s="342"/>
      <c r="G985" s="344"/>
      <c r="H985" s="344"/>
      <c r="I985" s="344"/>
      <c r="J985" s="334"/>
      <c r="K985" s="335"/>
      <c r="L985" s="336"/>
      <c r="M985" s="336"/>
      <c r="N985" s="337"/>
      <c r="O985" s="337"/>
      <c r="P985" s="315"/>
      <c r="Q985" s="314"/>
      <c r="R985" s="317"/>
      <c r="S985" s="315"/>
      <c r="T985" s="315"/>
      <c r="U985" s="315"/>
      <c r="V985" s="258"/>
      <c r="W985" s="322"/>
      <c r="X985" s="318"/>
      <c r="Y985" s="315"/>
      <c r="Z985" s="318"/>
      <c r="AA985" s="314"/>
      <c r="AB985" s="336"/>
      <c r="AC985" s="314"/>
      <c r="AD985" s="316"/>
      <c r="AE985" s="315"/>
      <c r="AF985" s="315"/>
      <c r="AG985" s="315"/>
      <c r="AH985" s="315"/>
      <c r="AI985" s="377"/>
      <c r="AJ985" s="407"/>
      <c r="AK985" s="377"/>
      <c r="AL985" s="314"/>
      <c r="AM985" s="314"/>
      <c r="AN985" s="314"/>
      <c r="AO985" s="315"/>
      <c r="AP985" s="257"/>
      <c r="AQ985" s="257"/>
      <c r="AR985" s="257"/>
      <c r="AS985" s="315"/>
      <c r="AT985" s="257"/>
      <c r="AU985" s="257"/>
      <c r="AV985" s="316"/>
      <c r="AW985" s="314"/>
      <c r="AX985" s="315"/>
      <c r="AY985" s="315"/>
      <c r="AZ985" s="315"/>
      <c r="BA985" s="315"/>
      <c r="BB985" s="315"/>
      <c r="BC985" s="315"/>
      <c r="BD985" s="319"/>
      <c r="BE985" s="319"/>
      <c r="BF985" s="319"/>
      <c r="BG985" s="319"/>
      <c r="BH985" s="319"/>
      <c r="BI985" s="319"/>
      <c r="BJ985" s="319"/>
      <c r="BK985" s="315"/>
      <c r="BL985" s="316"/>
      <c r="BM985" s="314"/>
      <c r="BN985" s="319"/>
      <c r="BO985" s="315"/>
      <c r="BP985" s="314"/>
      <c r="BQ985" s="316"/>
      <c r="BR985" s="314"/>
      <c r="BS985" s="262"/>
      <c r="BT985" s="262"/>
    </row>
    <row r="986" spans="1:72" ht="45.75" customHeight="1">
      <c r="A986" s="342"/>
      <c r="B986" s="342"/>
      <c r="C986" s="342"/>
      <c r="D986" s="343"/>
      <c r="E986" s="342"/>
      <c r="F986" s="342"/>
      <c r="G986" s="344"/>
      <c r="H986" s="344"/>
      <c r="I986" s="344"/>
      <c r="J986" s="334"/>
      <c r="K986" s="335"/>
      <c r="L986" s="336"/>
      <c r="M986" s="336"/>
      <c r="N986" s="337"/>
      <c r="O986" s="337"/>
      <c r="P986" s="315"/>
      <c r="Q986" s="314"/>
      <c r="R986" s="317"/>
      <c r="S986" s="315"/>
      <c r="T986" s="315"/>
      <c r="U986" s="315"/>
      <c r="V986" s="258"/>
      <c r="W986" s="322"/>
      <c r="X986" s="318"/>
      <c r="Y986" s="315"/>
      <c r="Z986" s="318"/>
      <c r="AA986" s="314"/>
      <c r="AB986" s="336"/>
      <c r="AC986" s="314"/>
      <c r="AD986" s="316"/>
      <c r="AE986" s="315"/>
      <c r="AF986" s="315"/>
      <c r="AG986" s="315"/>
      <c r="AH986" s="315"/>
      <c r="AI986" s="377"/>
      <c r="AJ986" s="407"/>
      <c r="AK986" s="377"/>
      <c r="AL986" s="314"/>
      <c r="AM986" s="314"/>
      <c r="AN986" s="314"/>
      <c r="AO986" s="315"/>
      <c r="AP986" s="257"/>
      <c r="AQ986" s="257"/>
      <c r="AR986" s="257"/>
      <c r="AS986" s="315"/>
      <c r="AT986" s="257"/>
      <c r="AU986" s="257"/>
      <c r="AV986" s="316"/>
      <c r="AW986" s="314"/>
      <c r="AX986" s="315"/>
      <c r="AY986" s="315"/>
      <c r="AZ986" s="315"/>
      <c r="BA986" s="315"/>
      <c r="BB986" s="315"/>
      <c r="BC986" s="315"/>
      <c r="BD986" s="319"/>
      <c r="BE986" s="319"/>
      <c r="BF986" s="319"/>
      <c r="BG986" s="319"/>
      <c r="BH986" s="319"/>
      <c r="BI986" s="319"/>
      <c r="BJ986" s="319"/>
      <c r="BK986" s="315"/>
      <c r="BL986" s="316"/>
      <c r="BM986" s="314"/>
      <c r="BN986" s="319"/>
      <c r="BO986" s="315"/>
      <c r="BP986" s="314"/>
      <c r="BQ986" s="316"/>
      <c r="BR986" s="314"/>
      <c r="BS986" s="262"/>
      <c r="BT986" s="262"/>
    </row>
    <row r="987" spans="1:72" ht="45.75" customHeight="1">
      <c r="A987" s="342"/>
      <c r="B987" s="342"/>
      <c r="C987" s="342"/>
      <c r="D987" s="343"/>
      <c r="E987" s="342"/>
      <c r="F987" s="342"/>
      <c r="G987" s="344"/>
      <c r="H987" s="344"/>
      <c r="I987" s="344"/>
      <c r="J987" s="334"/>
      <c r="K987" s="335"/>
      <c r="L987" s="336"/>
      <c r="M987" s="336"/>
      <c r="N987" s="337"/>
      <c r="O987" s="337"/>
      <c r="P987" s="315"/>
      <c r="Q987" s="314"/>
      <c r="R987" s="317"/>
      <c r="S987" s="315"/>
      <c r="T987" s="315"/>
      <c r="U987" s="315"/>
      <c r="V987" s="258"/>
      <c r="W987" s="322"/>
      <c r="X987" s="318"/>
      <c r="Y987" s="315"/>
      <c r="Z987" s="318"/>
      <c r="AA987" s="314"/>
      <c r="AB987" s="336"/>
      <c r="AC987" s="314"/>
      <c r="AD987" s="316"/>
      <c r="AE987" s="315"/>
      <c r="AF987" s="315"/>
      <c r="AG987" s="315"/>
      <c r="AH987" s="315"/>
      <c r="AI987" s="377"/>
      <c r="AJ987" s="407"/>
      <c r="AK987" s="377"/>
      <c r="AL987" s="314"/>
      <c r="AM987" s="314"/>
      <c r="AN987" s="314"/>
      <c r="AO987" s="315"/>
      <c r="AP987" s="257"/>
      <c r="AQ987" s="257"/>
      <c r="AR987" s="257"/>
      <c r="AS987" s="315"/>
      <c r="AT987" s="257"/>
      <c r="AU987" s="257"/>
      <c r="AV987" s="316"/>
      <c r="AW987" s="314"/>
      <c r="AX987" s="315"/>
      <c r="AY987" s="315"/>
      <c r="AZ987" s="315"/>
      <c r="BA987" s="315"/>
      <c r="BB987" s="315"/>
      <c r="BC987" s="315"/>
      <c r="BD987" s="319"/>
      <c r="BE987" s="319"/>
      <c r="BF987" s="319"/>
      <c r="BG987" s="319"/>
      <c r="BH987" s="319"/>
      <c r="BI987" s="319"/>
      <c r="BJ987" s="319"/>
      <c r="BK987" s="315"/>
      <c r="BL987" s="316"/>
      <c r="BM987" s="314"/>
      <c r="BN987" s="319"/>
      <c r="BO987" s="315"/>
      <c r="BP987" s="314"/>
      <c r="BQ987" s="316"/>
      <c r="BR987" s="314"/>
      <c r="BS987" s="262"/>
      <c r="BT987" s="262"/>
    </row>
    <row r="988" spans="1:72" ht="45.75" customHeight="1">
      <c r="A988" s="342"/>
      <c r="B988" s="342"/>
      <c r="C988" s="342"/>
      <c r="D988" s="343"/>
      <c r="E988" s="342"/>
      <c r="F988" s="342"/>
      <c r="G988" s="344"/>
      <c r="H988" s="344"/>
      <c r="I988" s="344"/>
      <c r="J988" s="334"/>
      <c r="K988" s="335"/>
      <c r="L988" s="336"/>
      <c r="M988" s="336"/>
      <c r="N988" s="337"/>
      <c r="O988" s="337"/>
      <c r="P988" s="315"/>
      <c r="Q988" s="314"/>
      <c r="R988" s="317"/>
      <c r="S988" s="315"/>
      <c r="T988" s="315"/>
      <c r="U988" s="315"/>
      <c r="V988" s="258"/>
      <c r="W988" s="322"/>
      <c r="X988" s="318"/>
      <c r="Y988" s="315"/>
      <c r="Z988" s="318"/>
      <c r="AA988" s="314"/>
      <c r="AB988" s="336"/>
      <c r="AC988" s="314"/>
      <c r="AD988" s="316"/>
      <c r="AE988" s="315"/>
      <c r="AF988" s="315"/>
      <c r="AG988" s="315"/>
      <c r="AH988" s="315"/>
      <c r="AI988" s="377"/>
      <c r="AJ988" s="407"/>
      <c r="AK988" s="377"/>
      <c r="AL988" s="314"/>
      <c r="AM988" s="314"/>
      <c r="AN988" s="314"/>
      <c r="AO988" s="315"/>
      <c r="AP988" s="257"/>
      <c r="AQ988" s="257"/>
      <c r="AR988" s="257"/>
      <c r="AS988" s="315"/>
      <c r="AT988" s="257"/>
      <c r="AU988" s="257"/>
      <c r="AV988" s="316"/>
      <c r="AW988" s="314"/>
      <c r="AX988" s="315"/>
      <c r="AY988" s="315"/>
      <c r="AZ988" s="315"/>
      <c r="BA988" s="315"/>
      <c r="BB988" s="315"/>
      <c r="BC988" s="315"/>
      <c r="BD988" s="319"/>
      <c r="BE988" s="319"/>
      <c r="BF988" s="319"/>
      <c r="BG988" s="319"/>
      <c r="BH988" s="319"/>
      <c r="BI988" s="319"/>
      <c r="BJ988" s="319"/>
      <c r="BK988" s="315"/>
      <c r="BL988" s="316"/>
      <c r="BM988" s="314"/>
      <c r="BN988" s="319"/>
      <c r="BO988" s="315"/>
      <c r="BP988" s="314"/>
      <c r="BQ988" s="316"/>
      <c r="BR988" s="314"/>
      <c r="BS988" s="262"/>
      <c r="BT988" s="262"/>
    </row>
    <row r="989" spans="1:72" ht="45.75" customHeight="1">
      <c r="A989" s="342"/>
      <c r="B989" s="342"/>
      <c r="C989" s="342"/>
      <c r="D989" s="343"/>
      <c r="E989" s="342"/>
      <c r="F989" s="342"/>
      <c r="G989" s="344"/>
      <c r="H989" s="344"/>
      <c r="I989" s="344"/>
      <c r="J989" s="334"/>
      <c r="K989" s="335"/>
      <c r="L989" s="336"/>
      <c r="M989" s="336"/>
      <c r="N989" s="337"/>
      <c r="O989" s="337"/>
      <c r="P989" s="315"/>
      <c r="Q989" s="314"/>
      <c r="R989" s="317"/>
      <c r="S989" s="315"/>
      <c r="T989" s="315"/>
      <c r="U989" s="315"/>
      <c r="V989" s="258"/>
      <c r="W989" s="322"/>
      <c r="X989" s="318"/>
      <c r="Y989" s="315"/>
      <c r="Z989" s="318"/>
      <c r="AA989" s="314"/>
      <c r="AB989" s="336"/>
      <c r="AC989" s="314"/>
      <c r="AD989" s="316"/>
      <c r="AE989" s="315"/>
      <c r="AF989" s="315"/>
      <c r="AG989" s="315"/>
      <c r="AH989" s="315"/>
      <c r="AI989" s="377"/>
      <c r="AJ989" s="407"/>
      <c r="AK989" s="377"/>
      <c r="AL989" s="314"/>
      <c r="AM989" s="314"/>
      <c r="AN989" s="314"/>
      <c r="AO989" s="315"/>
      <c r="AP989" s="257"/>
      <c r="AQ989" s="257"/>
      <c r="AR989" s="257"/>
      <c r="AS989" s="315"/>
      <c r="AT989" s="257"/>
      <c r="AU989" s="257"/>
      <c r="AV989" s="316"/>
      <c r="AW989" s="314"/>
      <c r="AX989" s="315"/>
      <c r="AY989" s="315"/>
      <c r="AZ989" s="315"/>
      <c r="BA989" s="315"/>
      <c r="BB989" s="315"/>
      <c r="BC989" s="315"/>
      <c r="BD989" s="319"/>
      <c r="BE989" s="319"/>
      <c r="BF989" s="319"/>
      <c r="BG989" s="319"/>
      <c r="BH989" s="319"/>
      <c r="BI989" s="319"/>
      <c r="BJ989" s="319"/>
      <c r="BK989" s="315"/>
      <c r="BL989" s="316"/>
      <c r="BM989" s="314"/>
      <c r="BN989" s="319"/>
      <c r="BO989" s="315"/>
      <c r="BP989" s="314"/>
      <c r="BQ989" s="316"/>
      <c r="BR989" s="314"/>
      <c r="BS989" s="262"/>
      <c r="BT989" s="262"/>
    </row>
    <row r="990" spans="1:72" ht="45.75" customHeight="1">
      <c r="A990" s="342"/>
      <c r="B990" s="342"/>
      <c r="C990" s="342"/>
      <c r="D990" s="343"/>
      <c r="E990" s="342"/>
      <c r="F990" s="342"/>
      <c r="G990" s="344"/>
      <c r="H990" s="344"/>
      <c r="I990" s="344"/>
      <c r="J990" s="334"/>
      <c r="K990" s="335"/>
      <c r="L990" s="336"/>
      <c r="M990" s="336"/>
      <c r="N990" s="337"/>
      <c r="O990" s="337"/>
      <c r="P990" s="315"/>
      <c r="Q990" s="314"/>
      <c r="R990" s="317"/>
      <c r="S990" s="315"/>
      <c r="T990" s="315"/>
      <c r="U990" s="315"/>
      <c r="V990" s="258"/>
      <c r="W990" s="322"/>
      <c r="X990" s="318"/>
      <c r="Y990" s="315"/>
      <c r="Z990" s="318"/>
      <c r="AA990" s="314"/>
      <c r="AB990" s="336"/>
      <c r="AC990" s="314"/>
      <c r="AD990" s="316"/>
      <c r="AE990" s="315"/>
      <c r="AF990" s="315"/>
      <c r="AG990" s="315"/>
      <c r="AH990" s="315"/>
      <c r="AI990" s="377"/>
      <c r="AJ990" s="407"/>
      <c r="AK990" s="377"/>
      <c r="AL990" s="314"/>
      <c r="AM990" s="314"/>
      <c r="AN990" s="314"/>
      <c r="AO990" s="315"/>
      <c r="AP990" s="257"/>
      <c r="AQ990" s="257"/>
      <c r="AR990" s="257"/>
      <c r="AS990" s="315"/>
      <c r="AT990" s="257"/>
      <c r="AU990" s="257"/>
      <c r="AV990" s="316"/>
      <c r="AW990" s="314"/>
      <c r="AX990" s="315"/>
      <c r="AY990" s="315"/>
      <c r="AZ990" s="315"/>
      <c r="BA990" s="315"/>
      <c r="BB990" s="315"/>
      <c r="BC990" s="315"/>
      <c r="BD990" s="319"/>
      <c r="BE990" s="319"/>
      <c r="BF990" s="319"/>
      <c r="BG990" s="319"/>
      <c r="BH990" s="319"/>
      <c r="BI990" s="319"/>
      <c r="BJ990" s="319"/>
      <c r="BK990" s="315"/>
      <c r="BL990" s="316"/>
      <c r="BM990" s="314"/>
      <c r="BN990" s="319"/>
      <c r="BO990" s="315"/>
      <c r="BP990" s="314"/>
      <c r="BQ990" s="316"/>
      <c r="BR990" s="314"/>
      <c r="BS990" s="262"/>
      <c r="BT990" s="262"/>
    </row>
    <row r="991" spans="1:72" ht="45.75" customHeight="1">
      <c r="A991" s="342"/>
      <c r="B991" s="342"/>
      <c r="C991" s="342"/>
      <c r="D991" s="343"/>
      <c r="E991" s="342"/>
      <c r="F991" s="342"/>
      <c r="G991" s="344"/>
      <c r="H991" s="344"/>
      <c r="I991" s="344"/>
      <c r="J991" s="334"/>
      <c r="K991" s="335"/>
      <c r="L991" s="336"/>
      <c r="M991" s="336"/>
      <c r="N991" s="337"/>
      <c r="O991" s="337"/>
      <c r="P991" s="315"/>
      <c r="Q991" s="314"/>
      <c r="R991" s="317"/>
      <c r="S991" s="315"/>
      <c r="T991" s="315"/>
      <c r="U991" s="315"/>
      <c r="V991" s="258"/>
      <c r="W991" s="322"/>
      <c r="X991" s="318"/>
      <c r="Y991" s="315"/>
      <c r="Z991" s="318"/>
      <c r="AA991" s="314"/>
      <c r="AB991" s="336"/>
      <c r="AC991" s="314"/>
      <c r="AD991" s="316"/>
      <c r="AE991" s="315"/>
      <c r="AF991" s="315"/>
      <c r="AG991" s="315"/>
      <c r="AH991" s="315"/>
      <c r="AI991" s="377"/>
      <c r="AJ991" s="407"/>
      <c r="AK991" s="377"/>
      <c r="AL991" s="314"/>
      <c r="AM991" s="314"/>
      <c r="AN991" s="314"/>
      <c r="AO991" s="315"/>
      <c r="AP991" s="257"/>
      <c r="AQ991" s="257"/>
      <c r="AR991" s="257"/>
      <c r="AS991" s="315"/>
      <c r="AT991" s="257"/>
      <c r="AU991" s="257"/>
      <c r="AV991" s="316"/>
      <c r="AW991" s="314"/>
      <c r="AX991" s="315"/>
      <c r="AY991" s="315"/>
      <c r="AZ991" s="315"/>
      <c r="BA991" s="315"/>
      <c r="BB991" s="315"/>
      <c r="BC991" s="315"/>
      <c r="BD991" s="319"/>
      <c r="BE991" s="319"/>
      <c r="BF991" s="319"/>
      <c r="BG991" s="319"/>
      <c r="BH991" s="319"/>
      <c r="BI991" s="319"/>
      <c r="BJ991" s="319"/>
      <c r="BK991" s="315"/>
      <c r="BL991" s="316"/>
      <c r="BM991" s="314"/>
      <c r="BN991" s="319"/>
      <c r="BO991" s="315"/>
      <c r="BP991" s="314"/>
      <c r="BQ991" s="316"/>
      <c r="BR991" s="314"/>
      <c r="BS991" s="262"/>
      <c r="BT991" s="262"/>
    </row>
    <row r="992" spans="1:72" ht="45.75" customHeight="1">
      <c r="A992" s="342"/>
      <c r="B992" s="342"/>
      <c r="C992" s="342"/>
      <c r="D992" s="343"/>
      <c r="E992" s="342"/>
      <c r="F992" s="342"/>
      <c r="G992" s="344"/>
      <c r="H992" s="344"/>
      <c r="I992" s="344"/>
      <c r="J992" s="334"/>
      <c r="K992" s="335"/>
      <c r="L992" s="336"/>
      <c r="M992" s="336"/>
      <c r="N992" s="337"/>
      <c r="O992" s="337"/>
      <c r="P992" s="315"/>
      <c r="Q992" s="314"/>
      <c r="R992" s="317"/>
      <c r="S992" s="315"/>
      <c r="T992" s="315"/>
      <c r="U992" s="315"/>
      <c r="V992" s="258"/>
      <c r="W992" s="322"/>
      <c r="X992" s="318"/>
      <c r="Y992" s="315"/>
      <c r="Z992" s="318"/>
      <c r="AA992" s="314"/>
      <c r="AB992" s="336"/>
      <c r="AC992" s="314"/>
      <c r="AD992" s="316"/>
      <c r="AE992" s="315"/>
      <c r="AF992" s="315"/>
      <c r="AG992" s="315"/>
      <c r="AH992" s="315"/>
      <c r="AI992" s="377"/>
      <c r="AJ992" s="407"/>
      <c r="AK992" s="377"/>
      <c r="AL992" s="314"/>
      <c r="AM992" s="314"/>
      <c r="AN992" s="314"/>
      <c r="AO992" s="315"/>
      <c r="AP992" s="257"/>
      <c r="AQ992" s="257"/>
      <c r="AR992" s="257"/>
      <c r="AS992" s="315"/>
      <c r="AT992" s="257"/>
      <c r="AU992" s="257"/>
      <c r="AV992" s="316"/>
      <c r="AW992" s="314"/>
      <c r="AX992" s="315"/>
      <c r="AY992" s="315"/>
      <c r="AZ992" s="315"/>
      <c r="BA992" s="315"/>
      <c r="BB992" s="315"/>
      <c r="BC992" s="315"/>
      <c r="BD992" s="319"/>
      <c r="BE992" s="319"/>
      <c r="BF992" s="319"/>
      <c r="BG992" s="319"/>
      <c r="BH992" s="319"/>
      <c r="BI992" s="319"/>
      <c r="BJ992" s="319"/>
      <c r="BK992" s="315"/>
      <c r="BL992" s="316"/>
      <c r="BM992" s="314"/>
      <c r="BN992" s="319"/>
      <c r="BO992" s="315"/>
      <c r="BP992" s="314"/>
      <c r="BQ992" s="316"/>
      <c r="BR992" s="314"/>
      <c r="BS992" s="262"/>
      <c r="BT992" s="262"/>
    </row>
    <row r="993" spans="1:72" ht="45.75" customHeight="1">
      <c r="A993" s="342"/>
      <c r="B993" s="342"/>
      <c r="C993" s="342"/>
      <c r="D993" s="343"/>
      <c r="E993" s="342"/>
      <c r="F993" s="342"/>
      <c r="G993" s="344"/>
      <c r="H993" s="344"/>
      <c r="I993" s="344"/>
      <c r="J993" s="334"/>
      <c r="K993" s="335"/>
      <c r="L993" s="336"/>
      <c r="M993" s="336"/>
      <c r="N993" s="337"/>
      <c r="O993" s="337"/>
      <c r="P993" s="315"/>
      <c r="Q993" s="314"/>
      <c r="R993" s="317"/>
      <c r="S993" s="315"/>
      <c r="T993" s="315"/>
      <c r="U993" s="315"/>
      <c r="V993" s="258"/>
      <c r="W993" s="322"/>
      <c r="X993" s="318"/>
      <c r="Y993" s="315"/>
      <c r="Z993" s="318"/>
      <c r="AA993" s="314"/>
      <c r="AB993" s="336"/>
      <c r="AC993" s="314"/>
      <c r="AD993" s="316"/>
      <c r="AE993" s="315"/>
      <c r="AF993" s="315"/>
      <c r="AG993" s="315"/>
      <c r="AH993" s="315"/>
      <c r="AI993" s="377"/>
      <c r="AJ993" s="407"/>
      <c r="AK993" s="377"/>
      <c r="AL993" s="314"/>
      <c r="AM993" s="314"/>
      <c r="AN993" s="314"/>
      <c r="AO993" s="315"/>
      <c r="AP993" s="257"/>
      <c r="AQ993" s="257"/>
      <c r="AR993" s="257"/>
      <c r="AS993" s="315"/>
      <c r="AT993" s="257"/>
      <c r="AU993" s="257"/>
      <c r="AV993" s="316"/>
      <c r="AW993" s="314"/>
      <c r="AX993" s="315"/>
      <c r="AY993" s="315"/>
      <c r="AZ993" s="315"/>
      <c r="BA993" s="315"/>
      <c r="BB993" s="315"/>
      <c r="BC993" s="315"/>
      <c r="BD993" s="319"/>
      <c r="BE993" s="319"/>
      <c r="BF993" s="319"/>
      <c r="BG993" s="319"/>
      <c r="BH993" s="319"/>
      <c r="BI993" s="319"/>
      <c r="BJ993" s="319"/>
      <c r="BK993" s="315"/>
      <c r="BL993" s="316"/>
      <c r="BM993" s="314"/>
      <c r="BN993" s="319"/>
      <c r="BO993" s="315"/>
      <c r="BP993" s="314"/>
      <c r="BQ993" s="316"/>
      <c r="BR993" s="314"/>
      <c r="BS993" s="262"/>
      <c r="BT993" s="262"/>
    </row>
    <row r="994" spans="1:72" ht="45.75" customHeight="1">
      <c r="A994" s="342"/>
      <c r="B994" s="342"/>
      <c r="C994" s="342"/>
      <c r="D994" s="343"/>
      <c r="E994" s="342"/>
      <c r="F994" s="342"/>
      <c r="G994" s="344"/>
      <c r="H994" s="344"/>
      <c r="I994" s="344"/>
      <c r="J994" s="334"/>
      <c r="K994" s="335"/>
      <c r="L994" s="336"/>
      <c r="M994" s="336"/>
      <c r="N994" s="337"/>
      <c r="O994" s="337"/>
      <c r="P994" s="315"/>
      <c r="Q994" s="314"/>
      <c r="R994" s="317"/>
      <c r="S994" s="315"/>
      <c r="T994" s="315"/>
      <c r="U994" s="315"/>
      <c r="V994" s="258"/>
      <c r="W994" s="322"/>
      <c r="X994" s="318"/>
      <c r="Y994" s="315"/>
      <c r="Z994" s="318"/>
      <c r="AA994" s="314"/>
      <c r="AB994" s="336"/>
      <c r="AC994" s="314"/>
      <c r="AD994" s="316"/>
      <c r="AE994" s="315"/>
      <c r="AF994" s="315"/>
      <c r="AG994" s="315"/>
      <c r="AH994" s="315"/>
      <c r="AI994" s="377"/>
      <c r="AJ994" s="407"/>
      <c r="AK994" s="377"/>
      <c r="AL994" s="314"/>
      <c r="AM994" s="314"/>
      <c r="AN994" s="314"/>
      <c r="AO994" s="315"/>
      <c r="AP994" s="257"/>
      <c r="AQ994" s="257"/>
      <c r="AR994" s="257"/>
      <c r="AS994" s="315"/>
      <c r="AT994" s="257"/>
      <c r="AU994" s="257"/>
      <c r="AV994" s="316"/>
      <c r="AW994" s="314"/>
      <c r="AX994" s="315"/>
      <c r="AY994" s="315"/>
      <c r="AZ994" s="315"/>
      <c r="BA994" s="315"/>
      <c r="BB994" s="315"/>
      <c r="BC994" s="315"/>
      <c r="BD994" s="319"/>
      <c r="BE994" s="319"/>
      <c r="BF994" s="319"/>
      <c r="BG994" s="319"/>
      <c r="BH994" s="319"/>
      <c r="BI994" s="319"/>
      <c r="BJ994" s="319"/>
      <c r="BK994" s="315"/>
      <c r="BL994" s="316"/>
      <c r="BM994" s="314"/>
      <c r="BN994" s="319"/>
      <c r="BO994" s="315"/>
      <c r="BP994" s="314"/>
      <c r="BQ994" s="316"/>
      <c r="BR994" s="314"/>
      <c r="BS994" s="262"/>
      <c r="BT994" s="262"/>
    </row>
    <row r="995" spans="1:72" ht="45.75" customHeight="1">
      <c r="A995" s="342"/>
      <c r="B995" s="342"/>
      <c r="C995" s="342"/>
      <c r="D995" s="343"/>
      <c r="E995" s="342"/>
      <c r="F995" s="342"/>
      <c r="G995" s="344"/>
      <c r="H995" s="344"/>
      <c r="I995" s="344"/>
      <c r="J995" s="334"/>
      <c r="K995" s="335"/>
      <c r="L995" s="336"/>
      <c r="M995" s="336"/>
      <c r="N995" s="337"/>
      <c r="O995" s="337"/>
      <c r="P995" s="315"/>
      <c r="Q995" s="314"/>
      <c r="R995" s="317"/>
      <c r="S995" s="315"/>
      <c r="T995" s="315"/>
      <c r="U995" s="315"/>
      <c r="V995" s="258"/>
      <c r="W995" s="322"/>
      <c r="X995" s="318"/>
      <c r="Y995" s="315"/>
      <c r="Z995" s="318"/>
      <c r="AA995" s="314"/>
      <c r="AB995" s="336"/>
      <c r="AC995" s="314"/>
      <c r="AD995" s="316"/>
      <c r="AE995" s="315"/>
      <c r="AF995" s="315"/>
      <c r="AG995" s="315"/>
      <c r="AH995" s="315"/>
      <c r="AI995" s="377"/>
      <c r="AJ995" s="407"/>
      <c r="AK995" s="377"/>
      <c r="AL995" s="314"/>
      <c r="AM995" s="314"/>
      <c r="AN995" s="314"/>
      <c r="AO995" s="315"/>
      <c r="AP995" s="257"/>
      <c r="AQ995" s="257"/>
      <c r="AR995" s="257"/>
      <c r="AS995" s="315"/>
      <c r="AT995" s="257"/>
      <c r="AU995" s="257"/>
      <c r="AV995" s="316"/>
      <c r="AW995" s="314"/>
      <c r="AX995" s="315"/>
      <c r="AY995" s="315"/>
      <c r="AZ995" s="315"/>
      <c r="BA995" s="315"/>
      <c r="BB995" s="315"/>
      <c r="BC995" s="315"/>
      <c r="BD995" s="319"/>
      <c r="BE995" s="319"/>
      <c r="BF995" s="319"/>
      <c r="BG995" s="319"/>
      <c r="BH995" s="319"/>
      <c r="BI995" s="319"/>
      <c r="BJ995" s="319"/>
      <c r="BK995" s="315"/>
      <c r="BL995" s="316"/>
      <c r="BM995" s="314"/>
      <c r="BN995" s="319"/>
      <c r="BO995" s="315"/>
      <c r="BP995" s="314"/>
      <c r="BQ995" s="316"/>
      <c r="BR995" s="314"/>
      <c r="BS995" s="262"/>
      <c r="BT995" s="262"/>
    </row>
    <row r="996" spans="1:72" ht="45.75" customHeight="1">
      <c r="A996" s="342"/>
      <c r="B996" s="342"/>
      <c r="C996" s="342"/>
      <c r="D996" s="343"/>
      <c r="E996" s="342"/>
      <c r="F996" s="342"/>
      <c r="G996" s="344"/>
      <c r="H996" s="344"/>
      <c r="I996" s="344"/>
      <c r="J996" s="334"/>
      <c r="K996" s="335"/>
      <c r="L996" s="336"/>
      <c r="M996" s="336"/>
      <c r="N996" s="337"/>
      <c r="O996" s="337"/>
      <c r="P996" s="315"/>
      <c r="Q996" s="314"/>
      <c r="R996" s="317"/>
      <c r="S996" s="315"/>
      <c r="T996" s="315"/>
      <c r="U996" s="315"/>
      <c r="V996" s="258"/>
      <c r="W996" s="322"/>
      <c r="X996" s="318"/>
      <c r="Y996" s="315"/>
      <c r="Z996" s="318"/>
      <c r="AA996" s="314"/>
      <c r="AB996" s="336"/>
      <c r="AC996" s="314"/>
      <c r="AD996" s="316"/>
      <c r="AE996" s="315"/>
      <c r="AF996" s="315"/>
      <c r="AG996" s="315"/>
      <c r="AH996" s="315"/>
      <c r="AI996" s="377"/>
      <c r="AJ996" s="407"/>
      <c r="AK996" s="377"/>
      <c r="AL996" s="314"/>
      <c r="AM996" s="314"/>
      <c r="AN996" s="314"/>
      <c r="AO996" s="315"/>
      <c r="AP996" s="257"/>
      <c r="AQ996" s="257"/>
      <c r="AR996" s="257"/>
      <c r="AS996" s="315"/>
      <c r="AT996" s="257"/>
      <c r="AU996" s="257"/>
      <c r="AV996" s="316"/>
      <c r="AW996" s="314"/>
      <c r="AX996" s="315"/>
      <c r="AY996" s="315"/>
      <c r="AZ996" s="315"/>
      <c r="BA996" s="315"/>
      <c r="BB996" s="315"/>
      <c r="BC996" s="315"/>
      <c r="BD996" s="319"/>
      <c r="BE996" s="319"/>
      <c r="BF996" s="319"/>
      <c r="BG996" s="319"/>
      <c r="BH996" s="319"/>
      <c r="BI996" s="319"/>
      <c r="BJ996" s="319"/>
      <c r="BK996" s="315"/>
      <c r="BL996" s="316"/>
      <c r="BM996" s="314"/>
      <c r="BN996" s="319"/>
      <c r="BO996" s="315"/>
      <c r="BP996" s="314"/>
      <c r="BQ996" s="316"/>
      <c r="BR996" s="314"/>
      <c r="BS996" s="262"/>
      <c r="BT996" s="262"/>
    </row>
    <row r="997" spans="1:72" ht="45.75" customHeight="1">
      <c r="A997" s="342"/>
      <c r="B997" s="342"/>
      <c r="C997" s="342"/>
      <c r="D997" s="343"/>
      <c r="E997" s="342"/>
      <c r="F997" s="342"/>
      <c r="G997" s="344"/>
      <c r="H997" s="344"/>
      <c r="I997" s="344"/>
      <c r="J997" s="334"/>
      <c r="K997" s="335"/>
      <c r="L997" s="336"/>
      <c r="M997" s="336"/>
      <c r="N997" s="337"/>
      <c r="O997" s="337"/>
      <c r="P997" s="315"/>
      <c r="Q997" s="314"/>
      <c r="R997" s="317"/>
      <c r="S997" s="315"/>
      <c r="T997" s="315"/>
      <c r="U997" s="315"/>
      <c r="V997" s="258"/>
      <c r="W997" s="322"/>
      <c r="X997" s="318"/>
      <c r="Y997" s="315"/>
      <c r="Z997" s="318"/>
      <c r="AA997" s="314"/>
      <c r="AB997" s="336"/>
      <c r="AC997" s="314"/>
      <c r="AD997" s="316"/>
      <c r="AE997" s="315"/>
      <c r="AF997" s="315"/>
      <c r="AG997" s="315"/>
      <c r="AH997" s="315"/>
      <c r="AI997" s="377"/>
      <c r="AJ997" s="407"/>
      <c r="AK997" s="377"/>
      <c r="AL997" s="314"/>
      <c r="AM997" s="314"/>
      <c r="AN997" s="314"/>
      <c r="AO997" s="315"/>
      <c r="AP997" s="257"/>
      <c r="AQ997" s="257"/>
      <c r="AR997" s="257"/>
      <c r="AS997" s="315"/>
      <c r="AT997" s="257"/>
      <c r="AU997" s="257"/>
      <c r="AV997" s="316"/>
      <c r="AW997" s="314"/>
      <c r="AX997" s="315"/>
      <c r="AY997" s="315"/>
      <c r="AZ997" s="315"/>
      <c r="BA997" s="315"/>
      <c r="BB997" s="315"/>
      <c r="BC997" s="315"/>
      <c r="BD997" s="319"/>
      <c r="BE997" s="319"/>
      <c r="BF997" s="319"/>
      <c r="BG997" s="319"/>
      <c r="BH997" s="319"/>
      <c r="BI997" s="319"/>
      <c r="BJ997" s="319"/>
      <c r="BK997" s="315"/>
      <c r="BL997" s="316"/>
      <c r="BM997" s="314"/>
      <c r="BN997" s="319"/>
      <c r="BO997" s="315"/>
      <c r="BP997" s="314"/>
      <c r="BQ997" s="316"/>
      <c r="BR997" s="314"/>
      <c r="BS997" s="262"/>
      <c r="BT997" s="262"/>
    </row>
    <row r="998" spans="1:72" ht="45.75" customHeight="1">
      <c r="A998" s="342"/>
      <c r="B998" s="342"/>
      <c r="C998" s="342"/>
      <c r="D998" s="343"/>
      <c r="E998" s="342"/>
      <c r="F998" s="342"/>
      <c r="G998" s="344"/>
      <c r="H998" s="344"/>
      <c r="I998" s="344"/>
      <c r="J998" s="334"/>
      <c r="K998" s="335"/>
      <c r="L998" s="336"/>
      <c r="M998" s="336"/>
      <c r="N998" s="337"/>
      <c r="O998" s="337"/>
      <c r="P998" s="315"/>
      <c r="Q998" s="314"/>
      <c r="R998" s="317"/>
      <c r="S998" s="315"/>
      <c r="T998" s="315"/>
      <c r="U998" s="315"/>
      <c r="V998" s="258"/>
      <c r="W998" s="322"/>
      <c r="X998" s="318"/>
      <c r="Y998" s="315"/>
      <c r="Z998" s="318"/>
      <c r="AA998" s="314"/>
      <c r="AB998" s="336"/>
      <c r="AC998" s="314"/>
      <c r="AD998" s="316"/>
      <c r="AE998" s="315"/>
      <c r="AF998" s="315"/>
      <c r="AG998" s="315"/>
      <c r="AH998" s="315"/>
      <c r="AI998" s="377"/>
      <c r="AJ998" s="407"/>
      <c r="AK998" s="377"/>
      <c r="AL998" s="314"/>
      <c r="AM998" s="314"/>
      <c r="AN998" s="314"/>
      <c r="AO998" s="315"/>
      <c r="AP998" s="257"/>
      <c r="AQ998" s="257"/>
      <c r="AR998" s="257"/>
      <c r="AS998" s="315"/>
      <c r="AT998" s="257"/>
      <c r="AU998" s="257"/>
      <c r="AV998" s="316"/>
      <c r="AW998" s="314"/>
      <c r="AX998" s="315"/>
      <c r="AY998" s="315"/>
      <c r="AZ998" s="315"/>
      <c r="BA998" s="315"/>
      <c r="BB998" s="315"/>
      <c r="BC998" s="315"/>
      <c r="BD998" s="319"/>
      <c r="BE998" s="319"/>
      <c r="BF998" s="319"/>
      <c r="BG998" s="319"/>
      <c r="BH998" s="319"/>
      <c r="BI998" s="319"/>
      <c r="BJ998" s="319"/>
      <c r="BK998" s="315"/>
      <c r="BL998" s="316"/>
      <c r="BM998" s="314"/>
      <c r="BN998" s="319"/>
      <c r="BO998" s="315"/>
      <c r="BP998" s="314"/>
      <c r="BQ998" s="316"/>
      <c r="BR998" s="314"/>
      <c r="BS998" s="262"/>
      <c r="BT998" s="262"/>
    </row>
    <row r="999" spans="1:72" ht="45.75" customHeight="1">
      <c r="A999" s="342"/>
      <c r="B999" s="342"/>
      <c r="C999" s="342"/>
      <c r="D999" s="343"/>
      <c r="E999" s="342"/>
      <c r="F999" s="342"/>
      <c r="G999" s="344"/>
      <c r="H999" s="344"/>
      <c r="I999" s="344"/>
      <c r="J999" s="334"/>
      <c r="K999" s="335"/>
      <c r="L999" s="336"/>
      <c r="M999" s="336"/>
      <c r="N999" s="337"/>
      <c r="O999" s="337"/>
      <c r="P999" s="315"/>
      <c r="Q999" s="314"/>
      <c r="R999" s="317"/>
      <c r="S999" s="315"/>
      <c r="T999" s="315"/>
      <c r="U999" s="315"/>
      <c r="V999" s="258"/>
      <c r="W999" s="322"/>
      <c r="X999" s="318"/>
      <c r="Y999" s="315"/>
      <c r="Z999" s="318"/>
      <c r="AA999" s="314"/>
      <c r="AB999" s="336"/>
      <c r="AC999" s="314"/>
      <c r="AD999" s="316"/>
      <c r="AE999" s="315"/>
      <c r="AF999" s="315"/>
      <c r="AG999" s="315"/>
      <c r="AH999" s="315"/>
      <c r="AI999" s="377"/>
      <c r="AJ999" s="407"/>
      <c r="AK999" s="377"/>
      <c r="AL999" s="314"/>
      <c r="AM999" s="314"/>
      <c r="AN999" s="314"/>
      <c r="AO999" s="315"/>
      <c r="AP999" s="257"/>
      <c r="AQ999" s="257"/>
      <c r="AR999" s="257"/>
      <c r="AS999" s="315"/>
      <c r="AT999" s="257"/>
      <c r="AU999" s="257"/>
      <c r="AV999" s="316"/>
      <c r="AW999" s="314"/>
      <c r="AX999" s="315"/>
      <c r="AY999" s="315"/>
      <c r="AZ999" s="315"/>
      <c r="BA999" s="315"/>
      <c r="BB999" s="315"/>
      <c r="BC999" s="315"/>
      <c r="BD999" s="319"/>
      <c r="BE999" s="319"/>
      <c r="BF999" s="319"/>
      <c r="BG999" s="319"/>
      <c r="BH999" s="319"/>
      <c r="BI999" s="319"/>
      <c r="BJ999" s="319"/>
      <c r="BK999" s="315"/>
      <c r="BL999" s="316"/>
      <c r="BM999" s="314"/>
      <c r="BN999" s="319"/>
      <c r="BO999" s="315"/>
      <c r="BP999" s="314"/>
      <c r="BQ999" s="316"/>
      <c r="BR999" s="314"/>
      <c r="BS999" s="262"/>
      <c r="BT999" s="262"/>
    </row>
    <row r="1000" spans="1:72" ht="45.75" customHeight="1">
      <c r="A1000" s="342"/>
      <c r="B1000" s="342"/>
      <c r="C1000" s="342"/>
      <c r="D1000" s="343"/>
      <c r="E1000" s="342"/>
      <c r="F1000" s="342"/>
      <c r="G1000" s="344"/>
      <c r="H1000" s="344"/>
      <c r="I1000" s="344"/>
      <c r="J1000" s="334"/>
      <c r="K1000" s="335"/>
      <c r="L1000" s="336"/>
      <c r="M1000" s="336"/>
      <c r="N1000" s="337"/>
      <c r="O1000" s="337"/>
      <c r="P1000" s="315"/>
      <c r="Q1000" s="314"/>
      <c r="R1000" s="317"/>
      <c r="S1000" s="315"/>
      <c r="T1000" s="315"/>
      <c r="U1000" s="315"/>
      <c r="V1000" s="258"/>
      <c r="W1000" s="322"/>
      <c r="X1000" s="318"/>
      <c r="Y1000" s="315"/>
      <c r="Z1000" s="318"/>
      <c r="AA1000" s="314"/>
      <c r="AB1000" s="336"/>
      <c r="AC1000" s="314"/>
      <c r="AD1000" s="316"/>
      <c r="AE1000" s="315"/>
      <c r="AF1000" s="315"/>
      <c r="AG1000" s="315"/>
      <c r="AH1000" s="315"/>
      <c r="AI1000" s="377"/>
      <c r="AJ1000" s="407"/>
      <c r="AK1000" s="377"/>
      <c r="AL1000" s="314"/>
      <c r="AM1000" s="314"/>
      <c r="AN1000" s="314"/>
      <c r="AO1000" s="315"/>
      <c r="AP1000" s="257"/>
      <c r="AQ1000" s="257"/>
      <c r="AR1000" s="257"/>
      <c r="AS1000" s="315"/>
      <c r="AT1000" s="257"/>
      <c r="AU1000" s="257"/>
      <c r="AV1000" s="316"/>
      <c r="AW1000" s="314"/>
      <c r="AX1000" s="315"/>
      <c r="AY1000" s="315"/>
      <c r="AZ1000" s="315"/>
      <c r="BA1000" s="315"/>
      <c r="BB1000" s="315"/>
      <c r="BC1000" s="315"/>
      <c r="BD1000" s="319"/>
      <c r="BE1000" s="319"/>
      <c r="BF1000" s="319"/>
      <c r="BG1000" s="319"/>
      <c r="BH1000" s="319"/>
      <c r="BI1000" s="319"/>
      <c r="BJ1000" s="319"/>
      <c r="BK1000" s="315"/>
      <c r="BL1000" s="316"/>
      <c r="BM1000" s="314"/>
      <c r="BN1000" s="319"/>
      <c r="BO1000" s="315"/>
      <c r="BP1000" s="314"/>
      <c r="BQ1000" s="316"/>
      <c r="BR1000" s="314"/>
      <c r="BS1000" s="262"/>
      <c r="BT1000" s="262"/>
    </row>
    <row r="1001" spans="1:72" ht="45.75" customHeight="1">
      <c r="A1001" s="342"/>
      <c r="B1001" s="342"/>
      <c r="C1001" s="342"/>
      <c r="D1001" s="343"/>
      <c r="E1001" s="342"/>
      <c r="F1001" s="342"/>
      <c r="G1001" s="344"/>
      <c r="H1001" s="344"/>
      <c r="I1001" s="344"/>
      <c r="J1001" s="334"/>
      <c r="K1001" s="335"/>
      <c r="L1001" s="336"/>
      <c r="M1001" s="336"/>
      <c r="N1001" s="337"/>
      <c r="O1001" s="337"/>
      <c r="P1001" s="315"/>
      <c r="Q1001" s="314"/>
      <c r="R1001" s="317"/>
      <c r="S1001" s="315"/>
      <c r="T1001" s="315"/>
      <c r="U1001" s="315"/>
      <c r="V1001" s="258"/>
      <c r="W1001" s="322"/>
      <c r="X1001" s="318"/>
      <c r="Y1001" s="315"/>
      <c r="Z1001" s="318"/>
      <c r="AA1001" s="314"/>
      <c r="AB1001" s="336"/>
      <c r="AC1001" s="314"/>
      <c r="AD1001" s="316"/>
      <c r="AE1001" s="315"/>
      <c r="AF1001" s="315"/>
      <c r="AG1001" s="315"/>
      <c r="AH1001" s="315"/>
      <c r="AI1001" s="377"/>
      <c r="AJ1001" s="407"/>
      <c r="AK1001" s="377"/>
      <c r="AL1001" s="314"/>
      <c r="AM1001" s="314"/>
      <c r="AN1001" s="314"/>
      <c r="AO1001" s="315"/>
      <c r="AP1001" s="257"/>
      <c r="AQ1001" s="257"/>
      <c r="AR1001" s="257"/>
      <c r="AS1001" s="315"/>
      <c r="AT1001" s="257"/>
      <c r="AU1001" s="257"/>
      <c r="AV1001" s="316"/>
      <c r="AW1001" s="314"/>
      <c r="AX1001" s="315"/>
      <c r="AY1001" s="315"/>
      <c r="AZ1001" s="315"/>
      <c r="BA1001" s="315"/>
      <c r="BB1001" s="315"/>
      <c r="BC1001" s="315"/>
      <c r="BD1001" s="319"/>
      <c r="BE1001" s="319"/>
      <c r="BF1001" s="319"/>
      <c r="BG1001" s="319"/>
      <c r="BH1001" s="319"/>
      <c r="BI1001" s="319"/>
      <c r="BJ1001" s="319"/>
      <c r="BK1001" s="315"/>
      <c r="BL1001" s="316"/>
      <c r="BM1001" s="314"/>
      <c r="BN1001" s="319"/>
      <c r="BO1001" s="315"/>
      <c r="BP1001" s="314"/>
      <c r="BQ1001" s="316"/>
      <c r="BR1001" s="314"/>
      <c r="BS1001" s="262"/>
      <c r="BT1001" s="262"/>
    </row>
    <row r="1002" spans="1:72" ht="45.75" customHeight="1">
      <c r="A1002" s="342"/>
      <c r="B1002" s="342"/>
      <c r="C1002" s="342"/>
      <c r="D1002" s="343"/>
      <c r="E1002" s="342"/>
      <c r="F1002" s="342"/>
      <c r="G1002" s="344"/>
      <c r="H1002" s="344"/>
      <c r="I1002" s="344"/>
      <c r="J1002" s="334"/>
      <c r="K1002" s="335"/>
      <c r="L1002" s="336"/>
      <c r="M1002" s="336"/>
      <c r="N1002" s="337"/>
      <c r="O1002" s="337"/>
      <c r="P1002" s="315"/>
      <c r="Q1002" s="314"/>
      <c r="R1002" s="317"/>
      <c r="S1002" s="315"/>
      <c r="T1002" s="315"/>
      <c r="U1002" s="315"/>
      <c r="V1002" s="258"/>
      <c r="W1002" s="322"/>
      <c r="X1002" s="318"/>
      <c r="Y1002" s="315"/>
      <c r="Z1002" s="318"/>
      <c r="AA1002" s="314"/>
      <c r="AB1002" s="336"/>
      <c r="AC1002" s="314"/>
      <c r="AD1002" s="316"/>
      <c r="AE1002" s="315"/>
      <c r="AF1002" s="315"/>
      <c r="AG1002" s="315"/>
      <c r="AH1002" s="315"/>
      <c r="AI1002" s="377"/>
      <c r="AJ1002" s="407"/>
      <c r="AK1002" s="377"/>
      <c r="AL1002" s="314"/>
      <c r="AM1002" s="314"/>
      <c r="AN1002" s="314"/>
      <c r="AO1002" s="315"/>
      <c r="AP1002" s="257"/>
      <c r="AQ1002" s="257"/>
      <c r="AR1002" s="257"/>
      <c r="AS1002" s="315"/>
      <c r="AT1002" s="257"/>
      <c r="AU1002" s="257"/>
      <c r="AV1002" s="316"/>
      <c r="AW1002" s="314"/>
      <c r="AX1002" s="315"/>
      <c r="AY1002" s="315"/>
      <c r="AZ1002" s="315"/>
      <c r="BA1002" s="315"/>
      <c r="BB1002" s="315"/>
      <c r="BC1002" s="315"/>
      <c r="BD1002" s="319"/>
      <c r="BE1002" s="319"/>
      <c r="BF1002" s="319"/>
      <c r="BG1002" s="319"/>
      <c r="BH1002" s="319"/>
      <c r="BI1002" s="319"/>
      <c r="BJ1002" s="319"/>
      <c r="BK1002" s="315"/>
      <c r="BL1002" s="316"/>
      <c r="BM1002" s="314"/>
      <c r="BN1002" s="319"/>
      <c r="BO1002" s="315"/>
      <c r="BP1002" s="314"/>
      <c r="BQ1002" s="316"/>
      <c r="BR1002" s="314"/>
      <c r="BS1002" s="262"/>
      <c r="BT1002" s="262"/>
    </row>
    <row r="1003" spans="1:72" ht="45.75" customHeight="1">
      <c r="A1003" s="342"/>
      <c r="B1003" s="342"/>
      <c r="C1003" s="342"/>
      <c r="D1003" s="343"/>
      <c r="E1003" s="342"/>
      <c r="F1003" s="342"/>
      <c r="G1003" s="344"/>
      <c r="H1003" s="344"/>
      <c r="I1003" s="344"/>
      <c r="J1003" s="334"/>
      <c r="K1003" s="335"/>
      <c r="L1003" s="336"/>
      <c r="M1003" s="336"/>
      <c r="N1003" s="337"/>
      <c r="O1003" s="337"/>
      <c r="P1003" s="315"/>
      <c r="Q1003" s="314"/>
      <c r="R1003" s="317"/>
      <c r="S1003" s="315"/>
      <c r="T1003" s="315"/>
      <c r="U1003" s="315"/>
      <c r="V1003" s="258"/>
      <c r="W1003" s="322"/>
      <c r="X1003" s="318"/>
      <c r="Y1003" s="315"/>
      <c r="Z1003" s="318"/>
      <c r="AA1003" s="314"/>
      <c r="AB1003" s="336"/>
      <c r="AC1003" s="314"/>
      <c r="AD1003" s="316"/>
      <c r="AE1003" s="315"/>
      <c r="AF1003" s="315"/>
      <c r="AG1003" s="315"/>
      <c r="AH1003" s="315"/>
      <c r="AI1003" s="377"/>
      <c r="AJ1003" s="407"/>
      <c r="AK1003" s="377"/>
      <c r="AL1003" s="314"/>
      <c r="AM1003" s="314"/>
      <c r="AN1003" s="314"/>
      <c r="AO1003" s="315"/>
      <c r="AP1003" s="257"/>
      <c r="AQ1003" s="257"/>
      <c r="AR1003" s="257"/>
      <c r="AS1003" s="315"/>
      <c r="AT1003" s="257"/>
      <c r="AU1003" s="257"/>
      <c r="AV1003" s="316"/>
      <c r="AW1003" s="314"/>
      <c r="AX1003" s="315"/>
      <c r="AY1003" s="315"/>
      <c r="AZ1003" s="315"/>
      <c r="BA1003" s="315"/>
      <c r="BB1003" s="315"/>
      <c r="BC1003" s="315"/>
      <c r="BD1003" s="319"/>
      <c r="BE1003" s="319"/>
      <c r="BF1003" s="319"/>
      <c r="BG1003" s="319"/>
      <c r="BH1003" s="319"/>
      <c r="BI1003" s="319"/>
      <c r="BJ1003" s="319"/>
      <c r="BK1003" s="315"/>
      <c r="BL1003" s="316"/>
      <c r="BM1003" s="314"/>
      <c r="BN1003" s="319"/>
      <c r="BO1003" s="315"/>
      <c r="BP1003" s="314"/>
      <c r="BQ1003" s="316"/>
      <c r="BR1003" s="314"/>
      <c r="BS1003" s="262"/>
      <c r="BT1003" s="262"/>
    </row>
    <row r="1004" spans="1:72" ht="45.75" customHeight="1">
      <c r="A1004" s="342"/>
      <c r="B1004" s="342"/>
      <c r="C1004" s="342"/>
      <c r="D1004" s="343"/>
      <c r="E1004" s="342"/>
      <c r="F1004" s="342"/>
      <c r="G1004" s="344"/>
      <c r="H1004" s="344"/>
      <c r="I1004" s="344"/>
      <c r="J1004" s="334"/>
      <c r="K1004" s="335"/>
      <c r="L1004" s="336"/>
      <c r="M1004" s="336"/>
      <c r="N1004" s="337"/>
      <c r="O1004" s="337"/>
      <c r="P1004" s="315"/>
      <c r="Q1004" s="314"/>
      <c r="R1004" s="317"/>
      <c r="S1004" s="315"/>
      <c r="T1004" s="315"/>
      <c r="U1004" s="315"/>
      <c r="V1004" s="258"/>
      <c r="W1004" s="322"/>
      <c r="X1004" s="318"/>
      <c r="Y1004" s="315"/>
      <c r="Z1004" s="318"/>
      <c r="AA1004" s="314"/>
      <c r="AB1004" s="336"/>
      <c r="AC1004" s="314"/>
      <c r="AD1004" s="316"/>
      <c r="AE1004" s="315"/>
      <c r="AF1004" s="315"/>
      <c r="AG1004" s="315"/>
      <c r="AH1004" s="315"/>
      <c r="AI1004" s="377"/>
      <c r="AJ1004" s="407"/>
      <c r="AK1004" s="377"/>
      <c r="AL1004" s="314"/>
      <c r="AM1004" s="314"/>
      <c r="AN1004" s="314"/>
      <c r="AO1004" s="315"/>
      <c r="AP1004" s="257"/>
      <c r="AQ1004" s="257"/>
      <c r="AR1004" s="257"/>
      <c r="AS1004" s="315"/>
      <c r="AT1004" s="257"/>
      <c r="AU1004" s="257"/>
      <c r="AV1004" s="316"/>
      <c r="AW1004" s="314"/>
      <c r="AX1004" s="315"/>
      <c r="AY1004" s="315"/>
      <c r="AZ1004" s="315"/>
      <c r="BA1004" s="315"/>
      <c r="BB1004" s="315"/>
      <c r="BC1004" s="315"/>
      <c r="BD1004" s="319"/>
      <c r="BE1004" s="319"/>
      <c r="BF1004" s="319"/>
      <c r="BG1004" s="319"/>
      <c r="BH1004" s="319"/>
      <c r="BI1004" s="319"/>
      <c r="BJ1004" s="319"/>
      <c r="BK1004" s="315"/>
      <c r="BL1004" s="316"/>
      <c r="BM1004" s="314"/>
      <c r="BN1004" s="319"/>
      <c r="BO1004" s="315"/>
      <c r="BP1004" s="314"/>
      <c r="BQ1004" s="316"/>
      <c r="BR1004" s="314"/>
      <c r="BS1004" s="262"/>
      <c r="BT1004" s="262"/>
    </row>
    <row r="1005" spans="1:72" ht="45.75" customHeight="1">
      <c r="A1005" s="342"/>
      <c r="B1005" s="342"/>
      <c r="C1005" s="342"/>
      <c r="D1005" s="343"/>
      <c r="E1005" s="342"/>
      <c r="F1005" s="342"/>
      <c r="G1005" s="344"/>
      <c r="H1005" s="344"/>
      <c r="I1005" s="344"/>
      <c r="J1005" s="334"/>
      <c r="K1005" s="335"/>
      <c r="L1005" s="336"/>
      <c r="M1005" s="336"/>
      <c r="N1005" s="337"/>
      <c r="O1005" s="337"/>
      <c r="P1005" s="315"/>
      <c r="Q1005" s="314"/>
      <c r="R1005" s="317"/>
      <c r="S1005" s="315"/>
      <c r="T1005" s="315"/>
      <c r="U1005" s="315"/>
      <c r="V1005" s="258"/>
      <c r="W1005" s="322"/>
      <c r="X1005" s="318"/>
      <c r="Y1005" s="315"/>
      <c r="Z1005" s="318"/>
      <c r="AA1005" s="314"/>
      <c r="AB1005" s="336"/>
      <c r="AC1005" s="314"/>
      <c r="AD1005" s="316"/>
      <c r="AE1005" s="315"/>
      <c r="AF1005" s="315"/>
      <c r="AG1005" s="315"/>
      <c r="AH1005" s="315"/>
      <c r="AI1005" s="377"/>
      <c r="AJ1005" s="407"/>
      <c r="AK1005" s="377"/>
      <c r="AL1005" s="314"/>
      <c r="AM1005" s="314"/>
      <c r="AN1005" s="314"/>
      <c r="AO1005" s="315"/>
      <c r="AP1005" s="257"/>
      <c r="AQ1005" s="257"/>
      <c r="AR1005" s="257"/>
      <c r="AS1005" s="315"/>
      <c r="AT1005" s="257"/>
      <c r="AU1005" s="257"/>
      <c r="AV1005" s="316"/>
      <c r="AW1005" s="314"/>
      <c r="AX1005" s="315"/>
      <c r="AY1005" s="315"/>
      <c r="AZ1005" s="315"/>
      <c r="BA1005" s="315"/>
      <c r="BB1005" s="315"/>
      <c r="BC1005" s="315"/>
      <c r="BD1005" s="319"/>
      <c r="BE1005" s="319"/>
      <c r="BF1005" s="319"/>
      <c r="BG1005" s="319"/>
      <c r="BH1005" s="319"/>
      <c r="BI1005" s="319"/>
      <c r="BJ1005" s="319"/>
      <c r="BK1005" s="315"/>
      <c r="BL1005" s="316"/>
      <c r="BM1005" s="314"/>
      <c r="BN1005" s="319"/>
      <c r="BO1005" s="315"/>
      <c r="BP1005" s="314"/>
      <c r="BQ1005" s="316"/>
      <c r="BR1005" s="314"/>
      <c r="BS1005" s="262"/>
      <c r="BT1005" s="262"/>
    </row>
    <row r="1006" spans="1:72" ht="45.75" customHeight="1">
      <c r="A1006" s="342"/>
      <c r="B1006" s="342"/>
      <c r="C1006" s="342"/>
      <c r="D1006" s="343"/>
      <c r="E1006" s="342"/>
      <c r="F1006" s="342"/>
      <c r="G1006" s="344"/>
      <c r="H1006" s="344"/>
      <c r="I1006" s="344"/>
      <c r="J1006" s="334"/>
      <c r="K1006" s="335"/>
      <c r="L1006" s="336"/>
      <c r="M1006" s="336"/>
      <c r="N1006" s="337"/>
      <c r="O1006" s="337"/>
      <c r="P1006" s="315"/>
      <c r="Q1006" s="314"/>
      <c r="R1006" s="317"/>
      <c r="S1006" s="315"/>
      <c r="T1006" s="315"/>
      <c r="U1006" s="315"/>
      <c r="V1006" s="258"/>
      <c r="W1006" s="322"/>
      <c r="X1006" s="318"/>
      <c r="Y1006" s="315"/>
      <c r="Z1006" s="318"/>
      <c r="AA1006" s="314"/>
      <c r="AB1006" s="336"/>
      <c r="AC1006" s="314"/>
      <c r="AD1006" s="316"/>
      <c r="AE1006" s="315"/>
      <c r="AF1006" s="315"/>
      <c r="AG1006" s="315"/>
      <c r="AH1006" s="315"/>
      <c r="AI1006" s="377"/>
      <c r="AJ1006" s="407"/>
      <c r="AK1006" s="377"/>
      <c r="AL1006" s="314"/>
      <c r="AM1006" s="314"/>
      <c r="AN1006" s="314"/>
      <c r="AO1006" s="315"/>
      <c r="AP1006" s="257"/>
      <c r="AQ1006" s="257"/>
      <c r="AR1006" s="257"/>
      <c r="AS1006" s="315"/>
      <c r="AT1006" s="257"/>
      <c r="AU1006" s="257"/>
      <c r="AV1006" s="316"/>
      <c r="AW1006" s="314"/>
      <c r="AX1006" s="315"/>
      <c r="AY1006" s="315"/>
      <c r="AZ1006" s="315"/>
      <c r="BA1006" s="315"/>
      <c r="BB1006" s="315"/>
      <c r="BC1006" s="315"/>
      <c r="BD1006" s="319"/>
      <c r="BE1006" s="319"/>
      <c r="BF1006" s="319"/>
      <c r="BG1006" s="319"/>
      <c r="BH1006" s="319"/>
      <c r="BI1006" s="319"/>
      <c r="BJ1006" s="319"/>
      <c r="BK1006" s="315"/>
      <c r="BL1006" s="316"/>
      <c r="BM1006" s="314"/>
      <c r="BN1006" s="319"/>
      <c r="BO1006" s="315"/>
      <c r="BP1006" s="314"/>
      <c r="BQ1006" s="316"/>
      <c r="BR1006" s="314"/>
      <c r="BS1006" s="262"/>
      <c r="BT1006" s="262"/>
    </row>
    <row r="1007" spans="1:72" ht="45.75" customHeight="1">
      <c r="A1007" s="342"/>
      <c r="B1007" s="342"/>
      <c r="C1007" s="342"/>
      <c r="D1007" s="343"/>
      <c r="E1007" s="342"/>
      <c r="F1007" s="342"/>
      <c r="G1007" s="344"/>
      <c r="H1007" s="344"/>
      <c r="I1007" s="344"/>
      <c r="J1007" s="334"/>
      <c r="K1007" s="335"/>
      <c r="L1007" s="336"/>
      <c r="M1007" s="336"/>
      <c r="N1007" s="337"/>
      <c r="O1007" s="337"/>
      <c r="P1007" s="315"/>
      <c r="Q1007" s="314"/>
      <c r="R1007" s="317"/>
      <c r="S1007" s="315"/>
      <c r="T1007" s="315"/>
      <c r="U1007" s="315"/>
      <c r="V1007" s="258"/>
      <c r="W1007" s="322"/>
      <c r="X1007" s="318"/>
      <c r="Y1007" s="315"/>
      <c r="Z1007" s="318"/>
      <c r="AA1007" s="314"/>
      <c r="AB1007" s="336"/>
      <c r="AC1007" s="314"/>
      <c r="AD1007" s="316"/>
      <c r="AE1007" s="315"/>
      <c r="AF1007" s="315"/>
      <c r="AG1007" s="315"/>
      <c r="AH1007" s="315"/>
      <c r="AI1007" s="377"/>
      <c r="AJ1007" s="407"/>
      <c r="AK1007" s="377"/>
      <c r="AL1007" s="314"/>
      <c r="AM1007" s="314"/>
      <c r="AN1007" s="314"/>
      <c r="AO1007" s="315"/>
      <c r="AP1007" s="257"/>
      <c r="AQ1007" s="257"/>
      <c r="AR1007" s="257"/>
      <c r="AS1007" s="315"/>
      <c r="AT1007" s="257"/>
      <c r="AU1007" s="257"/>
      <c r="AV1007" s="316"/>
      <c r="AW1007" s="314"/>
      <c r="AX1007" s="315"/>
      <c r="AY1007" s="315"/>
      <c r="AZ1007" s="315"/>
      <c r="BA1007" s="315"/>
      <c r="BB1007" s="315"/>
      <c r="BC1007" s="315"/>
      <c r="BD1007" s="319"/>
      <c r="BE1007" s="319"/>
      <c r="BF1007" s="319"/>
      <c r="BG1007" s="319"/>
      <c r="BH1007" s="319"/>
      <c r="BI1007" s="319"/>
      <c r="BJ1007" s="319"/>
      <c r="BK1007" s="315"/>
      <c r="BL1007" s="316"/>
      <c r="BM1007" s="314"/>
      <c r="BN1007" s="319"/>
      <c r="BO1007" s="315"/>
      <c r="BP1007" s="314"/>
      <c r="BQ1007" s="316"/>
      <c r="BR1007" s="314"/>
      <c r="BS1007" s="262"/>
      <c r="BT1007" s="262"/>
    </row>
  </sheetData>
  <autoFilter ref="A2:BT118" xr:uid="{00000000-0009-0000-0000-000000000000}">
    <filterColumn colId="69">
      <filters>
        <filter val="corpus"/>
      </filters>
    </filterColumn>
    <sortState xmlns:xlrd2="http://schemas.microsoft.com/office/spreadsheetml/2017/richdata2" ref="A5:BT114">
      <sortCondition ref="D2:D118"/>
    </sortState>
  </autoFilter>
  <hyperlinks>
    <hyperlink ref="O7" r:id="rId1" xr:uid="{00000000-0004-0000-0000-000003000000}"/>
    <hyperlink ref="W9" r:id="rId2" xr:uid="{00000000-0004-0000-0000-000004000000}"/>
    <hyperlink ref="W11" r:id="rId3" xr:uid="{00000000-0004-0000-0000-000007000000}"/>
    <hyperlink ref="BG11" r:id="rId4" xr:uid="{00000000-0004-0000-0000-000008000000}"/>
    <hyperlink ref="S17" r:id="rId5" xr:uid="{00000000-0004-0000-0000-00000E000000}"/>
    <hyperlink ref="BQ17" r:id="rId6" xr:uid="{00000000-0004-0000-0000-00000F000000}"/>
    <hyperlink ref="BQ18" r:id="rId7" location="sec5" xr:uid="{00000000-0004-0000-0000-000010000000}"/>
    <hyperlink ref="Q21" r:id="rId8" xr:uid="{00000000-0004-0000-0000-000014000000}"/>
    <hyperlink ref="BQ21" r:id="rId9" xr:uid="{00000000-0004-0000-0000-000015000000}"/>
    <hyperlink ref="W26" r:id="rId10" xr:uid="{00000000-0004-0000-0000-00001A000000}"/>
    <hyperlink ref="S27" r:id="rId11" xr:uid="{00000000-0004-0000-0000-00001B000000}"/>
    <hyperlink ref="S29" r:id="rId12" location="b0125" xr:uid="{00000000-0004-0000-0000-00001E000000}"/>
    <hyperlink ref="Z29" r:id="rId13" location="b0010" xr:uid="{00000000-0004-0000-0000-00001F000000}"/>
    <hyperlink ref="AT29" r:id="rId14" xr:uid="{00000000-0004-0000-0000-000020000000}"/>
    <hyperlink ref="BH29" r:id="rId15" location="b0105" xr:uid="{00000000-0004-0000-0000-000021000000}"/>
    <hyperlink ref="BO29" r:id="rId16" location="b9005" xr:uid="{00000000-0004-0000-0000-000022000000}"/>
    <hyperlink ref="J39" r:id="rId17" xr:uid="{00000000-0004-0000-0000-00002A000000}"/>
    <hyperlink ref="S44" r:id="rId18" xr:uid="{00000000-0004-0000-0000-00002C000000}"/>
    <hyperlink ref="W50" r:id="rId19" xr:uid="{00000000-0004-0000-0000-000030000000}"/>
    <hyperlink ref="BQ53" r:id="rId20" xr:uid="{00000000-0004-0000-0000-000034000000}"/>
    <hyperlink ref="W57" r:id="rId21" xr:uid="{00000000-0004-0000-0000-000036000000}"/>
    <hyperlink ref="X59" r:id="rId22" xr:uid="{00000000-0004-0000-0000-000037000000}"/>
    <hyperlink ref="Q64" r:id="rId23" xr:uid="{00000000-0004-0000-0000-00003C000000}"/>
    <hyperlink ref="BP64" r:id="rId24" xr:uid="{00000000-0004-0000-0000-00003D000000}"/>
    <hyperlink ref="BQ64" r:id="rId25" location="supplementary-materials" xr:uid="{00000000-0004-0000-0000-00003E000000}"/>
    <hyperlink ref="AJ66" r:id="rId26" xr:uid="{00000000-0004-0000-0000-000041000000}"/>
    <hyperlink ref="Q68" r:id="rId27" xr:uid="{00000000-0004-0000-0000-000044000000}"/>
    <hyperlink ref="Z68" r:id="rId28" xr:uid="{00000000-0004-0000-0000-000045000000}"/>
    <hyperlink ref="AJ68" r:id="rId29" xr:uid="{00000000-0004-0000-0000-000046000000}"/>
    <hyperlink ref="BG68" r:id="rId30" xr:uid="{00000000-0004-0000-0000-000047000000}"/>
    <hyperlink ref="Q69" r:id="rId31" xr:uid="{00000000-0004-0000-0000-000049000000}"/>
    <hyperlink ref="S69" r:id="rId32" xr:uid="{00000000-0004-0000-0000-00004A000000}"/>
    <hyperlink ref="BH69" r:id="rId33" xr:uid="{00000000-0004-0000-0000-00004B000000}"/>
    <hyperlink ref="Q71" r:id="rId34" xr:uid="{00000000-0004-0000-0000-00004C000000}"/>
    <hyperlink ref="AJ71" r:id="rId35" xr:uid="{00000000-0004-0000-0000-00004D000000}"/>
    <hyperlink ref="AT73" r:id="rId36" xr:uid="{00000000-0004-0000-0000-00004E000000}"/>
    <hyperlink ref="Q74" r:id="rId37" xr:uid="{00000000-0004-0000-0000-00004F000000}"/>
    <hyperlink ref="AJ74" r:id="rId38" xr:uid="{00000000-0004-0000-0000-000050000000}"/>
    <hyperlink ref="S80" r:id="rId39" xr:uid="{00000000-0004-0000-0000-000056000000}"/>
    <hyperlink ref="AT80" r:id="rId40" xr:uid="{00000000-0004-0000-0000-000057000000}"/>
    <hyperlink ref="AU80" r:id="rId41" xr:uid="{00000000-0004-0000-0000-000058000000}"/>
    <hyperlink ref="BH80" r:id="rId42" xr:uid="{00000000-0004-0000-0000-000059000000}"/>
    <hyperlink ref="BP86" r:id="rId43" xr:uid="{00000000-0004-0000-0000-00005B000000}"/>
    <hyperlink ref="Q87" r:id="rId44" xr:uid="{00000000-0004-0000-0000-00005C000000}"/>
    <hyperlink ref="V88" r:id="rId45" xr:uid="{00000000-0004-0000-0000-00005D000000}"/>
    <hyperlink ref="S91" r:id="rId46" xr:uid="{00000000-0004-0000-0000-00005F000000}"/>
    <hyperlink ref="AJ92" r:id="rId47" xr:uid="{00000000-0004-0000-0000-000061000000}"/>
    <hyperlink ref="BQ95" r:id="rId48" xr:uid="{00000000-0004-0000-0000-000065000000}"/>
    <hyperlink ref="S96" r:id="rId49" xr:uid="{00000000-0004-0000-0000-000067000000}"/>
    <hyperlink ref="Q97" r:id="rId50" location="page=330" xr:uid="{00000000-0004-0000-0000-000068000000}"/>
    <hyperlink ref="S98" r:id="rId51" xr:uid="{00000000-0004-0000-0000-000069000000}"/>
    <hyperlink ref="S99" r:id="rId52" xr:uid="{00000000-0004-0000-0000-00006B000000}"/>
    <hyperlink ref="BH99" r:id="rId53" xr:uid="{00000000-0004-0000-0000-00006C000000}"/>
    <hyperlink ref="AJ106" r:id="rId54" xr:uid="{00000000-0004-0000-0000-000073000000}"/>
    <hyperlink ref="S107" r:id="rId55" xr:uid="{00000000-0004-0000-0000-000075000000}"/>
    <hyperlink ref="V107" r:id="rId56" display="Geneva Emotion Wheel (GEW, v.3.0) (Scherer 2013)" xr:uid="{00000000-0004-0000-0000-000076000000}"/>
    <hyperlink ref="BH107" r:id="rId57" xr:uid="{00000000-0004-0000-0000-000077000000}"/>
    <hyperlink ref="S109" r:id="rId58" xr:uid="{00000000-0004-0000-0000-00007A000000}"/>
    <hyperlink ref="AT109" r:id="rId59" xr:uid="{00000000-0004-0000-0000-00007B000000}"/>
    <hyperlink ref="S112" r:id="rId60" xr:uid="{00000000-0004-0000-0000-00007F000000}"/>
    <hyperlink ref="G29" r:id="rId61" xr:uid="{A8FA63A7-C586-6B40-B9AE-41D582146CD7}"/>
    <hyperlink ref="G61" r:id="rId62" xr:uid="{31071C38-9A1C-2C4E-BADA-F5349BA607B7}"/>
    <hyperlink ref="G69" r:id="rId63" xr:uid="{922D0703-85D9-504F-9795-1D35AE754059}"/>
    <hyperlink ref="G92" r:id="rId64" xr:uid="{56EE4EE5-36A0-584D-8CDA-2665EAA37E85}"/>
    <hyperlink ref="G99" r:id="rId65" xr:uid="{C3E901B1-C01E-8641-8BE8-1ED0C7B362D8}"/>
    <hyperlink ref="G107" r:id="rId66" xr:uid="{D294F160-E815-A944-B2D4-6F5B8D119D6D}"/>
    <hyperlink ref="G108" r:id="rId67" xr:uid="{35639C75-E61C-D943-80CB-4C046ECA126B}"/>
    <hyperlink ref="G109" r:id="rId68" xr:uid="{D26B3150-1D36-524E-ABDD-BFB1AC63DECC}"/>
    <hyperlink ref="G114" r:id="rId69" xr:uid="{404624E1-131F-124C-B698-4F772C989993}"/>
    <hyperlink ref="F116" r:id="rId70" xr:uid="{00000000-0004-0000-0000-000083000000}"/>
    <hyperlink ref="F115" r:id="rId71" xr:uid="{00000000-0004-0000-0000-000082000000}"/>
    <hyperlink ref="F114" r:id="rId72" xr:uid="{00000000-0004-0000-0000-000081000000}"/>
    <hyperlink ref="F113" r:id="rId73" xr:uid="{00000000-0004-0000-0000-000080000000}"/>
    <hyperlink ref="F112" r:id="rId74" xr:uid="{00000000-0004-0000-0000-00007E000000}"/>
    <hyperlink ref="F111" r:id="rId75" xr:uid="{00000000-0004-0000-0000-00007D000000}"/>
    <hyperlink ref="F110" r:id="rId76" xr:uid="{00000000-0004-0000-0000-00007C000000}"/>
    <hyperlink ref="F109" r:id="rId77" xr:uid="{00000000-0004-0000-0000-000079000000}"/>
    <hyperlink ref="F108" r:id="rId78" xr:uid="{00000000-0004-0000-0000-000078000000}"/>
    <hyperlink ref="F107" r:id="rId79" xr:uid="{00000000-0004-0000-0000-000074000000}"/>
    <hyperlink ref="F106" r:id="rId80" xr:uid="{00000000-0004-0000-0000-000072000000}"/>
    <hyperlink ref="F105" r:id="rId81" xr:uid="{00000000-0004-0000-0000-000071000000}"/>
    <hyperlink ref="F104" r:id="rId82" xr:uid="{00000000-0004-0000-0000-000070000000}"/>
    <hyperlink ref="F102" r:id="rId83" xr:uid="{00000000-0004-0000-0000-00006F000000}"/>
    <hyperlink ref="F101" r:id="rId84" xr:uid="{00000000-0004-0000-0000-00006E000000}"/>
    <hyperlink ref="F100" r:id="rId85" xr:uid="{00000000-0004-0000-0000-00006D000000}"/>
    <hyperlink ref="F99" r:id="rId86" xr:uid="{00000000-0004-0000-0000-00006A000000}"/>
    <hyperlink ref="F96" r:id="rId87" xr:uid="{00000000-0004-0000-0000-000066000000}"/>
    <hyperlink ref="F95" r:id="rId88" xr:uid="{00000000-0004-0000-0000-000064000000}"/>
    <hyperlink ref="F94" r:id="rId89" xr:uid="{00000000-0004-0000-0000-000063000000}"/>
    <hyperlink ref="F93" r:id="rId90" xr:uid="{00000000-0004-0000-0000-000062000000}"/>
    <hyperlink ref="F92" r:id="rId91" xr:uid="{00000000-0004-0000-0000-000060000000}"/>
    <hyperlink ref="F89" r:id="rId92" xr:uid="{00000000-0004-0000-0000-00005E000000}"/>
    <hyperlink ref="F81" r:id="rId93" xr:uid="{00000000-0004-0000-0000-00005A000000}"/>
    <hyperlink ref="F79" r:id="rId94" xr:uid="{00000000-0004-0000-0000-000055000000}"/>
    <hyperlink ref="F78" r:id="rId95" xr:uid="{00000000-0004-0000-0000-000054000000}"/>
    <hyperlink ref="F77" r:id="rId96" xr:uid="{00000000-0004-0000-0000-000053000000}"/>
    <hyperlink ref="F76" r:id="rId97" xr:uid="{00000000-0004-0000-0000-000052000000}"/>
    <hyperlink ref="F75" r:id="rId98" xr:uid="{00000000-0004-0000-0000-000051000000}"/>
    <hyperlink ref="F69" r:id="rId99" xr:uid="{00000000-0004-0000-0000-000048000000}"/>
    <hyperlink ref="F68" r:id="rId100" xr:uid="{00000000-0004-0000-0000-000043000000}"/>
    <hyperlink ref="F67" r:id="rId101" xr:uid="{00000000-0004-0000-0000-000042000000}"/>
    <hyperlink ref="F66" r:id="rId102" xr:uid="{00000000-0004-0000-0000-000040000000}"/>
    <hyperlink ref="F65" r:id="rId103" xr:uid="{00000000-0004-0000-0000-00003F000000}"/>
    <hyperlink ref="F64" r:id="rId104" xr:uid="{00000000-0004-0000-0000-00003B000000}"/>
    <hyperlink ref="F63" r:id="rId105" xr:uid="{00000000-0004-0000-0000-00003A000000}"/>
    <hyperlink ref="F62" r:id="rId106" xr:uid="{00000000-0004-0000-0000-000039000000}"/>
    <hyperlink ref="F61" r:id="rId107" xr:uid="{00000000-0004-0000-0000-000038000000}"/>
    <hyperlink ref="F56" r:id="rId108" xr:uid="{00000000-0004-0000-0000-000035000000}"/>
    <hyperlink ref="F53" r:id="rId109" xr:uid="{00000000-0004-0000-0000-000033000000}"/>
    <hyperlink ref="F52" r:id="rId110" xr:uid="{00000000-0004-0000-0000-000032000000}"/>
    <hyperlink ref="F51" r:id="rId111" xr:uid="{00000000-0004-0000-0000-000031000000}"/>
    <hyperlink ref="F47" r:id="rId112" xr:uid="{00000000-0004-0000-0000-00002F000000}"/>
    <hyperlink ref="F46" r:id="rId113" xr:uid="{00000000-0004-0000-0000-00002E000000}"/>
    <hyperlink ref="F45" r:id="rId114" xr:uid="{00000000-0004-0000-0000-00002D000000}"/>
    <hyperlink ref="F44" r:id="rId115" xr:uid="{00000000-0004-0000-0000-00002B000000}"/>
    <hyperlink ref="F39" r:id="rId116" xr:uid="{00000000-0004-0000-0000-000029000000}"/>
    <hyperlink ref="F38" r:id="rId117" xr:uid="{00000000-0004-0000-0000-000028000000}"/>
    <hyperlink ref="F37" r:id="rId118" xr:uid="{00000000-0004-0000-0000-000027000000}"/>
    <hyperlink ref="F36" r:id="rId119" xr:uid="{00000000-0004-0000-0000-000026000000}"/>
    <hyperlink ref="F35" r:id="rId120" xr:uid="{00000000-0004-0000-0000-000025000000}"/>
    <hyperlink ref="F31" r:id="rId121" xr:uid="{00000000-0004-0000-0000-000024000000}"/>
    <hyperlink ref="F30" r:id="rId122" xr:uid="{00000000-0004-0000-0000-000023000000}"/>
    <hyperlink ref="F29" r:id="rId123" xr:uid="{00000000-0004-0000-0000-00001D000000}"/>
    <hyperlink ref="F28" r:id="rId124" xr:uid="{00000000-0004-0000-0000-00001C000000}"/>
    <hyperlink ref="F26" r:id="rId125" xr:uid="{00000000-0004-0000-0000-000019000000}"/>
    <hyperlink ref="F24" r:id="rId126" xr:uid="{00000000-0004-0000-0000-000018000000}"/>
    <hyperlink ref="F23" r:id="rId127" xr:uid="{00000000-0004-0000-0000-000017000000}"/>
    <hyperlink ref="F22" r:id="rId128" xr:uid="{00000000-0004-0000-0000-000016000000}"/>
    <hyperlink ref="F21" r:id="rId129" xr:uid="{00000000-0004-0000-0000-000013000000}"/>
    <hyperlink ref="F20" r:id="rId130" xr:uid="{00000000-0004-0000-0000-000012000000}"/>
    <hyperlink ref="F19" r:id="rId131" xr:uid="{00000000-0004-0000-0000-000011000000}"/>
    <hyperlink ref="F17" r:id="rId132" xr:uid="{00000000-0004-0000-0000-00000D000000}"/>
    <hyperlink ref="F16" r:id="rId133" xr:uid="{00000000-0004-0000-0000-00000C000000}"/>
    <hyperlink ref="F15" r:id="rId134" xr:uid="{00000000-0004-0000-0000-00000B000000}"/>
    <hyperlink ref="F14" r:id="rId135" xr:uid="{00000000-0004-0000-0000-00000A000000}"/>
    <hyperlink ref="F13" r:id="rId136" xr:uid="{00000000-0004-0000-0000-000009000000}"/>
    <hyperlink ref="F11" r:id="rId137" xr:uid="{00000000-0004-0000-0000-000006000000}"/>
    <hyperlink ref="F10" r:id="rId138" xr:uid="{00000000-0004-0000-0000-000005000000}"/>
    <hyperlink ref="F7" r:id="rId139" xr:uid="{00000000-0004-0000-0000-000002000000}"/>
    <hyperlink ref="F5" r:id="rId140" xr:uid="{00000000-0004-0000-0000-000001000000}"/>
    <hyperlink ref="F3" r:id="rId14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X1000"/>
  <sheetViews>
    <sheetView workbookViewId="0">
      <pane ySplit="1" topLeftCell="A2" activePane="bottomLeft" state="frozen"/>
      <selection pane="bottomLeft" activeCell="B3" sqref="B3"/>
    </sheetView>
  </sheetViews>
  <sheetFormatPr baseColWidth="10" defaultColWidth="12.6640625" defaultRowHeight="15.75" customHeight="1"/>
  <cols>
    <col min="1" max="1" width="18.1640625" customWidth="1"/>
    <col min="2" max="2" width="5.6640625" customWidth="1"/>
    <col min="3" max="3" width="35.1640625" customWidth="1"/>
    <col min="4" max="4" width="14.83203125" customWidth="1"/>
    <col min="5" max="5" width="12.6640625" customWidth="1"/>
    <col min="6" max="6" width="14.5" customWidth="1"/>
    <col min="7" max="7" width="42.83203125" customWidth="1"/>
    <col min="8" max="8" width="41.6640625" customWidth="1"/>
    <col min="9" max="10" width="7.1640625" customWidth="1"/>
    <col min="11" max="11" width="44.33203125" customWidth="1"/>
    <col min="12" max="12" width="11.83203125" customWidth="1"/>
    <col min="13" max="13" width="6.6640625" customWidth="1"/>
    <col min="14" max="14" width="9.6640625" customWidth="1"/>
    <col min="15" max="20" width="12.6640625" hidden="1" customWidth="1"/>
    <col min="21" max="21" width="21.1640625" hidden="1" customWidth="1"/>
    <col min="22" max="22" width="74" hidden="1" customWidth="1"/>
    <col min="23" max="24" width="12.6640625" hidden="1" customWidth="1"/>
  </cols>
  <sheetData>
    <row r="1" spans="1:24" ht="28" customHeight="1">
      <c r="A1" s="266" t="s">
        <v>2682</v>
      </c>
      <c r="B1" s="267" t="s">
        <v>11</v>
      </c>
      <c r="C1" s="267" t="s">
        <v>2683</v>
      </c>
      <c r="D1" s="268" t="s">
        <v>2684</v>
      </c>
      <c r="E1" s="267" t="s">
        <v>2685</v>
      </c>
      <c r="F1" s="269" t="s">
        <v>2686</v>
      </c>
      <c r="G1" s="267" t="s">
        <v>2687</v>
      </c>
      <c r="H1" s="267" t="s">
        <v>2688</v>
      </c>
      <c r="I1" s="267" t="s">
        <v>2689</v>
      </c>
      <c r="J1" s="267" t="s">
        <v>2690</v>
      </c>
      <c r="K1" s="267" t="s">
        <v>12</v>
      </c>
      <c r="L1" s="267" t="s">
        <v>2691</v>
      </c>
      <c r="M1" s="267" t="s">
        <v>2692</v>
      </c>
      <c r="N1" s="267" t="s">
        <v>2693</v>
      </c>
      <c r="O1" s="267" t="s">
        <v>2694</v>
      </c>
      <c r="P1" s="267" t="s">
        <v>2695</v>
      </c>
      <c r="Q1" s="267" t="s">
        <v>2696</v>
      </c>
      <c r="R1" s="267" t="s">
        <v>2697</v>
      </c>
      <c r="S1" s="267" t="s">
        <v>2688</v>
      </c>
      <c r="T1" s="267" t="s">
        <v>2698</v>
      </c>
      <c r="U1" s="267" t="s">
        <v>2699</v>
      </c>
      <c r="V1" s="248" t="s">
        <v>2700</v>
      </c>
      <c r="W1" s="248" t="s">
        <v>2701</v>
      </c>
      <c r="X1" s="248" t="s">
        <v>2702</v>
      </c>
    </row>
    <row r="2" spans="1:24" ht="13" hidden="1" customHeight="1">
      <c r="A2" s="270" t="s">
        <v>2703</v>
      </c>
      <c r="B2" s="271">
        <v>2022</v>
      </c>
      <c r="C2" s="271" t="s">
        <v>2704</v>
      </c>
      <c r="D2" s="272" t="s">
        <v>214</v>
      </c>
      <c r="E2" s="271" t="s">
        <v>844</v>
      </c>
      <c r="F2" s="273" t="s">
        <v>2705</v>
      </c>
      <c r="G2" s="271" t="s">
        <v>2706</v>
      </c>
      <c r="H2" s="271" t="s">
        <v>2707</v>
      </c>
      <c r="I2" s="271" t="s">
        <v>2708</v>
      </c>
      <c r="J2" s="274" t="s">
        <v>2709</v>
      </c>
      <c r="K2" s="271" t="s">
        <v>2704</v>
      </c>
      <c r="L2" s="271" t="s">
        <v>2710</v>
      </c>
      <c r="M2" s="275">
        <v>44562</v>
      </c>
      <c r="N2" s="276">
        <v>45571.406527777777</v>
      </c>
      <c r="O2" s="271" t="s">
        <v>2711</v>
      </c>
      <c r="P2" s="271">
        <v>1</v>
      </c>
      <c r="Q2" s="271">
        <v>9</v>
      </c>
      <c r="R2" s="271"/>
      <c r="S2" s="271"/>
      <c r="T2" s="271"/>
      <c r="U2" s="271" t="s">
        <v>2712</v>
      </c>
      <c r="V2" s="254" t="s">
        <v>2713</v>
      </c>
    </row>
    <row r="3" spans="1:24" ht="13" hidden="1" customHeight="1">
      <c r="A3" s="263" t="str">
        <f>CONCATENATE(LEFT(L3,FIND(",",L3) - 1)," et al.")</f>
        <v>Brennen et al.</v>
      </c>
      <c r="B3" s="271">
        <v>2021</v>
      </c>
      <c r="C3" s="271" t="s">
        <v>2714</v>
      </c>
      <c r="D3" s="272" t="s">
        <v>214</v>
      </c>
      <c r="E3" s="271" t="s">
        <v>844</v>
      </c>
      <c r="F3" s="273" t="s">
        <v>2705</v>
      </c>
      <c r="G3" s="271" t="s">
        <v>2715</v>
      </c>
      <c r="H3" s="271" t="s">
        <v>2716</v>
      </c>
      <c r="I3" s="271" t="s">
        <v>2717</v>
      </c>
      <c r="J3" s="274" t="s">
        <v>2718</v>
      </c>
      <c r="K3" s="271" t="s">
        <v>2719</v>
      </c>
      <c r="L3" s="271" t="s">
        <v>2720</v>
      </c>
      <c r="M3" s="275">
        <v>44197</v>
      </c>
      <c r="N3" s="276">
        <v>45544.491932870369</v>
      </c>
      <c r="O3" s="271" t="s">
        <v>2721</v>
      </c>
      <c r="P3" s="271">
        <v>1</v>
      </c>
      <c r="Q3" s="271">
        <v>26</v>
      </c>
      <c r="R3" s="271"/>
      <c r="S3" s="271"/>
      <c r="T3" s="271"/>
      <c r="U3" s="271" t="s">
        <v>2712</v>
      </c>
      <c r="V3" s="254" t="s">
        <v>2722</v>
      </c>
      <c r="X3" s="254" t="s">
        <v>2723</v>
      </c>
    </row>
    <row r="4" spans="1:24" ht="13" hidden="1" customHeight="1">
      <c r="A4" s="277" t="str">
        <f>CONCATENATE(LEFT(L4,FIND(",",L4) - 1)," et al.")</f>
        <v>Lisnic et al.</v>
      </c>
      <c r="B4" s="271">
        <v>2023</v>
      </c>
      <c r="C4" s="271" t="s">
        <v>2724</v>
      </c>
      <c r="D4" s="272" t="s">
        <v>214</v>
      </c>
      <c r="E4" s="271" t="s">
        <v>844</v>
      </c>
      <c r="F4" s="273" t="s">
        <v>2705</v>
      </c>
      <c r="G4" s="278" t="s">
        <v>2725</v>
      </c>
      <c r="H4" s="271" t="s">
        <v>2726</v>
      </c>
      <c r="I4" s="271" t="s">
        <v>2727</v>
      </c>
      <c r="J4" s="274" t="s">
        <v>2728</v>
      </c>
      <c r="K4" s="271" t="s">
        <v>2729</v>
      </c>
      <c r="L4" s="271" t="s">
        <v>2730</v>
      </c>
      <c r="M4" s="275">
        <v>45035</v>
      </c>
      <c r="N4" s="276">
        <v>45386.395671296297</v>
      </c>
      <c r="O4" s="271" t="s">
        <v>2731</v>
      </c>
      <c r="P4" s="271"/>
      <c r="Q4" s="271"/>
      <c r="R4" s="271"/>
      <c r="S4" s="271" t="s">
        <v>2732</v>
      </c>
      <c r="T4" s="271"/>
      <c r="U4" s="271" t="s">
        <v>2733</v>
      </c>
    </row>
    <row r="5" spans="1:24" ht="13" hidden="1" customHeight="1">
      <c r="A5" s="270" t="s">
        <v>2734</v>
      </c>
      <c r="B5" s="271">
        <v>2011</v>
      </c>
      <c r="C5" s="271" t="s">
        <v>2735</v>
      </c>
      <c r="D5" s="272" t="s">
        <v>214</v>
      </c>
      <c r="E5" s="271"/>
      <c r="F5" s="273" t="s">
        <v>2705</v>
      </c>
      <c r="G5" s="271" t="s">
        <v>2736</v>
      </c>
      <c r="H5" s="271" t="s">
        <v>2737</v>
      </c>
      <c r="I5" s="271" t="s">
        <v>2738</v>
      </c>
      <c r="J5" s="274" t="s">
        <v>2739</v>
      </c>
      <c r="K5" s="271" t="s">
        <v>2740</v>
      </c>
      <c r="L5" s="271" t="s">
        <v>2741</v>
      </c>
      <c r="M5" s="279">
        <v>40817</v>
      </c>
      <c r="N5" s="276">
        <v>45568.513449074067</v>
      </c>
      <c r="O5" s="271" t="s">
        <v>2742</v>
      </c>
      <c r="P5" s="271">
        <v>4</v>
      </c>
      <c r="Q5" s="271">
        <v>10</v>
      </c>
      <c r="R5" s="271" t="s">
        <v>2737</v>
      </c>
      <c r="S5" s="271"/>
      <c r="T5" s="271"/>
      <c r="U5" s="271" t="s">
        <v>2733</v>
      </c>
      <c r="V5" s="254" t="s">
        <v>2743</v>
      </c>
    </row>
    <row r="6" spans="1:24" ht="13" hidden="1" customHeight="1">
      <c r="A6" s="270" t="str">
        <f>CONCATENATE(LEFT(L6,FIND(",",L6) - 1)," et al.")</f>
        <v>Pokojná et al.</v>
      </c>
      <c r="B6" s="271">
        <v>2024</v>
      </c>
      <c r="C6" s="271" t="s">
        <v>2744</v>
      </c>
      <c r="D6" s="272" t="s">
        <v>214</v>
      </c>
      <c r="E6" s="271"/>
      <c r="F6" s="273" t="s">
        <v>2705</v>
      </c>
      <c r="G6" s="271" t="s">
        <v>2661</v>
      </c>
      <c r="H6" s="271" t="s">
        <v>2745</v>
      </c>
      <c r="I6" s="271"/>
      <c r="J6" s="274" t="s">
        <v>2746</v>
      </c>
      <c r="K6" s="271" t="s">
        <v>2659</v>
      </c>
      <c r="L6" s="271" t="s">
        <v>2658</v>
      </c>
      <c r="M6" s="275">
        <v>45491</v>
      </c>
      <c r="N6" s="276">
        <v>45544.569421296299</v>
      </c>
      <c r="O6" s="271"/>
      <c r="P6" s="271"/>
      <c r="Q6" s="271"/>
      <c r="R6" s="271"/>
      <c r="S6" s="271" t="s">
        <v>2747</v>
      </c>
      <c r="T6" s="271"/>
      <c r="U6" s="274" t="s">
        <v>2748</v>
      </c>
      <c r="V6" s="254" t="s">
        <v>2749</v>
      </c>
    </row>
    <row r="7" spans="1:24" ht="13" hidden="1" customHeight="1">
      <c r="A7" s="270" t="s">
        <v>2750</v>
      </c>
      <c r="B7" s="271">
        <v>2023</v>
      </c>
      <c r="C7" s="271" t="s">
        <v>2751</v>
      </c>
      <c r="D7" s="272" t="s">
        <v>2752</v>
      </c>
      <c r="E7" s="271" t="s">
        <v>2753</v>
      </c>
      <c r="F7" s="273" t="s">
        <v>2705</v>
      </c>
      <c r="G7" s="254" t="s">
        <v>2754</v>
      </c>
      <c r="H7" s="271" t="s">
        <v>2755</v>
      </c>
      <c r="I7" s="271" t="s">
        <v>2756</v>
      </c>
      <c r="J7" s="274" t="s">
        <v>2757</v>
      </c>
      <c r="K7" s="271" t="s">
        <v>2758</v>
      </c>
      <c r="L7" t="s">
        <v>2759</v>
      </c>
      <c r="M7" s="275">
        <v>45208</v>
      </c>
      <c r="N7" s="276">
        <v>45570.576979166668</v>
      </c>
      <c r="O7" s="271"/>
      <c r="P7" s="271"/>
      <c r="Q7" s="271"/>
      <c r="R7" s="271"/>
      <c r="S7" s="271" t="s">
        <v>2760</v>
      </c>
      <c r="T7" s="271"/>
      <c r="U7" s="271" t="s">
        <v>2733</v>
      </c>
      <c r="V7" s="254" t="s">
        <v>2761</v>
      </c>
      <c r="W7" s="254" t="s">
        <v>2762</v>
      </c>
    </row>
    <row r="8" spans="1:24" ht="13" hidden="1" customHeight="1">
      <c r="A8" s="277" t="str">
        <f>CONCATENATE(LEFT(L8,FIND(",",L8) - 1)," et al.")</f>
        <v>Jia et al.</v>
      </c>
      <c r="B8" s="271">
        <v>2023</v>
      </c>
      <c r="C8" s="271" t="s">
        <v>2763</v>
      </c>
      <c r="D8" s="272" t="s">
        <v>168</v>
      </c>
      <c r="E8" s="271" t="s">
        <v>844</v>
      </c>
      <c r="F8" s="273" t="s">
        <v>2705</v>
      </c>
      <c r="G8" s="271" t="s">
        <v>2764</v>
      </c>
      <c r="H8" s="271" t="s">
        <v>168</v>
      </c>
      <c r="I8" s="271" t="s">
        <v>2765</v>
      </c>
      <c r="J8" s="274" t="s">
        <v>2766</v>
      </c>
      <c r="K8" s="271" t="s">
        <v>2767</v>
      </c>
      <c r="L8" s="271" t="s">
        <v>2768</v>
      </c>
      <c r="M8" s="271">
        <v>2023</v>
      </c>
      <c r="N8" s="276">
        <v>45363.415798611109</v>
      </c>
      <c r="O8" s="280">
        <v>45597</v>
      </c>
      <c r="P8" s="271">
        <v>0</v>
      </c>
      <c r="Q8" s="271">
        <v>0</v>
      </c>
      <c r="R8" s="271"/>
      <c r="S8" s="271"/>
      <c r="T8" s="271"/>
      <c r="U8" s="271" t="s">
        <v>2769</v>
      </c>
      <c r="V8" s="254" t="s">
        <v>2770</v>
      </c>
    </row>
    <row r="9" spans="1:24" ht="13" hidden="1" customHeight="1">
      <c r="A9" s="270" t="str">
        <f>CONCATENATE(LEFT(L9,FIND(",",L9) - 1)," et al.")</f>
        <v>Lee et al.</v>
      </c>
      <c r="B9" s="271">
        <v>2021</v>
      </c>
      <c r="C9" s="271" t="s">
        <v>2771</v>
      </c>
      <c r="D9" s="272" t="s">
        <v>214</v>
      </c>
      <c r="E9" s="271" t="s">
        <v>844</v>
      </c>
      <c r="F9" s="273" t="s">
        <v>2705</v>
      </c>
      <c r="G9" s="278" t="s">
        <v>2772</v>
      </c>
      <c r="H9" s="271" t="s">
        <v>2773</v>
      </c>
      <c r="I9" s="271" t="s">
        <v>2774</v>
      </c>
      <c r="J9" s="274" t="s">
        <v>2775</v>
      </c>
      <c r="K9" s="271" t="s">
        <v>2776</v>
      </c>
      <c r="L9" s="271" t="s">
        <v>2777</v>
      </c>
      <c r="M9" s="275">
        <v>44322</v>
      </c>
      <c r="N9" s="276">
        <v>45571.412812499999</v>
      </c>
      <c r="O9" s="271" t="s">
        <v>2778</v>
      </c>
      <c r="P9" s="271"/>
      <c r="Q9" s="271"/>
      <c r="R9" s="271"/>
      <c r="S9" s="271" t="s">
        <v>2732</v>
      </c>
      <c r="T9" s="271"/>
      <c r="U9" s="271" t="s">
        <v>2733</v>
      </c>
      <c r="V9" s="254" t="s">
        <v>2779</v>
      </c>
    </row>
    <row r="10" spans="1:24" ht="13" hidden="1" customHeight="1">
      <c r="A10" s="277" t="str">
        <f>CONCATENATE(LEFT(L10,FIND(",",L10) - 1)," et al.")</f>
        <v>Lisnic et al.</v>
      </c>
      <c r="B10" s="271">
        <v>2024</v>
      </c>
      <c r="C10" s="271" t="s">
        <v>2780</v>
      </c>
      <c r="D10" s="272" t="s">
        <v>214</v>
      </c>
      <c r="E10" s="271"/>
      <c r="F10" s="273" t="s">
        <v>2705</v>
      </c>
      <c r="G10" s="271" t="s">
        <v>2781</v>
      </c>
      <c r="H10" s="271"/>
      <c r="I10" s="271" t="s">
        <v>2782</v>
      </c>
      <c r="J10" s="274" t="s">
        <v>2783</v>
      </c>
      <c r="K10" s="271" t="s">
        <v>2784</v>
      </c>
      <c r="L10" s="271" t="s">
        <v>2785</v>
      </c>
      <c r="M10" s="275">
        <v>45386</v>
      </c>
      <c r="N10" s="276">
        <v>45571.470543981479</v>
      </c>
      <c r="O10" s="271"/>
      <c r="P10" s="271"/>
      <c r="Q10" s="271"/>
      <c r="R10" s="271"/>
      <c r="S10" s="271"/>
      <c r="T10" s="274" t="s">
        <v>2786</v>
      </c>
      <c r="U10" s="271" t="s">
        <v>2787</v>
      </c>
      <c r="V10" s="254" t="s">
        <v>2788</v>
      </c>
    </row>
    <row r="11" spans="1:24" ht="13" hidden="1" customHeight="1">
      <c r="A11" s="270" t="s">
        <v>2789</v>
      </c>
      <c r="B11" s="271">
        <v>2011</v>
      </c>
      <c r="C11" s="271" t="s">
        <v>2790</v>
      </c>
      <c r="D11" s="272" t="s">
        <v>214</v>
      </c>
      <c r="E11" s="271"/>
      <c r="F11" s="273" t="s">
        <v>2705</v>
      </c>
      <c r="G11" s="271" t="s">
        <v>212</v>
      </c>
      <c r="H11" s="271" t="s">
        <v>2791</v>
      </c>
      <c r="I11" s="271" t="s">
        <v>2792</v>
      </c>
      <c r="J11" s="274" t="s">
        <v>211</v>
      </c>
      <c r="K11" s="271" t="s">
        <v>210</v>
      </c>
      <c r="L11" s="271" t="s">
        <v>209</v>
      </c>
      <c r="M11" s="279">
        <v>40878</v>
      </c>
      <c r="N11" s="276">
        <v>45342.234085648153</v>
      </c>
      <c r="O11" s="271" t="s">
        <v>2793</v>
      </c>
      <c r="P11" s="271">
        <v>12</v>
      </c>
      <c r="Q11" s="271">
        <v>17</v>
      </c>
      <c r="R11" s="271" t="s">
        <v>2794</v>
      </c>
      <c r="S11" s="271"/>
      <c r="T11" s="271"/>
      <c r="U11" s="271" t="s">
        <v>2733</v>
      </c>
      <c r="V11" s="254" t="s">
        <v>2795</v>
      </c>
    </row>
    <row r="12" spans="1:24" ht="13" hidden="1" customHeight="1">
      <c r="A12" s="263" t="str">
        <f t="shared" ref="A12:A22" si="0">CONCATENATE(LEFT(L12,FIND(",",L12) - 1)," et al.")</f>
        <v>Canon et al.</v>
      </c>
      <c r="B12" s="271">
        <v>2022</v>
      </c>
      <c r="C12" s="271" t="s">
        <v>2796</v>
      </c>
      <c r="D12" s="272" t="s">
        <v>643</v>
      </c>
      <c r="E12" s="271" t="s">
        <v>267</v>
      </c>
      <c r="F12" s="273" t="s">
        <v>2705</v>
      </c>
      <c r="G12" s="271" t="s">
        <v>2797</v>
      </c>
      <c r="H12" s="271" t="s">
        <v>2798</v>
      </c>
      <c r="I12" s="271" t="s">
        <v>2799</v>
      </c>
      <c r="J12" s="274" t="s">
        <v>2800</v>
      </c>
      <c r="K12" s="271" t="s">
        <v>2801</v>
      </c>
      <c r="L12" s="271" t="s">
        <v>2802</v>
      </c>
      <c r="M12" s="275">
        <v>44895</v>
      </c>
      <c r="N12" s="276">
        <v>45568.635127314818</v>
      </c>
      <c r="O12" s="271" t="s">
        <v>2803</v>
      </c>
      <c r="P12" s="271">
        <v>7</v>
      </c>
      <c r="Q12" s="271">
        <v>21</v>
      </c>
      <c r="R12" s="271" t="s">
        <v>2804</v>
      </c>
      <c r="S12" s="271"/>
      <c r="T12" s="271"/>
      <c r="U12" s="271" t="s">
        <v>2733</v>
      </c>
      <c r="V12" s="254" t="s">
        <v>2805</v>
      </c>
    </row>
    <row r="13" spans="1:24" ht="13" hidden="1" customHeight="1">
      <c r="A13" s="277" t="str">
        <f t="shared" si="0"/>
        <v>Koesten et al.</v>
      </c>
      <c r="B13" s="271">
        <v>2023</v>
      </c>
      <c r="C13" s="271" t="s">
        <v>2806</v>
      </c>
      <c r="D13" s="272" t="s">
        <v>214</v>
      </c>
      <c r="E13" s="271"/>
      <c r="F13" s="273" t="s">
        <v>2807</v>
      </c>
      <c r="G13" s="271" t="s">
        <v>2808</v>
      </c>
      <c r="H13" s="274" t="s">
        <v>2748</v>
      </c>
      <c r="I13" s="271"/>
      <c r="J13" s="274" t="s">
        <v>2809</v>
      </c>
      <c r="K13" s="271" t="s">
        <v>2810</v>
      </c>
      <c r="L13" s="271" t="s">
        <v>2811</v>
      </c>
      <c r="M13" s="275">
        <v>45028</v>
      </c>
      <c r="N13" s="276">
        <v>45573.629907407398</v>
      </c>
      <c r="O13" s="271"/>
      <c r="P13" s="271"/>
      <c r="Q13" s="271"/>
      <c r="R13" s="271"/>
      <c r="S13" s="271"/>
      <c r="T13" s="271"/>
      <c r="U13" s="271"/>
      <c r="V13" s="254" t="s">
        <v>2812</v>
      </c>
    </row>
    <row r="14" spans="1:24" ht="13" hidden="1" customHeight="1">
      <c r="A14" s="277" t="str">
        <f t="shared" si="0"/>
        <v>Zavolokina et al.</v>
      </c>
      <c r="B14" s="271">
        <v>2024</v>
      </c>
      <c r="C14" s="271" t="s">
        <v>2813</v>
      </c>
      <c r="D14" s="272" t="s">
        <v>214</v>
      </c>
      <c r="E14" s="271"/>
      <c r="F14" s="273" t="s">
        <v>2814</v>
      </c>
      <c r="G14" s="281" t="s">
        <v>2815</v>
      </c>
      <c r="H14" s="271" t="s">
        <v>2816</v>
      </c>
      <c r="I14" s="271" t="s">
        <v>2817</v>
      </c>
      <c r="J14" s="274" t="s">
        <v>2818</v>
      </c>
      <c r="K14" s="271" t="s">
        <v>2819</v>
      </c>
      <c r="L14" s="271" t="s">
        <v>2820</v>
      </c>
      <c r="M14" s="275">
        <v>45423</v>
      </c>
      <c r="N14" s="276">
        <v>45426.356307870366</v>
      </c>
      <c r="O14" s="271" t="s">
        <v>2821</v>
      </c>
      <c r="P14" s="271"/>
      <c r="Q14" s="271"/>
      <c r="R14" s="271"/>
      <c r="S14" s="271" t="s">
        <v>2732</v>
      </c>
      <c r="T14" s="271"/>
      <c r="U14" s="271" t="s">
        <v>2733</v>
      </c>
      <c r="V14" s="254" t="s">
        <v>2822</v>
      </c>
    </row>
    <row r="15" spans="1:24" ht="13" customHeight="1">
      <c r="A15" s="263" t="str">
        <f t="shared" si="0"/>
        <v>Aseniero et al.</v>
      </c>
      <c r="B15" s="271">
        <v>2022</v>
      </c>
      <c r="C15" s="271" t="s">
        <v>2823</v>
      </c>
      <c r="D15" s="272" t="s">
        <v>214</v>
      </c>
      <c r="E15" s="271" t="s">
        <v>2824</v>
      </c>
      <c r="F15" s="273" t="s">
        <v>2825</v>
      </c>
      <c r="G15" s="271" t="s">
        <v>2826</v>
      </c>
      <c r="H15" s="271" t="s">
        <v>2827</v>
      </c>
      <c r="I15" s="271" t="s">
        <v>2828</v>
      </c>
      <c r="J15" s="274" t="s">
        <v>2829</v>
      </c>
      <c r="K15" s="271" t="s">
        <v>2830</v>
      </c>
      <c r="L15" s="271" t="s">
        <v>2831</v>
      </c>
      <c r="M15" s="279">
        <v>44835</v>
      </c>
      <c r="N15" s="276">
        <v>45570.608449074083</v>
      </c>
      <c r="O15" s="271" t="s">
        <v>2832</v>
      </c>
      <c r="P15" s="271"/>
      <c r="Q15" s="271"/>
      <c r="R15" s="271"/>
      <c r="S15" s="271"/>
      <c r="T15" s="271"/>
      <c r="U15" s="271" t="s">
        <v>2833</v>
      </c>
      <c r="V15" s="254" t="s">
        <v>2834</v>
      </c>
    </row>
    <row r="16" spans="1:24" ht="13" customHeight="1">
      <c r="A16" s="263" t="str">
        <f t="shared" si="0"/>
        <v>Bartram et al.</v>
      </c>
      <c r="B16" s="271">
        <v>2017</v>
      </c>
      <c r="C16" s="271" t="s">
        <v>2835</v>
      </c>
      <c r="D16" s="272" t="s">
        <v>214</v>
      </c>
      <c r="E16" s="271"/>
      <c r="F16" s="273" t="s">
        <v>2836</v>
      </c>
      <c r="G16" s="282" t="s">
        <v>2837</v>
      </c>
      <c r="H16" s="271" t="s">
        <v>2838</v>
      </c>
      <c r="I16" s="271" t="s">
        <v>2839</v>
      </c>
      <c r="J16" s="274" t="s">
        <v>2840</v>
      </c>
      <c r="K16" s="271" t="s">
        <v>2841</v>
      </c>
      <c r="L16" s="271" t="s">
        <v>2842</v>
      </c>
      <c r="M16" s="275">
        <v>42857</v>
      </c>
      <c r="N16" s="276">
        <v>45569.687835648147</v>
      </c>
      <c r="O16" s="271" t="s">
        <v>2843</v>
      </c>
      <c r="P16" s="271"/>
      <c r="Q16" s="271"/>
      <c r="R16" s="271"/>
      <c r="S16" s="271" t="s">
        <v>2732</v>
      </c>
      <c r="T16" s="271"/>
      <c r="U16" s="271" t="s">
        <v>2733</v>
      </c>
      <c r="V16" s="254" t="s">
        <v>2844</v>
      </c>
      <c r="W16" s="254" t="s">
        <v>2845</v>
      </c>
    </row>
    <row r="17" spans="1:24" ht="13" customHeight="1">
      <c r="A17" s="263" t="str">
        <f t="shared" si="0"/>
        <v>Baumer et al.</v>
      </c>
      <c r="B17" s="271">
        <v>2022</v>
      </c>
      <c r="C17" s="271" t="s">
        <v>2846</v>
      </c>
      <c r="D17" s="272" t="s">
        <v>214</v>
      </c>
      <c r="E17" s="271" t="s">
        <v>1111</v>
      </c>
      <c r="F17" s="273" t="s">
        <v>2847</v>
      </c>
      <c r="G17" s="271" t="s">
        <v>2848</v>
      </c>
      <c r="H17" s="271" t="s">
        <v>2849</v>
      </c>
      <c r="I17" s="271" t="s">
        <v>2850</v>
      </c>
      <c r="J17" s="274" t="s">
        <v>2851</v>
      </c>
      <c r="K17" s="271" t="s">
        <v>2852</v>
      </c>
      <c r="L17" s="271" t="s">
        <v>2853</v>
      </c>
      <c r="M17" s="271">
        <v>2022</v>
      </c>
      <c r="N17" s="276">
        <v>45401.45553240741</v>
      </c>
      <c r="O17" s="271" t="s">
        <v>2854</v>
      </c>
      <c r="P17" s="271">
        <v>3</v>
      </c>
      <c r="Q17" s="271">
        <v>41</v>
      </c>
      <c r="R17" s="271"/>
      <c r="S17" s="271"/>
      <c r="T17" s="271"/>
      <c r="U17" s="271" t="s">
        <v>2855</v>
      </c>
      <c r="V17" s="254" t="s">
        <v>2856</v>
      </c>
      <c r="W17" s="254" t="s">
        <v>2857</v>
      </c>
    </row>
    <row r="18" spans="1:24" ht="13" customHeight="1">
      <c r="A18" s="263" t="str">
        <f t="shared" si="0"/>
        <v>Boehner et al.</v>
      </c>
      <c r="B18" s="271">
        <v>2005</v>
      </c>
      <c r="C18" s="271" t="s">
        <v>2858</v>
      </c>
      <c r="D18" s="272" t="s">
        <v>2859</v>
      </c>
      <c r="E18" s="271"/>
      <c r="F18" s="273" t="s">
        <v>2860</v>
      </c>
      <c r="G18" s="271" t="s">
        <v>2861</v>
      </c>
      <c r="H18" s="271" t="s">
        <v>2862</v>
      </c>
      <c r="I18" s="271" t="s">
        <v>2863</v>
      </c>
      <c r="J18" s="274" t="s">
        <v>2864</v>
      </c>
      <c r="K18" s="271" t="s">
        <v>2858</v>
      </c>
      <c r="L18" s="271" t="s">
        <v>2865</v>
      </c>
      <c r="M18" s="275">
        <v>38584</v>
      </c>
      <c r="N18" s="276">
        <v>45569.5312037037</v>
      </c>
      <c r="O18" s="271" t="s">
        <v>2866</v>
      </c>
      <c r="P18" s="271"/>
      <c r="Q18" s="271"/>
      <c r="R18" s="271"/>
      <c r="S18" s="271" t="s">
        <v>2732</v>
      </c>
      <c r="T18" s="271"/>
      <c r="U18" s="271" t="s">
        <v>2733</v>
      </c>
      <c r="V18" s="254" t="s">
        <v>2867</v>
      </c>
      <c r="W18" s="254" t="s">
        <v>2868</v>
      </c>
    </row>
    <row r="19" spans="1:24" ht="13" customHeight="1">
      <c r="A19" s="263" t="str">
        <f t="shared" si="0"/>
        <v>Burns et al.</v>
      </c>
      <c r="B19" s="271">
        <v>2020</v>
      </c>
      <c r="C19" s="271" t="s">
        <v>2869</v>
      </c>
      <c r="D19" s="272" t="s">
        <v>214</v>
      </c>
      <c r="E19" s="271"/>
      <c r="F19" s="273" t="s">
        <v>2847</v>
      </c>
      <c r="G19" s="271" t="s">
        <v>2870</v>
      </c>
      <c r="H19" s="271" t="s">
        <v>2871</v>
      </c>
      <c r="I19" s="271" t="s">
        <v>2872</v>
      </c>
      <c r="J19" s="274" t="s">
        <v>2873</v>
      </c>
      <c r="K19" s="271" t="s">
        <v>2874</v>
      </c>
      <c r="L19" s="271" t="s">
        <v>2875</v>
      </c>
      <c r="M19" s="279">
        <v>44105</v>
      </c>
      <c r="N19" s="276">
        <v>45569.674375000002</v>
      </c>
      <c r="O19" s="271" t="s">
        <v>2876</v>
      </c>
      <c r="P19" s="271"/>
      <c r="Q19" s="271"/>
      <c r="R19" s="271"/>
      <c r="S19" s="271" t="s">
        <v>2877</v>
      </c>
      <c r="T19" s="274" t="s">
        <v>2878</v>
      </c>
      <c r="U19" s="271" t="s">
        <v>2733</v>
      </c>
      <c r="V19" s="254" t="s">
        <v>2879</v>
      </c>
    </row>
    <row r="20" spans="1:24" ht="13" customHeight="1">
      <c r="A20" s="263" t="str">
        <f t="shared" si="0"/>
        <v>Cabric et al.</v>
      </c>
      <c r="B20" s="271">
        <v>2023</v>
      </c>
      <c r="C20" s="271" t="s">
        <v>2880</v>
      </c>
      <c r="D20" s="272" t="s">
        <v>214</v>
      </c>
      <c r="E20" s="271" t="s">
        <v>2881</v>
      </c>
      <c r="F20" s="273" t="s">
        <v>2836</v>
      </c>
      <c r="G20" s="271" t="s">
        <v>2882</v>
      </c>
      <c r="H20" s="271" t="s">
        <v>2791</v>
      </c>
      <c r="I20" s="271" t="s">
        <v>2883</v>
      </c>
      <c r="J20" s="274" t="s">
        <v>2884</v>
      </c>
      <c r="K20" s="271" t="s">
        <v>2885</v>
      </c>
      <c r="L20" s="271" t="s">
        <v>2886</v>
      </c>
      <c r="M20" s="271">
        <v>2023</v>
      </c>
      <c r="N20" s="276">
        <v>45401.465567129628</v>
      </c>
      <c r="O20" s="280">
        <v>45597</v>
      </c>
      <c r="P20" s="271"/>
      <c r="Q20" s="271"/>
      <c r="R20" s="271" t="s">
        <v>2794</v>
      </c>
      <c r="S20" s="271"/>
      <c r="T20" s="274" t="s">
        <v>2878</v>
      </c>
      <c r="U20" s="271" t="s">
        <v>2733</v>
      </c>
      <c r="V20" s="254" t="s">
        <v>2887</v>
      </c>
      <c r="X20" s="254" t="s">
        <v>2888</v>
      </c>
    </row>
    <row r="21" spans="1:24" ht="13" customHeight="1">
      <c r="A21" s="263" t="str">
        <f t="shared" si="0"/>
        <v>Chang et al.</v>
      </c>
      <c r="B21" s="271">
        <v>2024</v>
      </c>
      <c r="C21" s="271" t="s">
        <v>2889</v>
      </c>
      <c r="D21" s="272" t="s">
        <v>312</v>
      </c>
      <c r="E21" s="271"/>
      <c r="F21" s="273" t="s">
        <v>2836</v>
      </c>
      <c r="G21" s="283" t="s">
        <v>2890</v>
      </c>
      <c r="H21" s="271" t="s">
        <v>2891</v>
      </c>
      <c r="I21" s="271" t="s">
        <v>2892</v>
      </c>
      <c r="J21" s="274" t="s">
        <v>2893</v>
      </c>
      <c r="K21" s="271" t="s">
        <v>2894</v>
      </c>
      <c r="L21" s="271" t="s">
        <v>2895</v>
      </c>
      <c r="M21" s="275">
        <v>45414</v>
      </c>
      <c r="N21" s="276">
        <v>45426.294756944437</v>
      </c>
      <c r="O21" s="280">
        <v>45474</v>
      </c>
      <c r="P21" s="271"/>
      <c r="Q21" s="271"/>
      <c r="R21" s="271"/>
      <c r="S21" s="271" t="s">
        <v>2732</v>
      </c>
      <c r="T21" s="271"/>
      <c r="U21" s="271" t="s">
        <v>2733</v>
      </c>
      <c r="V21" s="254" t="s">
        <v>2896</v>
      </c>
      <c r="W21" s="254" t="s">
        <v>2897</v>
      </c>
    </row>
    <row r="22" spans="1:24" ht="13" customHeight="1">
      <c r="A22" s="263" t="str">
        <f t="shared" si="0"/>
        <v>Chen et al.</v>
      </c>
      <c r="B22" s="271">
        <v>2024</v>
      </c>
      <c r="C22" s="271" t="s">
        <v>2898</v>
      </c>
      <c r="D22" s="272" t="s">
        <v>214</v>
      </c>
      <c r="E22" s="271"/>
      <c r="F22" s="273" t="s">
        <v>2836</v>
      </c>
      <c r="G22" s="271" t="s">
        <v>2899</v>
      </c>
      <c r="H22" s="271" t="s">
        <v>2791</v>
      </c>
      <c r="I22" s="271" t="s">
        <v>2900</v>
      </c>
      <c r="J22" s="274" t="s">
        <v>2901</v>
      </c>
      <c r="K22" s="271" t="s">
        <v>2902</v>
      </c>
      <c r="L22" s="271" t="s">
        <v>2903</v>
      </c>
      <c r="M22" s="284">
        <v>45505</v>
      </c>
      <c r="N22" s="276">
        <v>45569.640057870369</v>
      </c>
      <c r="O22" s="271" t="s">
        <v>2904</v>
      </c>
      <c r="P22" s="271">
        <v>8</v>
      </c>
      <c r="Q22" s="271">
        <v>30</v>
      </c>
      <c r="R22" s="271" t="s">
        <v>2794</v>
      </c>
      <c r="S22" s="271"/>
      <c r="T22" s="274" t="s">
        <v>2786</v>
      </c>
      <c r="U22" s="271" t="s">
        <v>2733</v>
      </c>
      <c r="V22" s="254" t="s">
        <v>2905</v>
      </c>
    </row>
    <row r="23" spans="1:24" ht="13" customHeight="1">
      <c r="A23" s="263" t="s">
        <v>2906</v>
      </c>
      <c r="B23" s="271">
        <v>2023</v>
      </c>
      <c r="C23" s="271" t="s">
        <v>2907</v>
      </c>
      <c r="D23" s="272" t="s">
        <v>2908</v>
      </c>
      <c r="E23" s="271" t="s">
        <v>395</v>
      </c>
      <c r="F23" s="273" t="s">
        <v>2847</v>
      </c>
      <c r="G23" s="271" t="s">
        <v>2909</v>
      </c>
      <c r="H23" s="271" t="s">
        <v>2910</v>
      </c>
      <c r="I23" s="271" t="s">
        <v>2911</v>
      </c>
      <c r="J23" s="274" t="s">
        <v>2912</v>
      </c>
      <c r="K23" s="271" t="s">
        <v>2913</v>
      </c>
      <c r="L23" s="271" t="s">
        <v>2914</v>
      </c>
      <c r="M23" s="275">
        <v>45019</v>
      </c>
      <c r="N23" s="276">
        <v>45342.204594907409</v>
      </c>
      <c r="O23" s="271" t="s">
        <v>2915</v>
      </c>
      <c r="P23" s="271">
        <v>2</v>
      </c>
      <c r="Q23" s="271">
        <v>42</v>
      </c>
      <c r="R23" s="271"/>
      <c r="S23" s="271"/>
      <c r="T23" s="271"/>
      <c r="U23" s="271" t="s">
        <v>2769</v>
      </c>
      <c r="V23" s="254" t="s">
        <v>2916</v>
      </c>
    </row>
    <row r="24" spans="1:24" ht="13" customHeight="1">
      <c r="A24" s="263" t="s">
        <v>2917</v>
      </c>
      <c r="B24" s="271">
        <v>2019</v>
      </c>
      <c r="C24" s="271" t="s">
        <v>2918</v>
      </c>
      <c r="D24" s="272" t="s">
        <v>214</v>
      </c>
      <c r="E24" s="271"/>
      <c r="F24" s="273" t="s">
        <v>2919</v>
      </c>
      <c r="G24" s="271"/>
      <c r="H24" s="271" t="s">
        <v>2920</v>
      </c>
      <c r="I24" s="271" t="s">
        <v>2921</v>
      </c>
      <c r="J24" s="274" t="s">
        <v>2922</v>
      </c>
      <c r="K24" s="271" t="s">
        <v>2923</v>
      </c>
      <c r="L24" s="271" t="s">
        <v>2924</v>
      </c>
      <c r="M24" s="275">
        <v>43587</v>
      </c>
      <c r="N24" s="276">
        <v>45342.165370370371</v>
      </c>
      <c r="O24" s="271" t="s">
        <v>2925</v>
      </c>
      <c r="P24" s="271"/>
      <c r="Q24" s="271"/>
      <c r="R24" s="271"/>
      <c r="S24" s="271" t="s">
        <v>2732</v>
      </c>
      <c r="T24" s="271"/>
      <c r="U24" s="271" t="s">
        <v>2733</v>
      </c>
      <c r="V24" s="254" t="s">
        <v>2926</v>
      </c>
      <c r="W24" s="254" t="s">
        <v>2845</v>
      </c>
    </row>
    <row r="25" spans="1:24" ht="13" customHeight="1">
      <c r="A25" s="270" t="s">
        <v>2927</v>
      </c>
      <c r="B25" s="271">
        <v>2018</v>
      </c>
      <c r="C25" s="271" t="s">
        <v>2928</v>
      </c>
      <c r="D25" s="272" t="s">
        <v>2929</v>
      </c>
      <c r="E25" s="271" t="s">
        <v>395</v>
      </c>
      <c r="F25" s="273" t="s">
        <v>2860</v>
      </c>
      <c r="G25" s="271" t="s">
        <v>2930</v>
      </c>
      <c r="H25" s="271" t="s">
        <v>2931</v>
      </c>
      <c r="I25" s="271" t="s">
        <v>2932</v>
      </c>
      <c r="J25" s="274" t="s">
        <v>2933</v>
      </c>
      <c r="K25" s="271" t="s">
        <v>2934</v>
      </c>
      <c r="L25" s="271" t="s">
        <v>2935</v>
      </c>
      <c r="M25" s="271">
        <v>2018</v>
      </c>
      <c r="N25" s="276">
        <v>45573.594571759262</v>
      </c>
      <c r="O25" s="271" t="s">
        <v>2936</v>
      </c>
      <c r="P25" s="271">
        <v>2</v>
      </c>
      <c r="Q25" s="271">
        <v>10</v>
      </c>
      <c r="R25" s="271" t="s">
        <v>2937</v>
      </c>
      <c r="S25" s="271"/>
      <c r="T25" s="271"/>
      <c r="U25" s="271" t="s">
        <v>2733</v>
      </c>
      <c r="V25" s="254" t="s">
        <v>2938</v>
      </c>
      <c r="W25" s="254" t="s">
        <v>2939</v>
      </c>
    </row>
    <row r="26" spans="1:24" ht="13" customHeight="1">
      <c r="A26" s="270" t="s">
        <v>2940</v>
      </c>
      <c r="B26" s="271">
        <v>2023</v>
      </c>
      <c r="C26" s="271" t="s">
        <v>2941</v>
      </c>
      <c r="D26" s="272" t="s">
        <v>214</v>
      </c>
      <c r="E26" s="271"/>
      <c r="F26" s="273" t="s">
        <v>2836</v>
      </c>
      <c r="G26" s="285" t="s">
        <v>2942</v>
      </c>
      <c r="H26" s="271" t="s">
        <v>2726</v>
      </c>
      <c r="I26" s="271" t="s">
        <v>2943</v>
      </c>
      <c r="J26" s="274" t="s">
        <v>2944</v>
      </c>
      <c r="K26" s="271" t="s">
        <v>2945</v>
      </c>
      <c r="L26" s="271" t="s">
        <v>2946</v>
      </c>
      <c r="M26" s="275">
        <v>45035</v>
      </c>
      <c r="N26" s="276">
        <v>45401.463576388887</v>
      </c>
      <c r="O26" s="271" t="s">
        <v>2854</v>
      </c>
      <c r="P26" s="271"/>
      <c r="Q26" s="271"/>
      <c r="R26" s="271"/>
      <c r="S26" s="271" t="s">
        <v>2732</v>
      </c>
      <c r="T26" s="271"/>
      <c r="U26" s="271" t="s">
        <v>2733</v>
      </c>
      <c r="V26" s="254" t="s">
        <v>2947</v>
      </c>
      <c r="W26" s="254" t="s">
        <v>2948</v>
      </c>
    </row>
    <row r="27" spans="1:24" ht="13" customHeight="1">
      <c r="A27" s="277" t="str">
        <f>CONCATENATE(LEFT(L27,FIND(",",L27) - 1)," et al.")</f>
        <v>Dimara et al.</v>
      </c>
      <c r="B27" s="271">
        <v>2020</v>
      </c>
      <c r="C27" s="271" t="s">
        <v>2949</v>
      </c>
      <c r="D27" s="272" t="s">
        <v>214</v>
      </c>
      <c r="E27" s="271"/>
      <c r="F27" s="273" t="s">
        <v>2860</v>
      </c>
      <c r="G27" s="271" t="s">
        <v>2950</v>
      </c>
      <c r="H27" s="271" t="s">
        <v>2791</v>
      </c>
      <c r="I27" s="271" t="s">
        <v>2951</v>
      </c>
      <c r="J27" s="274" t="s">
        <v>2952</v>
      </c>
      <c r="K27" s="271" t="s">
        <v>2953</v>
      </c>
      <c r="L27" s="271" t="s">
        <v>2954</v>
      </c>
      <c r="M27" s="275">
        <v>43862</v>
      </c>
      <c r="N27" s="276">
        <v>45342.220914351848</v>
      </c>
      <c r="O27" s="271" t="s">
        <v>2955</v>
      </c>
      <c r="P27" s="271">
        <v>2</v>
      </c>
      <c r="Q27" s="271">
        <v>26</v>
      </c>
      <c r="R27" s="271" t="s">
        <v>2794</v>
      </c>
      <c r="S27" s="271"/>
      <c r="T27" s="271"/>
      <c r="U27" s="271" t="s">
        <v>2733</v>
      </c>
      <c r="V27" s="254" t="s">
        <v>2956</v>
      </c>
      <c r="X27" s="254" t="s">
        <v>2888</v>
      </c>
    </row>
    <row r="28" spans="1:24" ht="13" customHeight="1">
      <c r="A28" s="270" t="s">
        <v>2957</v>
      </c>
      <c r="B28" s="271">
        <v>2019</v>
      </c>
      <c r="C28" s="271" t="s">
        <v>2958</v>
      </c>
      <c r="D28" s="272" t="s">
        <v>312</v>
      </c>
      <c r="E28" s="271"/>
      <c r="F28" s="273" t="s">
        <v>2919</v>
      </c>
      <c r="G28" s="271" t="s">
        <v>2959</v>
      </c>
      <c r="H28" s="271" t="s">
        <v>2960</v>
      </c>
      <c r="I28" s="271" t="s">
        <v>2961</v>
      </c>
      <c r="J28" s="274" t="s">
        <v>2962</v>
      </c>
      <c r="K28" s="271" t="s">
        <v>2963</v>
      </c>
      <c r="L28" s="271" t="s">
        <v>2964</v>
      </c>
      <c r="M28" s="275">
        <v>43738</v>
      </c>
      <c r="N28" s="276">
        <v>45569.506701388891</v>
      </c>
      <c r="O28" s="271" t="s">
        <v>2965</v>
      </c>
      <c r="P28" s="271">
        <v>5</v>
      </c>
      <c r="Q28" s="271">
        <v>51</v>
      </c>
      <c r="R28" s="271" t="s">
        <v>2966</v>
      </c>
      <c r="S28" s="271"/>
      <c r="T28" s="271"/>
      <c r="U28" s="271" t="s">
        <v>2733</v>
      </c>
      <c r="V28" s="254" t="s">
        <v>2967</v>
      </c>
    </row>
    <row r="29" spans="1:24" ht="13" customHeight="1">
      <c r="A29" s="277" t="str">
        <f>CONCATENATE(LEFT(L29,FIND(",",L29) - 1)," et al.")</f>
        <v>Fu et al.</v>
      </c>
      <c r="B29" s="271">
        <v>2024</v>
      </c>
      <c r="C29" s="271" t="s">
        <v>2968</v>
      </c>
      <c r="D29" s="272" t="s">
        <v>214</v>
      </c>
      <c r="E29" s="271" t="s">
        <v>1273</v>
      </c>
      <c r="F29" s="273" t="s">
        <v>2836</v>
      </c>
      <c r="G29" s="271" t="s">
        <v>2969</v>
      </c>
      <c r="H29" s="271" t="s">
        <v>2791</v>
      </c>
      <c r="I29" s="271" t="s">
        <v>2970</v>
      </c>
      <c r="J29" s="274" t="s">
        <v>2971</v>
      </c>
      <c r="K29" s="271" t="s">
        <v>2972</v>
      </c>
      <c r="L29" s="271" t="s">
        <v>2973</v>
      </c>
      <c r="M29" s="284">
        <v>45505</v>
      </c>
      <c r="N29" s="276">
        <v>45569.681111111109</v>
      </c>
      <c r="O29" s="271" t="s">
        <v>2974</v>
      </c>
      <c r="P29" s="271">
        <v>8</v>
      </c>
      <c r="Q29" s="271">
        <v>30</v>
      </c>
      <c r="R29" s="271"/>
      <c r="S29" s="271"/>
      <c r="T29" s="271"/>
      <c r="U29" s="271" t="s">
        <v>2833</v>
      </c>
      <c r="V29" s="254" t="s">
        <v>2975</v>
      </c>
      <c r="W29" s="254" t="s">
        <v>2976</v>
      </c>
    </row>
    <row r="30" spans="1:24" ht="13" hidden="1" customHeight="1">
      <c r="A30" s="270" t="s">
        <v>2977</v>
      </c>
      <c r="B30" s="271">
        <v>2020</v>
      </c>
      <c r="C30" s="271" t="s">
        <v>2978</v>
      </c>
      <c r="D30" s="272" t="s">
        <v>214</v>
      </c>
      <c r="E30" s="271"/>
      <c r="F30" s="273" t="s">
        <v>2979</v>
      </c>
      <c r="G30" s="271" t="s">
        <v>2980</v>
      </c>
      <c r="H30" s="271"/>
      <c r="I30" s="271"/>
      <c r="J30" s="274" t="s">
        <v>2981</v>
      </c>
      <c r="K30" s="271" t="s">
        <v>2978</v>
      </c>
      <c r="L30" s="271" t="s">
        <v>2982</v>
      </c>
      <c r="M30" s="275">
        <v>43900</v>
      </c>
      <c r="N30" s="276">
        <v>45572.404780092591</v>
      </c>
      <c r="O30" s="271"/>
      <c r="P30" s="271"/>
      <c r="Q30" s="271"/>
      <c r="R30" s="271"/>
      <c r="S30" s="271" t="s">
        <v>2983</v>
      </c>
      <c r="T30" s="271"/>
      <c r="U30" s="274" t="s">
        <v>2984</v>
      </c>
      <c r="V30" s="254" t="s">
        <v>2985</v>
      </c>
      <c r="W30" s="254" t="s">
        <v>2986</v>
      </c>
    </row>
    <row r="31" spans="1:24" ht="13" hidden="1" customHeight="1">
      <c r="A31" s="277" t="str">
        <f>CONCATENATE(LEFT(L31,FIND(",",L31) - 1)," et al.")</f>
        <v>Engebretsen et al.</v>
      </c>
      <c r="B31" s="271">
        <v>2020</v>
      </c>
      <c r="C31" s="271" t="s">
        <v>2987</v>
      </c>
      <c r="D31" s="272" t="s">
        <v>214</v>
      </c>
      <c r="E31" s="271"/>
      <c r="F31" s="273" t="s">
        <v>2979</v>
      </c>
      <c r="G31" s="271" t="s">
        <v>2988</v>
      </c>
      <c r="H31" s="271"/>
      <c r="I31" s="271"/>
      <c r="J31" s="274" t="s">
        <v>2989</v>
      </c>
      <c r="K31" s="271" t="s">
        <v>2987</v>
      </c>
      <c r="L31" s="271" t="s">
        <v>2990</v>
      </c>
      <c r="M31" s="271">
        <v>2020</v>
      </c>
      <c r="N31" s="276">
        <v>45386.281053240738</v>
      </c>
      <c r="O31" s="271"/>
      <c r="P31" s="271"/>
      <c r="Q31" s="271"/>
      <c r="R31" s="271"/>
      <c r="S31" s="271" t="s">
        <v>2991</v>
      </c>
      <c r="T31" s="274" t="s">
        <v>2992</v>
      </c>
      <c r="U31" s="271" t="s">
        <v>2733</v>
      </c>
      <c r="V31" s="254" t="s">
        <v>2993</v>
      </c>
      <c r="W31" s="254" t="s">
        <v>2994</v>
      </c>
    </row>
    <row r="32" spans="1:24" ht="13" hidden="1" customHeight="1">
      <c r="A32" s="270" t="s">
        <v>2995</v>
      </c>
      <c r="B32" s="271">
        <v>2010</v>
      </c>
      <c r="C32" s="271" t="s">
        <v>2996</v>
      </c>
      <c r="D32" s="272" t="s">
        <v>312</v>
      </c>
      <c r="E32" s="271"/>
      <c r="F32" s="273" t="s">
        <v>2979</v>
      </c>
      <c r="G32" s="271"/>
      <c r="H32" s="271"/>
      <c r="I32" s="271"/>
      <c r="J32" s="274" t="s">
        <v>2997</v>
      </c>
      <c r="K32" s="271" t="s">
        <v>2998</v>
      </c>
      <c r="L32" s="271" t="s">
        <v>2999</v>
      </c>
      <c r="M32" s="271">
        <v>2010</v>
      </c>
      <c r="N32" s="276">
        <v>45435.454872685194</v>
      </c>
      <c r="O32" s="271"/>
      <c r="P32" s="271"/>
      <c r="Q32" s="271"/>
      <c r="R32" s="271"/>
      <c r="S32" s="271" t="s">
        <v>3000</v>
      </c>
      <c r="T32" s="274" t="s">
        <v>3001</v>
      </c>
      <c r="U32" s="271" t="s">
        <v>2733</v>
      </c>
      <c r="V32" s="254" t="s">
        <v>3002</v>
      </c>
      <c r="W32" s="254" t="s">
        <v>3003</v>
      </c>
    </row>
    <row r="33" spans="1:24" ht="13" hidden="1" customHeight="1">
      <c r="A33" s="270" t="s">
        <v>3004</v>
      </c>
      <c r="B33" s="271">
        <v>2020</v>
      </c>
      <c r="C33" s="271" t="s">
        <v>3005</v>
      </c>
      <c r="D33" s="272" t="s">
        <v>1078</v>
      </c>
      <c r="E33" s="271"/>
      <c r="F33" s="273" t="s">
        <v>2979</v>
      </c>
      <c r="G33" s="271" t="s">
        <v>3006</v>
      </c>
      <c r="H33" s="271"/>
      <c r="I33" s="271"/>
      <c r="J33" s="274" t="s">
        <v>3007</v>
      </c>
      <c r="K33" s="271" t="s">
        <v>3008</v>
      </c>
      <c r="L33" s="271" t="s">
        <v>3009</v>
      </c>
      <c r="M33" s="271">
        <v>2020</v>
      </c>
      <c r="N33" s="276">
        <v>45576.356759259259</v>
      </c>
      <c r="O33" s="271"/>
      <c r="P33" s="271"/>
      <c r="Q33" s="271"/>
      <c r="R33" s="271"/>
      <c r="S33" s="271" t="s">
        <v>3010</v>
      </c>
      <c r="T33" s="271"/>
      <c r="U33" s="274" t="s">
        <v>3011</v>
      </c>
      <c r="V33" s="254" t="s">
        <v>3012</v>
      </c>
      <c r="W33" s="254" t="s">
        <v>2845</v>
      </c>
    </row>
    <row r="34" spans="1:24" ht="13" hidden="1" customHeight="1">
      <c r="A34" s="277" t="s">
        <v>3013</v>
      </c>
      <c r="B34" s="271">
        <v>2002</v>
      </c>
      <c r="C34" s="271" t="s">
        <v>3014</v>
      </c>
      <c r="D34" s="272" t="s">
        <v>3015</v>
      </c>
      <c r="E34" s="271"/>
      <c r="F34" s="273" t="s">
        <v>2979</v>
      </c>
      <c r="G34" s="271" t="s">
        <v>3016</v>
      </c>
      <c r="H34" s="271" t="s">
        <v>3017</v>
      </c>
      <c r="I34" s="271" t="s">
        <v>3018</v>
      </c>
      <c r="J34" s="274" t="s">
        <v>3019</v>
      </c>
      <c r="K34" s="271" t="s">
        <v>3020</v>
      </c>
      <c r="L34" s="271" t="s">
        <v>3021</v>
      </c>
      <c r="M34" s="279">
        <v>37591</v>
      </c>
      <c r="N34" s="276">
        <v>45435.45239583333</v>
      </c>
      <c r="O34" s="271">
        <v>2</v>
      </c>
      <c r="P34" s="271" t="s">
        <v>3022</v>
      </c>
      <c r="Q34" s="271">
        <v>2002</v>
      </c>
      <c r="R34" s="271" t="s">
        <v>3017</v>
      </c>
      <c r="S34" s="271"/>
      <c r="T34" s="271"/>
      <c r="U34" s="271" t="s">
        <v>2733</v>
      </c>
      <c r="V34" s="254" t="s">
        <v>3023</v>
      </c>
    </row>
    <row r="35" spans="1:24" ht="13" customHeight="1">
      <c r="A35" s="277" t="str">
        <f t="shared" ref="A35:A43" si="1">CONCATENATE(LEFT(L35,FIND(",",L35) - 1)," et al.")</f>
        <v>Geiger et al.</v>
      </c>
      <c r="B35" s="271">
        <v>2023</v>
      </c>
      <c r="C35" s="271" t="s">
        <v>3024</v>
      </c>
      <c r="D35" s="272" t="s">
        <v>3025</v>
      </c>
      <c r="E35" s="271" t="s">
        <v>267</v>
      </c>
      <c r="F35" s="273" t="s">
        <v>3026</v>
      </c>
      <c r="G35" s="271" t="s">
        <v>3027</v>
      </c>
      <c r="H35" s="271" t="s">
        <v>3028</v>
      </c>
      <c r="I35" s="271" t="s">
        <v>3029</v>
      </c>
      <c r="J35" s="274" t="s">
        <v>3030</v>
      </c>
      <c r="K35" s="271" t="s">
        <v>3031</v>
      </c>
      <c r="L35" s="271" t="s">
        <v>3032</v>
      </c>
      <c r="M35" s="275">
        <v>45153</v>
      </c>
      <c r="N35" s="276">
        <v>45571.385682870372</v>
      </c>
      <c r="O35" s="271"/>
      <c r="P35" s="271"/>
      <c r="Q35" s="271">
        <v>14</v>
      </c>
      <c r="R35" s="271" t="s">
        <v>3033</v>
      </c>
      <c r="S35" s="271"/>
      <c r="T35" s="271"/>
      <c r="U35" s="271" t="s">
        <v>3034</v>
      </c>
      <c r="X35" s="254" t="s">
        <v>3035</v>
      </c>
    </row>
    <row r="36" spans="1:24" ht="13" hidden="1" customHeight="1">
      <c r="A36" s="277" t="str">
        <f t="shared" si="1"/>
        <v>Sol Hart et al.</v>
      </c>
      <c r="B36" s="271">
        <v>2024</v>
      </c>
      <c r="C36" s="271" t="s">
        <v>3036</v>
      </c>
      <c r="D36" s="272" t="s">
        <v>3037</v>
      </c>
      <c r="E36" s="271" t="s">
        <v>267</v>
      </c>
      <c r="F36" s="273" t="s">
        <v>3038</v>
      </c>
      <c r="G36" s="271" t="s">
        <v>3039</v>
      </c>
      <c r="H36" s="271" t="s">
        <v>3040</v>
      </c>
      <c r="I36" s="271" t="s">
        <v>3041</v>
      </c>
      <c r="J36" s="274" t="s">
        <v>3042</v>
      </c>
      <c r="K36" s="271" t="s">
        <v>3043</v>
      </c>
      <c r="L36" s="271" t="s">
        <v>3044</v>
      </c>
      <c r="M36" s="275">
        <v>45487</v>
      </c>
      <c r="N36" s="276">
        <v>45576.356307870366</v>
      </c>
      <c r="O36" s="280">
        <v>45474</v>
      </c>
      <c r="P36" s="271"/>
      <c r="Q36" s="271"/>
      <c r="R36" s="271" t="s">
        <v>3040</v>
      </c>
      <c r="S36" s="271"/>
      <c r="T36" s="271"/>
      <c r="U36" s="271" t="s">
        <v>2733</v>
      </c>
      <c r="V36" s="254" t="s">
        <v>3045</v>
      </c>
    </row>
    <row r="37" spans="1:24" ht="13" hidden="1" customHeight="1">
      <c r="A37" s="286" t="str">
        <f t="shared" si="1"/>
        <v>Waseem et al.</v>
      </c>
      <c r="B37" s="265">
        <v>2024</v>
      </c>
      <c r="C37" s="263" t="s">
        <v>3046</v>
      </c>
      <c r="D37" s="287" t="s">
        <v>2752</v>
      </c>
      <c r="E37" s="247" t="s">
        <v>85</v>
      </c>
      <c r="F37" s="288" t="s">
        <v>3047</v>
      </c>
      <c r="G37" s="265" t="s">
        <v>3048</v>
      </c>
      <c r="H37" s="263" t="s">
        <v>3049</v>
      </c>
      <c r="I37" s="263" t="s">
        <v>3050</v>
      </c>
      <c r="J37" s="289" t="s">
        <v>3051</v>
      </c>
      <c r="K37" s="265" t="s">
        <v>3052</v>
      </c>
      <c r="L37" s="265" t="s">
        <v>3053</v>
      </c>
      <c r="M37" s="290">
        <v>45474</v>
      </c>
      <c r="N37" s="291">
        <v>45578</v>
      </c>
      <c r="O37" s="247"/>
      <c r="P37" s="247"/>
      <c r="Q37" s="247"/>
      <c r="R37" s="247"/>
      <c r="S37" s="247"/>
      <c r="T37" s="247"/>
      <c r="U37" s="247"/>
      <c r="V37" s="254" t="s">
        <v>3054</v>
      </c>
    </row>
    <row r="38" spans="1:24" ht="13" hidden="1" customHeight="1">
      <c r="A38" s="270" t="str">
        <f t="shared" si="1"/>
        <v>Schömbs et al.</v>
      </c>
      <c r="B38" s="271">
        <v>2024</v>
      </c>
      <c r="C38" s="271" t="s">
        <v>3055</v>
      </c>
      <c r="D38" s="272" t="s">
        <v>214</v>
      </c>
      <c r="E38" s="271"/>
      <c r="F38" s="273" t="s">
        <v>3056</v>
      </c>
      <c r="G38" s="271" t="s">
        <v>3057</v>
      </c>
      <c r="H38" s="271"/>
      <c r="I38" s="271" t="s">
        <v>3058</v>
      </c>
      <c r="J38" s="271"/>
      <c r="K38" s="271" t="s">
        <v>3059</v>
      </c>
      <c r="L38" s="271" t="s">
        <v>3060</v>
      </c>
      <c r="M38" s="271">
        <v>2024</v>
      </c>
      <c r="N38" s="271"/>
      <c r="O38" s="271"/>
      <c r="P38" s="271"/>
      <c r="Q38" s="271"/>
      <c r="R38" s="271"/>
      <c r="S38" s="271"/>
      <c r="T38" s="271"/>
      <c r="U38" s="271" t="s">
        <v>3061</v>
      </c>
      <c r="V38" s="254" t="s">
        <v>3062</v>
      </c>
      <c r="W38" s="254" t="s">
        <v>3063</v>
      </c>
    </row>
    <row r="39" spans="1:24" ht="13" hidden="1" customHeight="1">
      <c r="A39" s="286" t="str">
        <f t="shared" si="1"/>
        <v>Lo et al.</v>
      </c>
      <c r="B39" s="271">
        <v>2023</v>
      </c>
      <c r="C39" s="271" t="s">
        <v>3064</v>
      </c>
      <c r="D39" s="272" t="s">
        <v>214</v>
      </c>
      <c r="E39" s="271"/>
      <c r="F39" s="273" t="s">
        <v>3047</v>
      </c>
      <c r="G39" s="271" t="s">
        <v>3065</v>
      </c>
      <c r="H39" s="271"/>
      <c r="I39" s="271"/>
      <c r="J39" s="274" t="s">
        <v>3066</v>
      </c>
      <c r="K39" s="271" t="s">
        <v>3067</v>
      </c>
      <c r="L39" s="271" t="s">
        <v>3068</v>
      </c>
      <c r="M39" s="275">
        <v>45173</v>
      </c>
      <c r="N39" s="276">
        <v>45567.601331018523</v>
      </c>
      <c r="O39" s="271"/>
      <c r="P39" s="271"/>
      <c r="Q39" s="271"/>
      <c r="R39" s="271"/>
      <c r="S39" s="271" t="s">
        <v>2747</v>
      </c>
      <c r="T39" s="271"/>
      <c r="U39" s="274" t="s">
        <v>2748</v>
      </c>
      <c r="V39" s="254" t="s">
        <v>3069</v>
      </c>
      <c r="W39" s="254" t="s">
        <v>3070</v>
      </c>
    </row>
    <row r="40" spans="1:24" ht="13" hidden="1" customHeight="1">
      <c r="A40" s="263" t="str">
        <f t="shared" si="1"/>
        <v>Arunkumar et al.</v>
      </c>
      <c r="B40" s="271">
        <v>2024</v>
      </c>
      <c r="C40" s="271" t="s">
        <v>3071</v>
      </c>
      <c r="D40" s="272" t="s">
        <v>214</v>
      </c>
      <c r="E40" s="271"/>
      <c r="F40" s="273" t="s">
        <v>3072</v>
      </c>
      <c r="G40" s="271" t="s">
        <v>3073</v>
      </c>
      <c r="H40" s="271" t="s">
        <v>2791</v>
      </c>
      <c r="I40" s="271" t="s">
        <v>3074</v>
      </c>
      <c r="J40" s="274" t="s">
        <v>3075</v>
      </c>
      <c r="K40" s="271" t="s">
        <v>1847</v>
      </c>
      <c r="L40" s="271" t="s">
        <v>3076</v>
      </c>
      <c r="M40" s="284">
        <v>45292</v>
      </c>
      <c r="N40" s="276">
        <v>45570.55709490741</v>
      </c>
      <c r="O40" s="271" t="s">
        <v>3077</v>
      </c>
      <c r="P40" s="271">
        <v>1</v>
      </c>
      <c r="Q40" s="271">
        <v>30</v>
      </c>
      <c r="R40" s="271"/>
      <c r="S40" s="271"/>
      <c r="T40" s="271"/>
      <c r="U40" s="271" t="s">
        <v>2833</v>
      </c>
      <c r="V40" s="254" t="s">
        <v>3078</v>
      </c>
    </row>
    <row r="41" spans="1:24" ht="13" hidden="1" customHeight="1">
      <c r="A41" s="263" t="str">
        <f t="shared" si="1"/>
        <v>Blair et al.</v>
      </c>
      <c r="B41" s="271">
        <v>2024</v>
      </c>
      <c r="C41" s="271" t="s">
        <v>2636</v>
      </c>
      <c r="D41" s="272" t="s">
        <v>214</v>
      </c>
      <c r="E41" s="271"/>
      <c r="F41" s="273" t="s">
        <v>3072</v>
      </c>
      <c r="G41" s="271" t="s">
        <v>2635</v>
      </c>
      <c r="H41" s="271" t="s">
        <v>2791</v>
      </c>
      <c r="I41" s="271" t="s">
        <v>3079</v>
      </c>
      <c r="J41" s="274" t="s">
        <v>2633</v>
      </c>
      <c r="K41" s="271" t="s">
        <v>2632</v>
      </c>
      <c r="L41" s="271" t="s">
        <v>2631</v>
      </c>
      <c r="M41" s="271">
        <v>2024</v>
      </c>
      <c r="N41" s="276">
        <v>45569.628819444442</v>
      </c>
      <c r="O41" s="280">
        <v>45597</v>
      </c>
      <c r="P41" s="271"/>
      <c r="Q41" s="271"/>
      <c r="R41" s="271"/>
      <c r="S41" s="271"/>
      <c r="T41" s="271"/>
      <c r="U41" s="271" t="s">
        <v>2833</v>
      </c>
    </row>
    <row r="42" spans="1:24" ht="13" hidden="1" customHeight="1">
      <c r="A42" s="263" t="str">
        <f t="shared" si="1"/>
        <v>Burns et al.</v>
      </c>
      <c r="B42" s="271">
        <v>2024</v>
      </c>
      <c r="C42" s="271" t="s">
        <v>2176</v>
      </c>
      <c r="D42" s="272" t="s">
        <v>214</v>
      </c>
      <c r="E42" s="271"/>
      <c r="F42" s="273" t="s">
        <v>3072</v>
      </c>
      <c r="G42" s="271" t="s">
        <v>2175</v>
      </c>
      <c r="H42" s="271" t="s">
        <v>2791</v>
      </c>
      <c r="I42" s="271" t="s">
        <v>3080</v>
      </c>
      <c r="J42" s="274" t="s">
        <v>2174</v>
      </c>
      <c r="K42" s="271" t="s">
        <v>2173</v>
      </c>
      <c r="L42" s="271" t="s">
        <v>2172</v>
      </c>
      <c r="M42" s="271">
        <v>2024</v>
      </c>
      <c r="N42" s="276">
        <v>45401.445497685178</v>
      </c>
      <c r="O42" s="271" t="s">
        <v>3081</v>
      </c>
      <c r="P42" s="271"/>
      <c r="Q42" s="271"/>
      <c r="R42" s="271" t="s">
        <v>2794</v>
      </c>
      <c r="S42" s="271"/>
      <c r="T42" s="274" t="s">
        <v>2878</v>
      </c>
      <c r="U42" s="271" t="s">
        <v>2733</v>
      </c>
      <c r="V42" s="254" t="s">
        <v>3082</v>
      </c>
      <c r="W42" s="254" t="s">
        <v>3083</v>
      </c>
    </row>
    <row r="43" spans="1:24" ht="13" hidden="1" customHeight="1">
      <c r="A43" s="277" t="str">
        <f t="shared" si="1"/>
        <v>Elhamdadi et al.</v>
      </c>
      <c r="B43" s="271">
        <v>2024</v>
      </c>
      <c r="C43" s="271" t="s">
        <v>3084</v>
      </c>
      <c r="D43" s="272" t="s">
        <v>214</v>
      </c>
      <c r="E43" s="271"/>
      <c r="F43" s="273" t="s">
        <v>3072</v>
      </c>
      <c r="G43" s="271" t="s">
        <v>1984</v>
      </c>
      <c r="H43" s="271" t="s">
        <v>2791</v>
      </c>
      <c r="I43" s="271" t="s">
        <v>3085</v>
      </c>
      <c r="J43" s="274" t="s">
        <v>3086</v>
      </c>
      <c r="K43" s="271" t="s">
        <v>1983</v>
      </c>
      <c r="L43" s="271" t="s">
        <v>3087</v>
      </c>
      <c r="M43" s="284">
        <v>45292</v>
      </c>
      <c r="N43" s="276">
        <v>45570.626273148147</v>
      </c>
      <c r="O43" s="271" t="s">
        <v>3088</v>
      </c>
      <c r="P43" s="271">
        <v>1</v>
      </c>
      <c r="Q43" s="271">
        <v>30</v>
      </c>
      <c r="R43" s="271"/>
      <c r="S43" s="271"/>
      <c r="T43" s="271"/>
      <c r="U43" s="271" t="s">
        <v>2833</v>
      </c>
      <c r="V43" s="254" t="s">
        <v>3089</v>
      </c>
      <c r="W43" s="254" t="s">
        <v>3090</v>
      </c>
    </row>
    <row r="44" spans="1:24" ht="13" hidden="1" customHeight="1">
      <c r="A44" s="286" t="s">
        <v>3091</v>
      </c>
      <c r="B44" s="265">
        <v>2024</v>
      </c>
      <c r="C44" s="263" t="s">
        <v>2210</v>
      </c>
      <c r="D44" s="287" t="s">
        <v>214</v>
      </c>
      <c r="E44" s="247"/>
      <c r="F44" s="288" t="s">
        <v>3072</v>
      </c>
      <c r="G44" s="282" t="s">
        <v>2209</v>
      </c>
      <c r="H44" s="263" t="s">
        <v>3092</v>
      </c>
      <c r="I44" s="263" t="s">
        <v>2207</v>
      </c>
      <c r="J44" s="289" t="s">
        <v>2206</v>
      </c>
      <c r="K44" s="265" t="s">
        <v>2205</v>
      </c>
      <c r="L44" s="265" t="s">
        <v>2204</v>
      </c>
      <c r="M44" s="292">
        <v>45474</v>
      </c>
      <c r="N44" s="293">
        <v>45578.389861111107</v>
      </c>
      <c r="O44" s="247"/>
      <c r="P44" s="247"/>
      <c r="Q44" s="247"/>
      <c r="R44" s="247"/>
      <c r="S44" s="247"/>
      <c r="T44" s="247"/>
      <c r="U44" s="247"/>
      <c r="V44" s="254" t="s">
        <v>3093</v>
      </c>
    </row>
    <row r="45" spans="1:24" ht="13" hidden="1" customHeight="1">
      <c r="A45" s="277" t="str">
        <f>CONCATENATE(LEFT(L45,FIND(",",L45) - 1)," et al.")</f>
        <v>Ferreira et al.</v>
      </c>
      <c r="B45" s="271">
        <v>2024</v>
      </c>
      <c r="C45" s="271" t="s">
        <v>2239</v>
      </c>
      <c r="D45" s="272" t="s">
        <v>312</v>
      </c>
      <c r="E45" s="271" t="s">
        <v>267</v>
      </c>
      <c r="F45" s="273" t="s">
        <v>3072</v>
      </c>
      <c r="G45" s="271" t="s">
        <v>2238</v>
      </c>
      <c r="H45" s="271" t="s">
        <v>3094</v>
      </c>
      <c r="I45" s="271" t="s">
        <v>3095</v>
      </c>
      <c r="J45" s="274" t="s">
        <v>2237</v>
      </c>
      <c r="K45" s="271" t="s">
        <v>2236</v>
      </c>
      <c r="L45" s="271" t="s">
        <v>2235</v>
      </c>
      <c r="M45" s="279">
        <v>45627</v>
      </c>
      <c r="N45" s="276">
        <v>45571.499745370369</v>
      </c>
      <c r="O45" s="271">
        <v>103341</v>
      </c>
      <c r="P45" s="271"/>
      <c r="Q45" s="271">
        <v>192</v>
      </c>
      <c r="R45" s="271" t="s">
        <v>3094</v>
      </c>
      <c r="S45" s="271"/>
      <c r="T45" s="271"/>
      <c r="U45" s="271" t="s">
        <v>2733</v>
      </c>
      <c r="V45" s="254" t="s">
        <v>3096</v>
      </c>
      <c r="X45" s="254" t="s">
        <v>2871</v>
      </c>
    </row>
    <row r="46" spans="1:24" ht="13" hidden="1" customHeight="1">
      <c r="A46" s="277" t="str">
        <f>CONCATENATE(LEFT(L46,FIND(",",L46) - 1)," et al.")</f>
        <v>Ferreira et al.</v>
      </c>
      <c r="B46" s="271">
        <v>2024</v>
      </c>
      <c r="C46" s="271" t="s">
        <v>3097</v>
      </c>
      <c r="D46" s="272" t="s">
        <v>312</v>
      </c>
      <c r="E46" s="271" t="s">
        <v>267</v>
      </c>
      <c r="F46" s="273" t="s">
        <v>3072</v>
      </c>
      <c r="G46" s="283" t="s">
        <v>2022</v>
      </c>
      <c r="H46" s="271" t="s">
        <v>3092</v>
      </c>
      <c r="I46" s="271" t="s">
        <v>2020</v>
      </c>
      <c r="J46" s="274" t="s">
        <v>2019</v>
      </c>
      <c r="K46" s="271" t="s">
        <v>2018</v>
      </c>
      <c r="L46" s="271" t="s">
        <v>2017</v>
      </c>
      <c r="M46" s="284">
        <v>45474</v>
      </c>
      <c r="N46" s="276">
        <v>45566.482974537037</v>
      </c>
      <c r="O46" s="271" t="s">
        <v>3098</v>
      </c>
      <c r="P46" s="271"/>
      <c r="Q46" s="271"/>
      <c r="R46" s="271"/>
      <c r="S46" s="271" t="s">
        <v>2732</v>
      </c>
      <c r="T46" s="271"/>
      <c r="U46" s="271" t="s">
        <v>2733</v>
      </c>
      <c r="V46" s="254" t="s">
        <v>3099</v>
      </c>
    </row>
    <row r="47" spans="1:24" ht="13" hidden="1" customHeight="1">
      <c r="A47" s="277" t="str">
        <f>CONCATENATE(LEFT(L47,FIND(",",L47) - 1)," et al.")</f>
        <v>He et al.</v>
      </c>
      <c r="B47" s="271">
        <v>2024</v>
      </c>
      <c r="C47" s="271" t="s">
        <v>2110</v>
      </c>
      <c r="D47" s="272" t="s">
        <v>214</v>
      </c>
      <c r="E47" s="271"/>
      <c r="F47" s="273" t="s">
        <v>3072</v>
      </c>
      <c r="G47" s="271" t="s">
        <v>2109</v>
      </c>
      <c r="H47" s="271" t="s">
        <v>2791</v>
      </c>
      <c r="I47" s="271" t="s">
        <v>3100</v>
      </c>
      <c r="J47" s="274" t="s">
        <v>2108</v>
      </c>
      <c r="K47" s="271" t="s">
        <v>2107</v>
      </c>
      <c r="L47" s="271" t="s">
        <v>2106</v>
      </c>
      <c r="M47" s="284">
        <v>45292</v>
      </c>
      <c r="N47" s="276">
        <v>45337.516006944446</v>
      </c>
      <c r="O47" s="271" t="s">
        <v>3101</v>
      </c>
      <c r="P47" s="271">
        <v>1</v>
      </c>
      <c r="Q47" s="271">
        <v>30</v>
      </c>
      <c r="R47" s="271"/>
      <c r="S47" s="271"/>
      <c r="T47" s="271"/>
      <c r="U47" s="271" t="s">
        <v>2833</v>
      </c>
      <c r="V47" s="254" t="s">
        <v>3102</v>
      </c>
    </row>
    <row r="48" spans="1:24" ht="13" hidden="1" customHeight="1">
      <c r="A48" s="263" t="s">
        <v>3103</v>
      </c>
      <c r="B48" s="271">
        <v>2024</v>
      </c>
      <c r="C48" s="294" t="s">
        <v>3104</v>
      </c>
      <c r="D48" s="272" t="s">
        <v>214</v>
      </c>
      <c r="E48" s="271" t="s">
        <v>844</v>
      </c>
      <c r="F48" s="273" t="s">
        <v>3072</v>
      </c>
      <c r="G48" s="271" t="s">
        <v>2139</v>
      </c>
      <c r="H48" s="271" t="s">
        <v>2745</v>
      </c>
      <c r="I48" s="271"/>
      <c r="J48" s="271"/>
      <c r="K48" s="271" t="s">
        <v>2136</v>
      </c>
      <c r="L48" s="271" t="s">
        <v>2135</v>
      </c>
      <c r="M48" s="271">
        <v>2024</v>
      </c>
      <c r="N48" s="271"/>
      <c r="O48" s="271"/>
      <c r="P48" s="271"/>
      <c r="Q48" s="271"/>
      <c r="R48" s="271"/>
      <c r="S48" s="271"/>
      <c r="T48" s="271"/>
      <c r="U48" s="271" t="s">
        <v>3061</v>
      </c>
      <c r="V48" s="254" t="s">
        <v>3105</v>
      </c>
      <c r="W48" s="254" t="s">
        <v>3106</v>
      </c>
      <c r="X48" s="254" t="s">
        <v>3107</v>
      </c>
    </row>
    <row r="49" spans="1:24" ht="13" hidden="1" customHeight="1">
      <c r="A49" s="270" t="str">
        <f t="shared" ref="A49:A62" si="2">CONCATENATE(LEFT(L49,FIND(",",L49) - 1)," et al.")</f>
        <v>Kale et al.</v>
      </c>
      <c r="B49" s="271">
        <v>2024</v>
      </c>
      <c r="C49" s="271" t="s">
        <v>2366</v>
      </c>
      <c r="D49" s="272" t="s">
        <v>214</v>
      </c>
      <c r="E49" s="271" t="s">
        <v>1111</v>
      </c>
      <c r="F49" s="273" t="s">
        <v>3072</v>
      </c>
      <c r="G49" s="271" t="s">
        <v>2365</v>
      </c>
      <c r="H49" s="271" t="s">
        <v>2791</v>
      </c>
      <c r="I49" s="271" t="s">
        <v>3108</v>
      </c>
      <c r="J49" s="274" t="s">
        <v>2364</v>
      </c>
      <c r="K49" s="271" t="s">
        <v>2363</v>
      </c>
      <c r="L49" s="271" t="s">
        <v>2362</v>
      </c>
      <c r="M49" s="271">
        <v>2024</v>
      </c>
      <c r="N49" s="276">
        <v>45571.481030092589</v>
      </c>
      <c r="O49" s="280">
        <v>45597</v>
      </c>
      <c r="P49" s="271"/>
      <c r="Q49" s="271"/>
      <c r="R49" s="271" t="s">
        <v>2794</v>
      </c>
      <c r="S49" s="271"/>
      <c r="T49" s="274" t="s">
        <v>2878</v>
      </c>
      <c r="U49" s="271" t="s">
        <v>2733</v>
      </c>
    </row>
    <row r="50" spans="1:24" ht="13" hidden="1" customHeight="1">
      <c r="A50" s="270" t="str">
        <f t="shared" si="2"/>
        <v>Lisnic et al.</v>
      </c>
      <c r="B50" s="271">
        <v>2024</v>
      </c>
      <c r="C50" s="271" t="s">
        <v>2377</v>
      </c>
      <c r="D50" s="272" t="s">
        <v>214</v>
      </c>
      <c r="E50" s="271" t="s">
        <v>844</v>
      </c>
      <c r="F50" s="273" t="s">
        <v>3072</v>
      </c>
      <c r="G50" s="270" t="s">
        <v>2376</v>
      </c>
      <c r="H50" s="271" t="s">
        <v>2816</v>
      </c>
      <c r="I50" s="271" t="s">
        <v>2375</v>
      </c>
      <c r="J50" s="274" t="s">
        <v>2374</v>
      </c>
      <c r="K50" s="271" t="s">
        <v>2373</v>
      </c>
      <c r="L50" s="271" t="s">
        <v>2372</v>
      </c>
      <c r="M50" s="275">
        <v>45423</v>
      </c>
      <c r="N50" s="276">
        <v>45568.576261574082</v>
      </c>
      <c r="O50" s="271" t="s">
        <v>2854</v>
      </c>
      <c r="P50" s="271"/>
      <c r="Q50" s="271"/>
      <c r="R50" s="271"/>
      <c r="S50" s="271" t="s">
        <v>2732</v>
      </c>
      <c r="T50" s="271"/>
      <c r="U50" s="271" t="s">
        <v>2733</v>
      </c>
      <c r="V50" s="254" t="s">
        <v>3109</v>
      </c>
      <c r="X50" s="254" t="s">
        <v>3110</v>
      </c>
    </row>
    <row r="51" spans="1:24" ht="13" hidden="1" customHeight="1">
      <c r="A51" s="277" t="str">
        <f t="shared" si="2"/>
        <v>Morini et al.</v>
      </c>
      <c r="B51" s="271">
        <v>2024</v>
      </c>
      <c r="C51" s="271" t="s">
        <v>2294</v>
      </c>
      <c r="D51" s="272" t="s">
        <v>214</v>
      </c>
      <c r="E51" s="271" t="s">
        <v>267</v>
      </c>
      <c r="F51" s="273" t="s">
        <v>3072</v>
      </c>
      <c r="G51" s="271" t="s">
        <v>3111</v>
      </c>
      <c r="H51" s="271" t="s">
        <v>2791</v>
      </c>
      <c r="I51" s="271" t="s">
        <v>3112</v>
      </c>
      <c r="J51" s="274" t="s">
        <v>3113</v>
      </c>
      <c r="K51" s="271" t="s">
        <v>2292</v>
      </c>
      <c r="L51" s="271" t="s">
        <v>3114</v>
      </c>
      <c r="M51" s="284">
        <v>45292</v>
      </c>
      <c r="N51" s="276">
        <v>45337.515833333331</v>
      </c>
      <c r="O51" s="271" t="s">
        <v>3115</v>
      </c>
      <c r="P51" s="271">
        <v>1</v>
      </c>
      <c r="Q51" s="271">
        <v>30</v>
      </c>
      <c r="R51" s="271"/>
      <c r="S51" s="271"/>
      <c r="T51" s="271"/>
      <c r="U51" s="271" t="s">
        <v>2833</v>
      </c>
      <c r="V51" s="254" t="s">
        <v>3116</v>
      </c>
    </row>
    <row r="52" spans="1:24" ht="13" hidden="1" customHeight="1">
      <c r="A52" s="277" t="str">
        <f t="shared" si="2"/>
        <v>Omar et al.</v>
      </c>
      <c r="B52" s="271">
        <v>2024</v>
      </c>
      <c r="C52" s="271" t="s">
        <v>2401</v>
      </c>
      <c r="D52" s="272" t="s">
        <v>2402</v>
      </c>
      <c r="E52" s="271" t="s">
        <v>395</v>
      </c>
      <c r="F52" s="273" t="s">
        <v>3072</v>
      </c>
      <c r="G52" s="271" t="s">
        <v>2400</v>
      </c>
      <c r="H52" s="271" t="s">
        <v>3117</v>
      </c>
      <c r="I52" s="271" t="s">
        <v>2399</v>
      </c>
      <c r="J52" s="274" t="s">
        <v>2398</v>
      </c>
      <c r="K52" s="271" t="s">
        <v>2397</v>
      </c>
      <c r="L52" s="271" t="s">
        <v>2396</v>
      </c>
      <c r="M52" s="275">
        <v>45292</v>
      </c>
      <c r="N52" s="276">
        <v>45342.248668981483</v>
      </c>
      <c r="O52" s="271"/>
      <c r="P52" s="271" t="s">
        <v>3118</v>
      </c>
      <c r="Q52" s="271" t="s">
        <v>3118</v>
      </c>
      <c r="R52" s="271"/>
      <c r="S52" s="271"/>
      <c r="T52" s="271"/>
      <c r="U52" s="271" t="s">
        <v>3119</v>
      </c>
      <c r="V52" s="254" t="s">
        <v>3120</v>
      </c>
      <c r="W52" s="254" t="s">
        <v>3121</v>
      </c>
    </row>
    <row r="53" spans="1:24" ht="13" hidden="1" customHeight="1">
      <c r="A53" s="270" t="str">
        <f t="shared" si="2"/>
        <v>Rogha et al.</v>
      </c>
      <c r="B53" s="271">
        <v>2024</v>
      </c>
      <c r="C53" s="271" t="s">
        <v>2332</v>
      </c>
      <c r="D53" s="272" t="s">
        <v>214</v>
      </c>
      <c r="E53" s="271" t="s">
        <v>395</v>
      </c>
      <c r="F53" s="273" t="s">
        <v>3072</v>
      </c>
      <c r="G53" s="271" t="s">
        <v>2331</v>
      </c>
      <c r="H53" s="271" t="s">
        <v>2791</v>
      </c>
      <c r="I53" s="271" t="s">
        <v>3122</v>
      </c>
      <c r="J53" s="274" t="s">
        <v>2330</v>
      </c>
      <c r="K53" s="271" t="s">
        <v>2329</v>
      </c>
      <c r="L53" s="271" t="s">
        <v>2328</v>
      </c>
      <c r="M53" s="271">
        <v>2024</v>
      </c>
      <c r="N53" s="276">
        <v>45401.441111111111</v>
      </c>
      <c r="O53" s="271" t="s">
        <v>2854</v>
      </c>
      <c r="P53" s="271"/>
      <c r="Q53" s="271"/>
      <c r="R53" s="271" t="s">
        <v>2794</v>
      </c>
      <c r="S53" s="271"/>
      <c r="T53" s="274" t="s">
        <v>2878</v>
      </c>
      <c r="U53" s="271" t="s">
        <v>2733</v>
      </c>
      <c r="V53" s="254" t="s">
        <v>3123</v>
      </c>
    </row>
    <row r="54" spans="1:24" ht="13" hidden="1" customHeight="1">
      <c r="A54" s="277" t="str">
        <f t="shared" si="2"/>
        <v>Schäfer et al.</v>
      </c>
      <c r="B54" s="271">
        <v>2024</v>
      </c>
      <c r="C54" s="271" t="s">
        <v>2434</v>
      </c>
      <c r="D54" s="272" t="s">
        <v>312</v>
      </c>
      <c r="E54" s="271"/>
      <c r="F54" s="273" t="s">
        <v>3072</v>
      </c>
      <c r="G54" s="271" t="s">
        <v>2433</v>
      </c>
      <c r="H54" s="271" t="s">
        <v>2816</v>
      </c>
      <c r="I54" s="271" t="s">
        <v>2432</v>
      </c>
      <c r="J54" s="274" t="s">
        <v>2431</v>
      </c>
      <c r="K54" s="271" t="s">
        <v>2430</v>
      </c>
      <c r="L54" s="271" t="s">
        <v>2429</v>
      </c>
      <c r="M54" s="275">
        <v>45423</v>
      </c>
      <c r="N54" s="276">
        <v>45425.805752314824</v>
      </c>
      <c r="O54" s="271" t="s">
        <v>2925</v>
      </c>
      <c r="P54" s="271"/>
      <c r="Q54" s="271"/>
      <c r="R54" s="271"/>
      <c r="S54" s="271" t="s">
        <v>2732</v>
      </c>
      <c r="T54" s="271"/>
      <c r="U54" s="271" t="s">
        <v>2733</v>
      </c>
      <c r="V54" s="254" t="s">
        <v>3124</v>
      </c>
      <c r="X54" s="254" t="s">
        <v>2888</v>
      </c>
    </row>
    <row r="55" spans="1:24" ht="13" hidden="1" customHeight="1">
      <c r="A55" s="270" t="str">
        <f t="shared" si="2"/>
        <v>Shao et al.</v>
      </c>
      <c r="B55" s="271">
        <v>2024</v>
      </c>
      <c r="C55" s="271" t="s">
        <v>2440</v>
      </c>
      <c r="D55" s="272" t="s">
        <v>214</v>
      </c>
      <c r="E55" s="271"/>
      <c r="F55" s="273" t="s">
        <v>3072</v>
      </c>
      <c r="G55" s="271" t="s">
        <v>2439</v>
      </c>
      <c r="H55" s="271" t="s">
        <v>2816</v>
      </c>
      <c r="I55" s="271" t="s">
        <v>3125</v>
      </c>
      <c r="J55" s="274" t="s">
        <v>2438</v>
      </c>
      <c r="K55" s="271" t="s">
        <v>2437</v>
      </c>
      <c r="L55" s="271" t="s">
        <v>2436</v>
      </c>
      <c r="M55" s="275">
        <v>45423</v>
      </c>
      <c r="N55" s="276">
        <v>45425.496886574067</v>
      </c>
      <c r="O55" s="271" t="s">
        <v>2731</v>
      </c>
      <c r="P55" s="271"/>
      <c r="Q55" s="271"/>
      <c r="R55" s="271"/>
      <c r="S55" s="271"/>
      <c r="T55" s="271"/>
      <c r="U55" s="274" t="s">
        <v>2748</v>
      </c>
    </row>
    <row r="56" spans="1:24" ht="13" hidden="1" customHeight="1">
      <c r="A56" s="270" t="str">
        <f t="shared" si="2"/>
        <v>Wang et al.</v>
      </c>
      <c r="B56" s="271">
        <v>2024</v>
      </c>
      <c r="C56" s="271" t="s">
        <v>3126</v>
      </c>
      <c r="D56" s="272" t="s">
        <v>214</v>
      </c>
      <c r="E56" s="271"/>
      <c r="F56" s="273" t="s">
        <v>3072</v>
      </c>
      <c r="G56" s="271" t="s">
        <v>2450</v>
      </c>
      <c r="H56" s="271" t="s">
        <v>2791</v>
      </c>
      <c r="I56" s="271" t="s">
        <v>3127</v>
      </c>
      <c r="J56" s="274" t="s">
        <v>2449</v>
      </c>
      <c r="K56" s="271" t="s">
        <v>2448</v>
      </c>
      <c r="L56" s="271" t="s">
        <v>2447</v>
      </c>
      <c r="M56" s="271">
        <v>2024</v>
      </c>
      <c r="N56" s="276">
        <v>45570.558680555558</v>
      </c>
      <c r="O56" s="271" t="s">
        <v>2854</v>
      </c>
      <c r="P56" s="271"/>
      <c r="Q56" s="271"/>
      <c r="R56" s="271"/>
      <c r="S56" s="271"/>
      <c r="T56" s="271"/>
      <c r="U56" s="271" t="s">
        <v>2833</v>
      </c>
      <c r="V56" s="254" t="s">
        <v>3128</v>
      </c>
      <c r="X56" s="254" t="s">
        <v>3129</v>
      </c>
    </row>
    <row r="57" spans="1:24" ht="13" hidden="1" customHeight="1">
      <c r="A57" s="270" t="str">
        <f t="shared" si="2"/>
        <v>Xie et al.</v>
      </c>
      <c r="B57" s="271">
        <v>2024</v>
      </c>
      <c r="C57" s="271" t="s">
        <v>2480</v>
      </c>
      <c r="D57" s="272" t="s">
        <v>214</v>
      </c>
      <c r="E57" s="271"/>
      <c r="F57" s="273" t="s">
        <v>3072</v>
      </c>
      <c r="G57" s="271" t="s">
        <v>2479</v>
      </c>
      <c r="H57" s="271" t="s">
        <v>2791</v>
      </c>
      <c r="I57" s="271" t="s">
        <v>3130</v>
      </c>
      <c r="J57" s="274" t="s">
        <v>2478</v>
      </c>
      <c r="K57" s="271" t="s">
        <v>2477</v>
      </c>
      <c r="L57" s="271" t="s">
        <v>2476</v>
      </c>
      <c r="M57" s="284">
        <v>45505</v>
      </c>
      <c r="N57" s="276">
        <v>45570.568020833343</v>
      </c>
      <c r="O57" s="271" t="s">
        <v>3131</v>
      </c>
      <c r="P57" s="271">
        <v>8</v>
      </c>
      <c r="Q57" s="271">
        <v>30</v>
      </c>
      <c r="R57" s="271"/>
      <c r="S57" s="271"/>
      <c r="T57" s="271"/>
      <c r="U57" s="271" t="s">
        <v>2833</v>
      </c>
      <c r="V57" s="254" t="s">
        <v>3132</v>
      </c>
      <c r="X57" s="254" t="s">
        <v>2888</v>
      </c>
    </row>
    <row r="58" spans="1:24" ht="13" hidden="1" customHeight="1">
      <c r="A58" s="270" t="str">
        <f t="shared" si="2"/>
        <v>Yang et al.</v>
      </c>
      <c r="B58" s="271">
        <v>2024</v>
      </c>
      <c r="C58" s="271" t="s">
        <v>2513</v>
      </c>
      <c r="D58" s="272" t="s">
        <v>214</v>
      </c>
      <c r="E58" s="271" t="s">
        <v>1111</v>
      </c>
      <c r="F58" s="273" t="s">
        <v>3072</v>
      </c>
      <c r="G58" s="271" t="s">
        <v>2512</v>
      </c>
      <c r="H58" s="271" t="s">
        <v>2791</v>
      </c>
      <c r="I58" s="271" t="s">
        <v>3133</v>
      </c>
      <c r="J58" s="274" t="s">
        <v>2511</v>
      </c>
      <c r="K58" s="271" t="s">
        <v>2510</v>
      </c>
      <c r="L58" s="271" t="s">
        <v>2509</v>
      </c>
      <c r="M58" s="284">
        <v>45292</v>
      </c>
      <c r="N58" s="276">
        <v>45569.684999999998</v>
      </c>
      <c r="O58" s="271" t="s">
        <v>3134</v>
      </c>
      <c r="P58" s="271">
        <v>1</v>
      </c>
      <c r="Q58" s="271">
        <v>30</v>
      </c>
      <c r="R58" s="271"/>
      <c r="S58" s="271"/>
      <c r="T58" s="271"/>
      <c r="U58" s="271" t="s">
        <v>2833</v>
      </c>
      <c r="V58" s="254" t="s">
        <v>3135</v>
      </c>
    </row>
    <row r="59" spans="1:24" ht="13" hidden="1" customHeight="1">
      <c r="A59" s="270" t="str">
        <f t="shared" si="2"/>
        <v>Zhu et al.</v>
      </c>
      <c r="B59" s="271">
        <v>2024</v>
      </c>
      <c r="C59" s="271" t="s">
        <v>2546</v>
      </c>
      <c r="D59" s="272" t="s">
        <v>312</v>
      </c>
      <c r="E59" s="271" t="s">
        <v>844</v>
      </c>
      <c r="F59" s="273" t="s">
        <v>3072</v>
      </c>
      <c r="G59" s="271" t="s">
        <v>2545</v>
      </c>
      <c r="H59" s="271" t="s">
        <v>3094</v>
      </c>
      <c r="I59" s="271" t="s">
        <v>3136</v>
      </c>
      <c r="J59" s="274" t="s">
        <v>2544</v>
      </c>
      <c r="K59" s="271" t="s">
        <v>2543</v>
      </c>
      <c r="L59" s="271" t="s">
        <v>2542</v>
      </c>
      <c r="M59" s="284">
        <v>45292</v>
      </c>
      <c r="N59" s="276">
        <v>45573.615347222221</v>
      </c>
      <c r="O59" s="271">
        <v>103137</v>
      </c>
      <c r="P59" s="271"/>
      <c r="Q59" s="271">
        <v>181</v>
      </c>
      <c r="R59" s="271" t="s">
        <v>3094</v>
      </c>
      <c r="S59" s="271"/>
      <c r="T59" s="271"/>
      <c r="U59" s="271" t="s">
        <v>2733</v>
      </c>
      <c r="V59" s="254" t="s">
        <v>3137</v>
      </c>
      <c r="X59" s="254" t="s">
        <v>3138</v>
      </c>
    </row>
    <row r="60" spans="1:24" ht="13" hidden="1" customHeight="1">
      <c r="A60" s="263" t="str">
        <f t="shared" si="2"/>
        <v>Alebri et al.</v>
      </c>
      <c r="B60" s="271">
        <v>2023</v>
      </c>
      <c r="C60" s="271" t="s">
        <v>1549</v>
      </c>
      <c r="D60" s="272" t="s">
        <v>214</v>
      </c>
      <c r="E60" s="271"/>
      <c r="F60" s="273" t="s">
        <v>3072</v>
      </c>
      <c r="G60" s="271" t="s">
        <v>1548</v>
      </c>
      <c r="H60" s="271" t="s">
        <v>2791</v>
      </c>
      <c r="I60" s="271" t="s">
        <v>3139</v>
      </c>
      <c r="J60" s="274" t="s">
        <v>1546</v>
      </c>
      <c r="K60" s="271" t="s">
        <v>1545</v>
      </c>
      <c r="L60" s="271" t="s">
        <v>1544</v>
      </c>
      <c r="M60" s="271">
        <v>2023</v>
      </c>
      <c r="N60" s="276">
        <v>45571.460312499999</v>
      </c>
      <c r="O60" s="280">
        <v>45597</v>
      </c>
      <c r="P60" s="271"/>
      <c r="Q60" s="271"/>
      <c r="R60" s="271" t="s">
        <v>2794</v>
      </c>
      <c r="S60" s="271"/>
      <c r="T60" s="274" t="s">
        <v>2878</v>
      </c>
      <c r="U60" s="271" t="s">
        <v>2733</v>
      </c>
      <c r="V60" s="254" t="s">
        <v>3140</v>
      </c>
    </row>
    <row r="61" spans="1:24" ht="13" hidden="1" customHeight="1">
      <c r="A61" s="263" t="str">
        <f t="shared" si="2"/>
        <v>Chowdhury et al.</v>
      </c>
      <c r="B61" s="271">
        <v>2023</v>
      </c>
      <c r="C61" s="271" t="s">
        <v>1771</v>
      </c>
      <c r="D61" s="272" t="s">
        <v>719</v>
      </c>
      <c r="E61" s="271" t="s">
        <v>844</v>
      </c>
      <c r="F61" s="273" t="s">
        <v>3072</v>
      </c>
      <c r="G61" s="271" t="s">
        <v>1770</v>
      </c>
      <c r="H61" s="271" t="s">
        <v>3141</v>
      </c>
      <c r="I61" s="271" t="s">
        <v>1769</v>
      </c>
      <c r="J61" s="274" t="s">
        <v>1768</v>
      </c>
      <c r="K61" s="271" t="s">
        <v>1767</v>
      </c>
      <c r="L61" s="271" t="s">
        <v>1766</v>
      </c>
      <c r="M61" s="275">
        <v>45019</v>
      </c>
      <c r="N61" s="276">
        <v>45363.415636574071</v>
      </c>
      <c r="O61" s="271" t="s">
        <v>3142</v>
      </c>
      <c r="P61" s="271">
        <v>2</v>
      </c>
      <c r="Q61" s="271">
        <v>31</v>
      </c>
      <c r="R61" s="271"/>
      <c r="S61" s="271"/>
      <c r="T61" s="271"/>
      <c r="U61" s="271" t="s">
        <v>2769</v>
      </c>
      <c r="V61" s="254" t="s">
        <v>3143</v>
      </c>
    </row>
    <row r="62" spans="1:24" ht="13" hidden="1" customHeight="1">
      <c r="A62" s="277" t="str">
        <f t="shared" si="2"/>
        <v>Fuest et al.</v>
      </c>
      <c r="B62" s="271">
        <v>2023</v>
      </c>
      <c r="C62" s="271" t="s">
        <v>3144</v>
      </c>
      <c r="D62" s="272" t="s">
        <v>3145</v>
      </c>
      <c r="E62" s="271" t="s">
        <v>724</v>
      </c>
      <c r="F62" s="273" t="s">
        <v>3072</v>
      </c>
      <c r="G62" s="271" t="s">
        <v>1582</v>
      </c>
      <c r="H62" s="271" t="s">
        <v>3146</v>
      </c>
      <c r="I62" s="271" t="s">
        <v>3147</v>
      </c>
      <c r="J62" s="274" t="s">
        <v>3148</v>
      </c>
      <c r="K62" s="271" t="s">
        <v>1581</v>
      </c>
      <c r="L62" s="271" t="s">
        <v>3149</v>
      </c>
      <c r="M62" s="284">
        <v>45047</v>
      </c>
      <c r="N62" s="276">
        <v>45571.36859953704</v>
      </c>
      <c r="O62" s="271">
        <v>100829</v>
      </c>
      <c r="P62" s="271"/>
      <c r="Q62" s="271">
        <v>19</v>
      </c>
      <c r="R62" s="271" t="s">
        <v>3146</v>
      </c>
      <c r="S62" s="271"/>
      <c r="T62" s="271"/>
      <c r="U62" s="271" t="s">
        <v>2733</v>
      </c>
      <c r="V62" s="254" t="s">
        <v>3150</v>
      </c>
    </row>
    <row r="63" spans="1:24" ht="13" hidden="1" customHeight="1">
      <c r="A63" s="263" t="s">
        <v>3151</v>
      </c>
      <c r="B63" s="271">
        <v>2023</v>
      </c>
      <c r="C63" s="271" t="s">
        <v>1778</v>
      </c>
      <c r="D63" s="272" t="s">
        <v>214</v>
      </c>
      <c r="E63" s="271" t="s">
        <v>1111</v>
      </c>
      <c r="F63" s="273" t="s">
        <v>3072</v>
      </c>
      <c r="G63" s="271" t="s">
        <v>1777</v>
      </c>
      <c r="H63" s="271" t="s">
        <v>2791</v>
      </c>
      <c r="I63" s="271" t="s">
        <v>3152</v>
      </c>
      <c r="J63" s="274" t="s">
        <v>1776</v>
      </c>
      <c r="K63" s="271" t="s">
        <v>1775</v>
      </c>
      <c r="L63" s="271" t="s">
        <v>1774</v>
      </c>
      <c r="M63" s="271">
        <v>2023</v>
      </c>
      <c r="N63" s="276">
        <v>45401.463356481479</v>
      </c>
      <c r="O63" s="280">
        <v>45597</v>
      </c>
      <c r="P63" s="271"/>
      <c r="Q63" s="271"/>
      <c r="R63" s="271" t="s">
        <v>2794</v>
      </c>
      <c r="S63" s="271"/>
      <c r="T63" s="274" t="s">
        <v>2878</v>
      </c>
      <c r="U63" s="271" t="s">
        <v>2733</v>
      </c>
      <c r="V63" s="254" t="s">
        <v>3153</v>
      </c>
    </row>
    <row r="64" spans="1:24" ht="13" hidden="1" customHeight="1">
      <c r="A64" s="286" t="str">
        <f>CONCATENATE(LEFT(L64,FIND(",",L64) - 1)," et al.")</f>
        <v>Karinshak et al.</v>
      </c>
      <c r="B64" s="271">
        <v>2023</v>
      </c>
      <c r="C64" s="271" t="s">
        <v>3154</v>
      </c>
      <c r="D64" s="272" t="s">
        <v>312</v>
      </c>
      <c r="E64" s="271" t="s">
        <v>844</v>
      </c>
      <c r="F64" s="273" t="s">
        <v>3072</v>
      </c>
      <c r="G64" s="271" t="s">
        <v>3155</v>
      </c>
      <c r="H64" s="271" t="s">
        <v>3156</v>
      </c>
      <c r="I64" s="271" t="s">
        <v>3157</v>
      </c>
      <c r="J64" s="274" t="s">
        <v>3158</v>
      </c>
      <c r="K64" s="271" t="s">
        <v>3159</v>
      </c>
      <c r="L64" s="271" t="s">
        <v>3160</v>
      </c>
      <c r="M64" s="275">
        <v>45030</v>
      </c>
      <c r="N64" s="276">
        <v>45363.413773148153</v>
      </c>
      <c r="O64" s="271" t="s">
        <v>3161</v>
      </c>
      <c r="P64" s="271" t="s">
        <v>3162</v>
      </c>
      <c r="Q64" s="271">
        <v>7</v>
      </c>
      <c r="R64" s="271" t="s">
        <v>3163</v>
      </c>
      <c r="S64" s="271"/>
      <c r="T64" s="271"/>
      <c r="U64" s="271" t="s">
        <v>2733</v>
      </c>
      <c r="V64" s="254" t="s">
        <v>3164</v>
      </c>
      <c r="X64" s="254" t="s">
        <v>2827</v>
      </c>
    </row>
    <row r="65" spans="1:24" ht="13" hidden="1" customHeight="1">
      <c r="A65" s="270" t="str">
        <f>CONCATENATE(LEFT(L65,FIND(",",L65) - 1)," et al.")</f>
        <v>Markant et al.</v>
      </c>
      <c r="B65" s="271">
        <v>2023</v>
      </c>
      <c r="C65" s="271" t="s">
        <v>1786</v>
      </c>
      <c r="D65" s="272" t="s">
        <v>214</v>
      </c>
      <c r="E65" s="271"/>
      <c r="F65" s="273" t="s">
        <v>3072</v>
      </c>
      <c r="G65" s="285" t="s">
        <v>1785</v>
      </c>
      <c r="H65" s="271" t="s">
        <v>2726</v>
      </c>
      <c r="I65" s="271" t="s">
        <v>1784</v>
      </c>
      <c r="J65" s="274" t="s">
        <v>1783</v>
      </c>
      <c r="K65" s="271" t="s">
        <v>1782</v>
      </c>
      <c r="L65" s="271" t="s">
        <v>1781</v>
      </c>
      <c r="M65" s="275">
        <v>45035</v>
      </c>
      <c r="N65" s="276">
        <v>45401.439618055563</v>
      </c>
      <c r="O65" s="271" t="s">
        <v>3081</v>
      </c>
      <c r="P65" s="271"/>
      <c r="Q65" s="271"/>
      <c r="R65" s="271"/>
      <c r="S65" s="271" t="s">
        <v>2732</v>
      </c>
      <c r="T65" s="271"/>
      <c r="U65" s="271" t="s">
        <v>2733</v>
      </c>
      <c r="V65" s="254" t="s">
        <v>3165</v>
      </c>
      <c r="W65" s="254" t="s">
        <v>3166</v>
      </c>
    </row>
    <row r="66" spans="1:24" ht="13" hidden="1" customHeight="1">
      <c r="A66" s="277" t="str">
        <f>CONCATENATE(LEFT(L66,FIND(",",L66) - 1)," et al.")</f>
        <v>Mittenentzwei et al.</v>
      </c>
      <c r="B66" s="271">
        <v>2023</v>
      </c>
      <c r="C66" s="271" t="s">
        <v>3167</v>
      </c>
      <c r="D66" s="272" t="s">
        <v>214</v>
      </c>
      <c r="E66" s="271" t="s">
        <v>85</v>
      </c>
      <c r="F66" s="273" t="s">
        <v>3072</v>
      </c>
      <c r="G66" s="271" t="s">
        <v>1677</v>
      </c>
      <c r="H66" s="271" t="s">
        <v>2849</v>
      </c>
      <c r="I66" s="271" t="s">
        <v>3168</v>
      </c>
      <c r="J66" s="274" t="s">
        <v>3169</v>
      </c>
      <c r="K66" s="271" t="s">
        <v>1676</v>
      </c>
      <c r="L66" s="271" t="s">
        <v>3170</v>
      </c>
      <c r="M66" s="271">
        <v>2023</v>
      </c>
      <c r="N66" s="276">
        <v>45576.355023148149</v>
      </c>
      <c r="O66" s="271" t="s">
        <v>3171</v>
      </c>
      <c r="P66" s="271">
        <v>3</v>
      </c>
      <c r="Q66" s="271">
        <v>42</v>
      </c>
      <c r="R66" s="271"/>
      <c r="S66" s="271"/>
      <c r="T66" s="271" t="s">
        <v>3172</v>
      </c>
      <c r="U66" s="271" t="s">
        <v>2855</v>
      </c>
      <c r="V66" s="254" t="s">
        <v>3173</v>
      </c>
    </row>
    <row r="67" spans="1:24" ht="13" hidden="1" customHeight="1">
      <c r="A67" s="270" t="s">
        <v>3174</v>
      </c>
      <c r="B67" s="271">
        <v>2023</v>
      </c>
      <c r="C67" s="271" t="s">
        <v>1793</v>
      </c>
      <c r="D67" s="272" t="s">
        <v>214</v>
      </c>
      <c r="E67" s="271" t="s">
        <v>1742</v>
      </c>
      <c r="F67" s="273" t="s">
        <v>3072</v>
      </c>
      <c r="G67" s="271" t="s">
        <v>1792</v>
      </c>
      <c r="H67" s="271" t="s">
        <v>3175</v>
      </c>
      <c r="I67" s="271" t="s">
        <v>3176</v>
      </c>
      <c r="J67" s="274" t="s">
        <v>1791</v>
      </c>
      <c r="K67" s="271" t="s">
        <v>1790</v>
      </c>
      <c r="L67" s="271" t="s">
        <v>1789</v>
      </c>
      <c r="M67" s="279">
        <v>45200</v>
      </c>
      <c r="N67" s="276">
        <v>45569.690972222219</v>
      </c>
      <c r="O67" s="280">
        <v>45413</v>
      </c>
      <c r="P67" s="271"/>
      <c r="Q67" s="271"/>
      <c r="R67" s="271"/>
      <c r="S67" s="271"/>
      <c r="T67" s="271"/>
      <c r="U67" s="271" t="s">
        <v>2833</v>
      </c>
      <c r="V67" s="254" t="s">
        <v>3177</v>
      </c>
      <c r="X67" s="254" t="s">
        <v>3178</v>
      </c>
    </row>
    <row r="68" spans="1:24" ht="13" hidden="1" customHeight="1">
      <c r="A68" s="277" t="str">
        <f>CONCATENATE(LEFT(L68,FIND(",",L68) - 1)," et al.")</f>
        <v>Wu et al.</v>
      </c>
      <c r="B68" s="271">
        <v>2023</v>
      </c>
      <c r="C68" s="271" t="s">
        <v>1741</v>
      </c>
      <c r="D68" s="272" t="s">
        <v>214</v>
      </c>
      <c r="E68" s="271" t="s">
        <v>1742</v>
      </c>
      <c r="F68" s="273" t="s">
        <v>3072</v>
      </c>
      <c r="G68" s="278" t="s">
        <v>1740</v>
      </c>
      <c r="H68" s="271" t="s">
        <v>2726</v>
      </c>
      <c r="I68" s="271" t="s">
        <v>1739</v>
      </c>
      <c r="J68" s="274" t="s">
        <v>1738</v>
      </c>
      <c r="K68" s="271" t="s">
        <v>1737</v>
      </c>
      <c r="L68" s="271" t="s">
        <v>1736</v>
      </c>
      <c r="M68" s="275">
        <v>45035</v>
      </c>
      <c r="N68" s="276">
        <v>45569.678912037038</v>
      </c>
      <c r="O68" s="271" t="s">
        <v>3179</v>
      </c>
      <c r="P68" s="271"/>
      <c r="Q68" s="271"/>
      <c r="R68" s="271"/>
      <c r="S68" s="271" t="s">
        <v>2732</v>
      </c>
      <c r="T68" s="271"/>
      <c r="U68" s="271" t="s">
        <v>2733</v>
      </c>
      <c r="V68" s="254" t="s">
        <v>3180</v>
      </c>
    </row>
    <row r="69" spans="1:24" ht="13" hidden="1" customHeight="1">
      <c r="A69" s="263" t="str">
        <f>CONCATENATE(LEFT(L69,FIND(",",L69) - 1)," et al.")</f>
        <v>Burns et al.</v>
      </c>
      <c r="B69" s="271">
        <v>2022</v>
      </c>
      <c r="C69" s="271" t="s">
        <v>3181</v>
      </c>
      <c r="D69" s="272" t="s">
        <v>214</v>
      </c>
      <c r="E69" s="271"/>
      <c r="F69" s="273" t="s">
        <v>3072</v>
      </c>
      <c r="G69" s="271" t="s">
        <v>3182</v>
      </c>
      <c r="H69" s="271" t="s">
        <v>2791</v>
      </c>
      <c r="I69" s="271" t="s">
        <v>3183</v>
      </c>
      <c r="J69" s="274" t="s">
        <v>3184</v>
      </c>
      <c r="K69" s="271" t="s">
        <v>3185</v>
      </c>
      <c r="L69" s="271" t="s">
        <v>2875</v>
      </c>
      <c r="M69" s="275">
        <v>44896</v>
      </c>
      <c r="N69" s="276">
        <v>45435.455682870372</v>
      </c>
      <c r="O69" s="271" t="s">
        <v>3186</v>
      </c>
      <c r="P69" s="271">
        <v>12</v>
      </c>
      <c r="Q69" s="271">
        <v>28</v>
      </c>
      <c r="R69" s="271" t="s">
        <v>2794</v>
      </c>
      <c r="S69" s="271"/>
      <c r="T69" s="274" t="s">
        <v>2878</v>
      </c>
      <c r="U69" s="271" t="s">
        <v>2733</v>
      </c>
    </row>
    <row r="70" spans="1:24" ht="13" hidden="1" customHeight="1">
      <c r="A70" s="263" t="str">
        <f>CONCATENATE(LEFT(L70,FIND(",",L70) - 1)," et al.")</f>
        <v>Campbell et al.</v>
      </c>
      <c r="B70" s="271">
        <v>2022</v>
      </c>
      <c r="C70" s="271" t="s">
        <v>1203</v>
      </c>
      <c r="D70" s="272" t="s">
        <v>214</v>
      </c>
      <c r="E70" s="271"/>
      <c r="F70" s="273" t="s">
        <v>3072</v>
      </c>
      <c r="G70" s="271" t="s">
        <v>1202</v>
      </c>
      <c r="H70" s="271" t="s">
        <v>3187</v>
      </c>
      <c r="I70" s="271" t="s">
        <v>1201</v>
      </c>
      <c r="J70" s="274" t="s">
        <v>1200</v>
      </c>
      <c r="K70" s="271" t="s">
        <v>1199</v>
      </c>
      <c r="L70" s="271" t="s">
        <v>1198</v>
      </c>
      <c r="M70" s="275">
        <v>44747</v>
      </c>
      <c r="N70" s="276">
        <v>45342.206701388888</v>
      </c>
      <c r="O70" s="271" t="s">
        <v>3188</v>
      </c>
      <c r="P70" s="271"/>
      <c r="Q70" s="271"/>
      <c r="R70" s="271" t="s">
        <v>3189</v>
      </c>
      <c r="S70" s="271"/>
      <c r="T70" s="271"/>
      <c r="U70" s="271" t="s">
        <v>2733</v>
      </c>
      <c r="X70" s="254" t="s">
        <v>3190</v>
      </c>
    </row>
    <row r="71" spans="1:24" ht="13" hidden="1" customHeight="1">
      <c r="A71" s="270" t="s">
        <v>3191</v>
      </c>
      <c r="B71" s="271">
        <v>2022</v>
      </c>
      <c r="C71" s="271" t="s">
        <v>3192</v>
      </c>
      <c r="D71" s="272" t="s">
        <v>267</v>
      </c>
      <c r="E71" s="271" t="s">
        <v>267</v>
      </c>
      <c r="F71" s="273" t="s">
        <v>3072</v>
      </c>
      <c r="G71" s="271" t="s">
        <v>3193</v>
      </c>
      <c r="H71" s="271" t="s">
        <v>3194</v>
      </c>
      <c r="I71" s="271" t="s">
        <v>3195</v>
      </c>
      <c r="J71" s="274" t="s">
        <v>3196</v>
      </c>
      <c r="K71" s="271" t="s">
        <v>3197</v>
      </c>
      <c r="L71" s="271" t="s">
        <v>3198</v>
      </c>
      <c r="M71" s="275">
        <v>44565</v>
      </c>
      <c r="N71" s="276">
        <v>45363.411435185182</v>
      </c>
      <c r="O71" s="271">
        <v>1</v>
      </c>
      <c r="P71" s="271">
        <v>1</v>
      </c>
      <c r="Q71" s="271">
        <v>170</v>
      </c>
      <c r="R71" s="271" t="s">
        <v>3194</v>
      </c>
      <c r="S71" s="271"/>
      <c r="T71" s="271"/>
      <c r="U71" s="271" t="s">
        <v>3199</v>
      </c>
      <c r="V71" s="254" t="s">
        <v>3200</v>
      </c>
      <c r="X71" s="254" t="s">
        <v>3201</v>
      </c>
    </row>
    <row r="72" spans="1:24" ht="13" hidden="1" customHeight="1">
      <c r="A72" s="263" t="str">
        <f t="shared" ref="A72:A80" si="3">CONCATENATE(LEFT(L72,FIND(",",L72) - 1)," et al.")</f>
        <v>Holder et al.</v>
      </c>
      <c r="B72" s="271">
        <v>2022</v>
      </c>
      <c r="C72" s="271" t="s">
        <v>1403</v>
      </c>
      <c r="D72" s="272" t="s">
        <v>214</v>
      </c>
      <c r="E72" s="271"/>
      <c r="F72" s="273" t="s">
        <v>3072</v>
      </c>
      <c r="G72" s="271" t="s">
        <v>1402</v>
      </c>
      <c r="H72" s="271" t="s">
        <v>2791</v>
      </c>
      <c r="I72" s="271" t="s">
        <v>3202</v>
      </c>
      <c r="J72" s="274" t="s">
        <v>1401</v>
      </c>
      <c r="K72" s="271" t="s">
        <v>1400</v>
      </c>
      <c r="L72" s="271" t="s">
        <v>1399</v>
      </c>
      <c r="M72" s="271">
        <v>2022</v>
      </c>
      <c r="N72" s="276">
        <v>45401.441516203697</v>
      </c>
      <c r="O72" s="280">
        <v>45597</v>
      </c>
      <c r="P72" s="271"/>
      <c r="Q72" s="271"/>
      <c r="R72" s="271" t="s">
        <v>2794</v>
      </c>
      <c r="S72" s="271"/>
      <c r="T72" s="274" t="s">
        <v>2878</v>
      </c>
      <c r="U72" s="271" t="s">
        <v>2733</v>
      </c>
      <c r="V72" s="254" t="s">
        <v>3203</v>
      </c>
    </row>
    <row r="73" spans="1:24" ht="13" hidden="1" customHeight="1">
      <c r="A73" s="277" t="str">
        <f t="shared" si="3"/>
        <v>Lan et al.</v>
      </c>
      <c r="B73" s="271">
        <v>2022</v>
      </c>
      <c r="C73" s="271" t="s">
        <v>1272</v>
      </c>
      <c r="D73" s="272" t="s">
        <v>214</v>
      </c>
      <c r="E73" s="271"/>
      <c r="F73" s="273" t="s">
        <v>3072</v>
      </c>
      <c r="G73" s="271" t="s">
        <v>1271</v>
      </c>
      <c r="H73" s="271" t="s">
        <v>2791</v>
      </c>
      <c r="I73" s="271" t="s">
        <v>3204</v>
      </c>
      <c r="J73" s="274" t="s">
        <v>3205</v>
      </c>
      <c r="K73" s="271" t="s">
        <v>1270</v>
      </c>
      <c r="L73" s="271" t="s">
        <v>3206</v>
      </c>
      <c r="M73" s="284">
        <v>44562</v>
      </c>
      <c r="N73" s="276">
        <v>45569.640844907408</v>
      </c>
      <c r="O73" s="271" t="s">
        <v>3207</v>
      </c>
      <c r="P73" s="271">
        <v>1</v>
      </c>
      <c r="Q73" s="271">
        <v>28</v>
      </c>
      <c r="R73" s="271"/>
      <c r="S73" s="271"/>
      <c r="T73" s="271"/>
      <c r="U73" s="271" t="s">
        <v>2833</v>
      </c>
      <c r="V73" s="254" t="s">
        <v>3208</v>
      </c>
      <c r="W73" s="254" t="s">
        <v>3209</v>
      </c>
    </row>
    <row r="74" spans="1:24" ht="13" hidden="1" customHeight="1">
      <c r="A74" s="277" t="str">
        <f t="shared" si="3"/>
        <v>Lan et al.</v>
      </c>
      <c r="B74" s="271">
        <v>2022</v>
      </c>
      <c r="C74" s="271" t="s">
        <v>1413</v>
      </c>
      <c r="D74" s="272" t="s">
        <v>214</v>
      </c>
      <c r="E74" s="271"/>
      <c r="F74" s="273" t="s">
        <v>3072</v>
      </c>
      <c r="G74" s="271" t="s">
        <v>1412</v>
      </c>
      <c r="H74" s="271"/>
      <c r="I74" s="271"/>
      <c r="J74" s="274" t="s">
        <v>1411</v>
      </c>
      <c r="K74" s="271" t="s">
        <v>1410</v>
      </c>
      <c r="L74" s="271" t="s">
        <v>1409</v>
      </c>
      <c r="M74" s="275">
        <v>44871</v>
      </c>
      <c r="N74" s="276">
        <v>45570.563692129632</v>
      </c>
      <c r="O74" s="271"/>
      <c r="P74" s="271"/>
      <c r="Q74" s="271"/>
      <c r="R74" s="271"/>
      <c r="S74" s="271" t="s">
        <v>2747</v>
      </c>
      <c r="T74" s="271"/>
      <c r="U74" s="274" t="s">
        <v>2748</v>
      </c>
      <c r="V74" s="254" t="s">
        <v>3210</v>
      </c>
    </row>
    <row r="75" spans="1:24" ht="13" hidden="1" customHeight="1">
      <c r="A75" s="277" t="str">
        <f t="shared" si="3"/>
        <v>Markant et al.</v>
      </c>
      <c r="B75" s="271">
        <v>2022</v>
      </c>
      <c r="C75" s="271" t="s">
        <v>1421</v>
      </c>
      <c r="D75" s="272" t="s">
        <v>214</v>
      </c>
      <c r="E75" s="271" t="s">
        <v>1111</v>
      </c>
      <c r="F75" s="273" t="s">
        <v>3072</v>
      </c>
      <c r="G75" s="271" t="s">
        <v>1420</v>
      </c>
      <c r="H75" s="271" t="s">
        <v>3201</v>
      </c>
      <c r="I75" s="271" t="s">
        <v>3211</v>
      </c>
      <c r="J75" s="274" t="s">
        <v>1419</v>
      </c>
      <c r="K75" s="271" t="s">
        <v>1418</v>
      </c>
      <c r="L75" s="271" t="s">
        <v>1417</v>
      </c>
      <c r="M75" s="279">
        <v>44835</v>
      </c>
      <c r="N75" s="276">
        <v>45571.4609837963</v>
      </c>
      <c r="O75" s="280">
        <v>45413</v>
      </c>
      <c r="P75" s="271"/>
      <c r="Q75" s="271"/>
      <c r="R75" s="271"/>
      <c r="S75" s="271" t="s">
        <v>2877</v>
      </c>
      <c r="T75" s="274" t="s">
        <v>3212</v>
      </c>
      <c r="U75" s="271" t="s">
        <v>2733</v>
      </c>
      <c r="V75" s="254" t="s">
        <v>3213</v>
      </c>
      <c r="W75" s="254" t="s">
        <v>3214</v>
      </c>
    </row>
    <row r="76" spans="1:24" ht="13" hidden="1" customHeight="1">
      <c r="A76" s="286" t="str">
        <f t="shared" si="3"/>
        <v>Pfeiffer et al.</v>
      </c>
      <c r="B76" s="265">
        <v>2022</v>
      </c>
      <c r="C76" s="263" t="s">
        <v>3215</v>
      </c>
      <c r="D76" s="287" t="s">
        <v>3216</v>
      </c>
      <c r="E76" s="247" t="s">
        <v>3217</v>
      </c>
      <c r="F76" s="288" t="s">
        <v>3072</v>
      </c>
      <c r="G76" s="265" t="s">
        <v>3218</v>
      </c>
      <c r="H76" s="263" t="s">
        <v>3219</v>
      </c>
      <c r="I76" s="263" t="s">
        <v>3220</v>
      </c>
      <c r="J76" s="289" t="s">
        <v>3221</v>
      </c>
      <c r="K76" s="265" t="s">
        <v>1333</v>
      </c>
      <c r="L76" s="265" t="s">
        <v>3222</v>
      </c>
      <c r="M76" s="295">
        <v>44896</v>
      </c>
      <c r="N76" s="293">
        <v>45578.473402777781</v>
      </c>
      <c r="O76" s="247"/>
      <c r="P76" s="247"/>
      <c r="Q76" s="247"/>
      <c r="R76" s="247"/>
      <c r="S76" s="247"/>
      <c r="T76" s="247"/>
      <c r="U76" s="247"/>
      <c r="V76" s="254" t="s">
        <v>3223</v>
      </c>
    </row>
    <row r="77" spans="1:24" ht="13" hidden="1" customHeight="1">
      <c r="A77" s="277" t="str">
        <f t="shared" si="3"/>
        <v>Sakamoto et al.</v>
      </c>
      <c r="B77" s="271">
        <v>2022</v>
      </c>
      <c r="C77" s="271" t="s">
        <v>1371</v>
      </c>
      <c r="D77" s="272" t="s">
        <v>214</v>
      </c>
      <c r="E77" s="271" t="s">
        <v>844</v>
      </c>
      <c r="F77" s="273" t="s">
        <v>3072</v>
      </c>
      <c r="G77" s="271" t="s">
        <v>1370</v>
      </c>
      <c r="H77" s="271" t="s">
        <v>3224</v>
      </c>
      <c r="I77" s="271" t="s">
        <v>3225</v>
      </c>
      <c r="J77" s="274" t="s">
        <v>1369</v>
      </c>
      <c r="K77" s="271" t="s">
        <v>1368</v>
      </c>
      <c r="L77" s="271" t="s">
        <v>1367</v>
      </c>
      <c r="M77" s="284">
        <v>44652</v>
      </c>
      <c r="N77" s="276">
        <v>45573.618877314817</v>
      </c>
      <c r="O77" s="271" t="s">
        <v>3226</v>
      </c>
      <c r="P77" s="271"/>
      <c r="Q77" s="271"/>
      <c r="R77" s="271"/>
      <c r="S77" s="271"/>
      <c r="T77" s="271"/>
      <c r="U77" s="271" t="s">
        <v>2833</v>
      </c>
      <c r="V77" s="254" t="s">
        <v>3227</v>
      </c>
    </row>
    <row r="78" spans="1:24" ht="13" hidden="1" customHeight="1">
      <c r="A78" s="270" t="str">
        <f t="shared" si="3"/>
        <v>Sallam et al.</v>
      </c>
      <c r="B78" s="271">
        <v>2022</v>
      </c>
      <c r="C78" s="271" t="s">
        <v>1431</v>
      </c>
      <c r="D78" s="272" t="s">
        <v>214</v>
      </c>
      <c r="E78" s="271" t="s">
        <v>844</v>
      </c>
      <c r="F78" s="273" t="s">
        <v>3072</v>
      </c>
      <c r="G78" s="271" t="s">
        <v>1430</v>
      </c>
      <c r="H78" s="271" t="s">
        <v>3228</v>
      </c>
      <c r="I78" s="271" t="s">
        <v>1429</v>
      </c>
      <c r="J78" s="274" t="s">
        <v>1428</v>
      </c>
      <c r="K78" s="271" t="s">
        <v>1427</v>
      </c>
      <c r="L78" s="271" t="s">
        <v>1426</v>
      </c>
      <c r="M78" s="275">
        <v>44680</v>
      </c>
      <c r="N78" s="275">
        <v>45573</v>
      </c>
      <c r="O78" s="271" t="s">
        <v>3229</v>
      </c>
      <c r="P78" s="271"/>
      <c r="Q78" s="271"/>
      <c r="R78" s="271"/>
      <c r="S78" s="271" t="s">
        <v>3230</v>
      </c>
      <c r="T78" s="271"/>
      <c r="U78" s="271" t="s">
        <v>3231</v>
      </c>
      <c r="V78" s="254" t="s">
        <v>3232</v>
      </c>
      <c r="X78" s="254" t="s">
        <v>3233</v>
      </c>
    </row>
    <row r="79" spans="1:24" ht="13" hidden="1" customHeight="1">
      <c r="A79" s="277" t="str">
        <f t="shared" si="3"/>
        <v>Tseng et al.</v>
      </c>
      <c r="B79" s="271">
        <v>2022</v>
      </c>
      <c r="C79" s="271" t="s">
        <v>3234</v>
      </c>
      <c r="D79" s="272" t="s">
        <v>312</v>
      </c>
      <c r="E79" s="271"/>
      <c r="F79" s="273" t="s">
        <v>3072</v>
      </c>
      <c r="G79" s="281" t="s">
        <v>3235</v>
      </c>
      <c r="H79" s="271" t="s">
        <v>3236</v>
      </c>
      <c r="I79" s="271" t="s">
        <v>3237</v>
      </c>
      <c r="J79" s="274" t="s">
        <v>3238</v>
      </c>
      <c r="K79" s="271" t="s">
        <v>3239</v>
      </c>
      <c r="L79" s="271" t="s">
        <v>3240</v>
      </c>
      <c r="M79" s="275">
        <v>44680</v>
      </c>
      <c r="N79" s="276">
        <v>45435.473032407397</v>
      </c>
      <c r="O79" s="271" t="s">
        <v>3241</v>
      </c>
      <c r="P79" s="271"/>
      <c r="Q79" s="271"/>
      <c r="R79" s="271"/>
      <c r="S79" s="271" t="s">
        <v>2732</v>
      </c>
      <c r="T79" s="271"/>
      <c r="U79" s="271" t="s">
        <v>2733</v>
      </c>
      <c r="V79" s="254" t="s">
        <v>3242</v>
      </c>
      <c r="X79" s="254" t="s">
        <v>3190</v>
      </c>
    </row>
    <row r="80" spans="1:24" ht="13" hidden="1" customHeight="1">
      <c r="A80" s="277" t="str">
        <f t="shared" si="3"/>
        <v>Woodin et al.</v>
      </c>
      <c r="B80" s="271">
        <v>2022</v>
      </c>
      <c r="C80" s="271" t="s">
        <v>3243</v>
      </c>
      <c r="D80" s="272" t="s">
        <v>214</v>
      </c>
      <c r="E80" s="271"/>
      <c r="F80" s="273" t="s">
        <v>3072</v>
      </c>
      <c r="G80" s="271" t="s">
        <v>3244</v>
      </c>
      <c r="H80" s="271" t="s">
        <v>2791</v>
      </c>
      <c r="I80" s="271" t="s">
        <v>3245</v>
      </c>
      <c r="J80" s="274" t="s">
        <v>3246</v>
      </c>
      <c r="K80" s="271" t="s">
        <v>1236</v>
      </c>
      <c r="L80" s="271" t="s">
        <v>3247</v>
      </c>
      <c r="M80" s="284">
        <v>44593</v>
      </c>
      <c r="N80" s="276">
        <v>45454.361550925933</v>
      </c>
      <c r="O80" s="271" t="s">
        <v>3248</v>
      </c>
      <c r="P80" s="271">
        <v>2</v>
      </c>
      <c r="Q80" s="271">
        <v>28</v>
      </c>
      <c r="R80" s="271"/>
      <c r="S80" s="271"/>
      <c r="T80" s="271"/>
      <c r="U80" s="271" t="s">
        <v>2833</v>
      </c>
      <c r="V80" s="254" t="s">
        <v>3249</v>
      </c>
    </row>
    <row r="81" spans="1:24" ht="13" hidden="1" customHeight="1">
      <c r="A81" s="270" t="s">
        <v>3250</v>
      </c>
      <c r="B81" s="271">
        <v>2021</v>
      </c>
      <c r="C81" s="271" t="s">
        <v>1110</v>
      </c>
      <c r="D81" s="272" t="s">
        <v>214</v>
      </c>
      <c r="E81" s="271" t="s">
        <v>1111</v>
      </c>
      <c r="F81" s="273" t="s">
        <v>3072</v>
      </c>
      <c r="G81" s="271" t="s">
        <v>1109</v>
      </c>
      <c r="H81" s="271"/>
      <c r="I81" s="271" t="s">
        <v>3251</v>
      </c>
      <c r="J81" s="274" t="s">
        <v>1108</v>
      </c>
      <c r="K81" s="271" t="s">
        <v>1107</v>
      </c>
      <c r="L81" s="271" t="s">
        <v>1106</v>
      </c>
      <c r="M81" s="275">
        <v>44547</v>
      </c>
      <c r="N81" s="276">
        <v>45568.575289351851</v>
      </c>
      <c r="O81" s="271"/>
      <c r="P81" s="271"/>
      <c r="Q81" s="271"/>
      <c r="R81" s="271"/>
      <c r="S81" s="271" t="s">
        <v>3252</v>
      </c>
      <c r="T81" s="271"/>
      <c r="U81" s="271" t="s">
        <v>3253</v>
      </c>
      <c r="V81" s="254" t="s">
        <v>3254</v>
      </c>
    </row>
    <row r="82" spans="1:24" ht="13" hidden="1" customHeight="1">
      <c r="A82" s="277" t="str">
        <f t="shared" ref="A82:A88" si="4">CONCATENATE(LEFT(L82,FIND(",",L82) - 1)," et al.")</f>
        <v>Zhang et al.</v>
      </c>
      <c r="B82" s="271">
        <v>2021</v>
      </c>
      <c r="C82" s="271" t="s">
        <v>3255</v>
      </c>
      <c r="D82" s="272" t="s">
        <v>214</v>
      </c>
      <c r="E82" s="271" t="s">
        <v>3256</v>
      </c>
      <c r="F82" s="273" t="s">
        <v>3072</v>
      </c>
      <c r="G82" s="271" t="s">
        <v>3257</v>
      </c>
      <c r="H82" s="271" t="s">
        <v>3258</v>
      </c>
      <c r="I82" s="271" t="s">
        <v>3259</v>
      </c>
      <c r="J82" s="274" t="s">
        <v>3260</v>
      </c>
      <c r="K82" s="271" t="s">
        <v>1073</v>
      </c>
      <c r="L82" s="271" t="s">
        <v>3261</v>
      </c>
      <c r="M82" s="284">
        <v>44197</v>
      </c>
      <c r="N82" s="276">
        <v>45578.312060185177</v>
      </c>
      <c r="O82" s="271">
        <v>4766</v>
      </c>
      <c r="P82" s="271">
        <v>14</v>
      </c>
      <c r="Q82" s="271">
        <v>21</v>
      </c>
      <c r="R82" s="271"/>
      <c r="S82" s="271"/>
      <c r="T82" s="274" t="s">
        <v>3262</v>
      </c>
      <c r="U82" s="274" t="s">
        <v>3263</v>
      </c>
      <c r="V82" s="254" t="s">
        <v>3264</v>
      </c>
    </row>
    <row r="83" spans="1:24" ht="13" hidden="1" customHeight="1">
      <c r="A83" s="263" t="str">
        <f t="shared" si="4"/>
        <v>Concannon et al.</v>
      </c>
      <c r="B83" s="271">
        <v>2020</v>
      </c>
      <c r="C83" s="271" t="s">
        <v>917</v>
      </c>
      <c r="D83" s="272" t="s">
        <v>214</v>
      </c>
      <c r="E83" s="271" t="s">
        <v>3265</v>
      </c>
      <c r="F83" s="273" t="s">
        <v>3072</v>
      </c>
      <c r="G83" s="278" t="s">
        <v>916</v>
      </c>
      <c r="H83" s="271" t="s">
        <v>3266</v>
      </c>
      <c r="I83" s="271" t="s">
        <v>915</v>
      </c>
      <c r="J83" s="274" t="s">
        <v>914</v>
      </c>
      <c r="K83" s="271" t="s">
        <v>913</v>
      </c>
      <c r="L83" s="271" t="s">
        <v>912</v>
      </c>
      <c r="M83" s="275">
        <v>43942</v>
      </c>
      <c r="N83" s="276">
        <v>45573.617835648147</v>
      </c>
      <c r="O83" s="271" t="s">
        <v>2854</v>
      </c>
      <c r="P83" s="271"/>
      <c r="Q83" s="271"/>
      <c r="R83" s="271"/>
      <c r="S83" s="271" t="s">
        <v>2732</v>
      </c>
      <c r="T83" s="271"/>
      <c r="U83" s="271" t="s">
        <v>2733</v>
      </c>
      <c r="V83" s="254" t="s">
        <v>3267</v>
      </c>
    </row>
    <row r="84" spans="1:24" ht="13" hidden="1" customHeight="1">
      <c r="A84" s="263" t="str">
        <f t="shared" si="4"/>
        <v>Correll et al.</v>
      </c>
      <c r="B84" s="271">
        <v>2020</v>
      </c>
      <c r="C84" s="271" t="s">
        <v>3268</v>
      </c>
      <c r="D84" s="272" t="s">
        <v>214</v>
      </c>
      <c r="E84" s="271"/>
      <c r="F84" s="273" t="s">
        <v>3072</v>
      </c>
      <c r="G84" s="271" t="s">
        <v>3269</v>
      </c>
      <c r="H84" s="271" t="s">
        <v>3266</v>
      </c>
      <c r="I84" s="271" t="s">
        <v>3270</v>
      </c>
      <c r="J84" s="274" t="s">
        <v>3271</v>
      </c>
      <c r="K84" s="271" t="s">
        <v>3272</v>
      </c>
      <c r="L84" s="271" t="s">
        <v>3273</v>
      </c>
      <c r="M84" s="275">
        <v>43944</v>
      </c>
      <c r="N84" s="275">
        <v>45571</v>
      </c>
      <c r="O84" s="271" t="s">
        <v>3274</v>
      </c>
      <c r="P84" s="271"/>
      <c r="Q84" s="271"/>
      <c r="R84" s="271"/>
      <c r="S84" s="271" t="s">
        <v>3230</v>
      </c>
      <c r="T84" s="271"/>
      <c r="U84" s="271" t="s">
        <v>3231</v>
      </c>
      <c r="V84" s="254" t="s">
        <v>3275</v>
      </c>
    </row>
    <row r="85" spans="1:24" ht="13" hidden="1" customHeight="1">
      <c r="A85" s="270" t="str">
        <f t="shared" si="4"/>
        <v>Liem et al.</v>
      </c>
      <c r="B85" s="271">
        <v>2020</v>
      </c>
      <c r="C85" s="271" t="s">
        <v>954</v>
      </c>
      <c r="D85" s="272" t="s">
        <v>214</v>
      </c>
      <c r="E85" s="271" t="s">
        <v>955</v>
      </c>
      <c r="F85" s="273" t="s">
        <v>3072</v>
      </c>
      <c r="G85" s="271" t="s">
        <v>953</v>
      </c>
      <c r="H85" s="271" t="s">
        <v>2849</v>
      </c>
      <c r="I85" s="271" t="s">
        <v>952</v>
      </c>
      <c r="J85" s="274" t="s">
        <v>951</v>
      </c>
      <c r="K85" s="271" t="s">
        <v>950</v>
      </c>
      <c r="L85" s="271" t="s">
        <v>949</v>
      </c>
      <c r="M85" s="271">
        <v>2020</v>
      </c>
      <c r="N85" s="276">
        <v>45425.346458333333</v>
      </c>
      <c r="O85" s="271" t="s">
        <v>3276</v>
      </c>
      <c r="P85" s="271">
        <v>3</v>
      </c>
      <c r="Q85" s="271">
        <v>39</v>
      </c>
      <c r="R85" s="271"/>
      <c r="S85" s="271"/>
      <c r="T85" s="271" t="s">
        <v>3277</v>
      </c>
      <c r="U85" s="271" t="s">
        <v>2855</v>
      </c>
      <c r="V85" s="254" t="s">
        <v>3278</v>
      </c>
    </row>
    <row r="86" spans="1:24" ht="13" hidden="1" customHeight="1">
      <c r="A86" s="277" t="str">
        <f t="shared" si="4"/>
        <v>Pirani et al.</v>
      </c>
      <c r="B86" s="271">
        <v>2020</v>
      </c>
      <c r="C86" s="271" t="s">
        <v>3279</v>
      </c>
      <c r="D86" s="272" t="s">
        <v>214</v>
      </c>
      <c r="E86" s="271" t="s">
        <v>2881</v>
      </c>
      <c r="F86" s="273" t="s">
        <v>3072</v>
      </c>
      <c r="G86" s="271" t="s">
        <v>987</v>
      </c>
      <c r="H86" s="271" t="s">
        <v>3280</v>
      </c>
      <c r="I86" s="271" t="s">
        <v>985</v>
      </c>
      <c r="J86" s="274" t="s">
        <v>984</v>
      </c>
      <c r="K86" s="271" t="s">
        <v>983</v>
      </c>
      <c r="L86" s="271" t="s">
        <v>982</v>
      </c>
      <c r="M86" s="271">
        <v>2020</v>
      </c>
      <c r="N86" s="276">
        <v>45435.469976851848</v>
      </c>
      <c r="O86" s="271" t="s">
        <v>3281</v>
      </c>
      <c r="P86" s="271">
        <v>2</v>
      </c>
      <c r="Q86" s="271">
        <v>64</v>
      </c>
      <c r="R86" s="271"/>
      <c r="S86" s="271"/>
      <c r="T86" s="271"/>
      <c r="U86" s="271" t="s">
        <v>2855</v>
      </c>
      <c r="V86" s="254" t="s">
        <v>3282</v>
      </c>
    </row>
    <row r="87" spans="1:24" ht="13" hidden="1" customHeight="1">
      <c r="A87" s="270" t="str">
        <f t="shared" si="4"/>
        <v>Romat et al.</v>
      </c>
      <c r="B87" s="271">
        <v>2020</v>
      </c>
      <c r="C87" s="271" t="s">
        <v>1022</v>
      </c>
      <c r="D87" s="272" t="s">
        <v>214</v>
      </c>
      <c r="E87" s="271"/>
      <c r="F87" s="273" t="s">
        <v>3072</v>
      </c>
      <c r="G87" s="278" t="s">
        <v>1021</v>
      </c>
      <c r="H87" s="271" t="s">
        <v>3266</v>
      </c>
      <c r="I87" s="271" t="s">
        <v>1019</v>
      </c>
      <c r="J87" s="274" t="s">
        <v>1018</v>
      </c>
      <c r="K87" s="271" t="s">
        <v>1017</v>
      </c>
      <c r="L87" s="271" t="s">
        <v>1016</v>
      </c>
      <c r="M87" s="275">
        <v>43942</v>
      </c>
      <c r="N87" s="276">
        <v>45435.453923611109</v>
      </c>
      <c r="O87" s="271" t="s">
        <v>2925</v>
      </c>
      <c r="P87" s="271"/>
      <c r="Q87" s="271"/>
      <c r="R87" s="271"/>
      <c r="S87" s="271" t="s">
        <v>2732</v>
      </c>
      <c r="T87" s="271"/>
      <c r="U87" s="271" t="s">
        <v>2733</v>
      </c>
      <c r="V87" s="254" t="s">
        <v>3283</v>
      </c>
      <c r="X87" s="254" t="s">
        <v>3284</v>
      </c>
    </row>
    <row r="88" spans="1:24" ht="13" hidden="1" customHeight="1">
      <c r="A88" s="263" t="str">
        <f t="shared" si="4"/>
        <v>Bloodhart et al.</v>
      </c>
      <c r="B88" s="271">
        <v>2019</v>
      </c>
      <c r="C88" s="271" t="s">
        <v>801</v>
      </c>
      <c r="D88" s="272" t="s">
        <v>3285</v>
      </c>
      <c r="E88" s="271" t="s">
        <v>3286</v>
      </c>
      <c r="F88" s="273" t="s">
        <v>3072</v>
      </c>
      <c r="G88" s="271" t="s">
        <v>800</v>
      </c>
      <c r="H88" s="271" t="s">
        <v>3287</v>
      </c>
      <c r="I88" s="271" t="s">
        <v>3288</v>
      </c>
      <c r="J88" s="274" t="s">
        <v>798</v>
      </c>
      <c r="K88" s="271" t="s">
        <v>797</v>
      </c>
      <c r="L88" s="271" t="s">
        <v>796</v>
      </c>
      <c r="M88" s="275">
        <v>43482</v>
      </c>
      <c r="N88" s="276">
        <v>45566.484143518523</v>
      </c>
      <c r="O88" s="271"/>
      <c r="P88" s="271"/>
      <c r="Q88" s="271">
        <v>3</v>
      </c>
      <c r="R88" s="271" t="s">
        <v>3289</v>
      </c>
      <c r="S88" s="271"/>
      <c r="T88" s="271"/>
      <c r="U88" s="271" t="s">
        <v>3034</v>
      </c>
      <c r="V88" s="254" t="s">
        <v>3290</v>
      </c>
      <c r="W88" s="254" t="s">
        <v>3291</v>
      </c>
      <c r="X88" s="254" t="s">
        <v>3175</v>
      </c>
    </row>
    <row r="89" spans="1:24" ht="13" hidden="1" customHeight="1">
      <c r="A89" s="263" t="s">
        <v>3292</v>
      </c>
      <c r="B89" s="271">
        <v>2018</v>
      </c>
      <c r="C89" s="271" t="s">
        <v>641</v>
      </c>
      <c r="D89" s="272" t="s">
        <v>643</v>
      </c>
      <c r="E89" s="271"/>
      <c r="F89" s="273" t="s">
        <v>3072</v>
      </c>
      <c r="G89" s="271" t="s">
        <v>640</v>
      </c>
      <c r="H89" s="271" t="s">
        <v>3293</v>
      </c>
      <c r="I89" s="271" t="s">
        <v>638</v>
      </c>
      <c r="J89" s="274" t="s">
        <v>637</v>
      </c>
      <c r="K89" s="271" t="s">
        <v>636</v>
      </c>
      <c r="L89" s="271" t="s">
        <v>635</v>
      </c>
      <c r="M89" s="275">
        <v>43405</v>
      </c>
      <c r="N89" s="276">
        <v>45337.507951388892</v>
      </c>
      <c r="O89" s="271" t="s">
        <v>3294</v>
      </c>
      <c r="P89" s="271">
        <v>8</v>
      </c>
      <c r="Q89" s="271">
        <v>27</v>
      </c>
      <c r="R89" s="271" t="s">
        <v>3295</v>
      </c>
      <c r="S89" s="271"/>
      <c r="T89" s="271"/>
      <c r="U89" s="271" t="s">
        <v>2712</v>
      </c>
      <c r="V89" s="254" t="s">
        <v>3296</v>
      </c>
      <c r="W89" s="254" t="s">
        <v>3297</v>
      </c>
    </row>
    <row r="90" spans="1:24" ht="13" hidden="1" customHeight="1">
      <c r="A90" s="270" t="s">
        <v>3298</v>
      </c>
      <c r="B90" s="271">
        <v>2018</v>
      </c>
      <c r="C90" s="271" t="s">
        <v>675</v>
      </c>
      <c r="D90" s="272" t="s">
        <v>3299</v>
      </c>
      <c r="E90" s="271"/>
      <c r="F90" s="273" t="s">
        <v>3072</v>
      </c>
      <c r="G90" s="271" t="s">
        <v>674</v>
      </c>
      <c r="H90" s="271" t="s">
        <v>3300</v>
      </c>
      <c r="I90" s="271" t="s">
        <v>3301</v>
      </c>
      <c r="J90" s="274" t="s">
        <v>3302</v>
      </c>
      <c r="K90" s="271" t="s">
        <v>673</v>
      </c>
      <c r="L90" s="271" t="s">
        <v>3303</v>
      </c>
      <c r="M90" s="275">
        <v>43313</v>
      </c>
      <c r="N90" s="276">
        <v>45336.61859953704</v>
      </c>
      <c r="O90" s="271" t="s">
        <v>3304</v>
      </c>
      <c r="P90" s="271">
        <v>4</v>
      </c>
      <c r="Q90" s="271">
        <v>52</v>
      </c>
      <c r="R90" s="271"/>
      <c r="S90" s="271"/>
      <c r="T90" s="271"/>
      <c r="U90" s="271" t="s">
        <v>2712</v>
      </c>
      <c r="V90" s="254" t="s">
        <v>3305</v>
      </c>
    </row>
    <row r="91" spans="1:24" ht="13" hidden="1" customHeight="1">
      <c r="A91" s="263" t="str">
        <f t="shared" ref="A91:A99" si="5">CONCATENATE(LEFT(L91,FIND(",",L91) - 1)," et al.")</f>
        <v>Borkin et al.</v>
      </c>
      <c r="B91" s="271">
        <v>2016</v>
      </c>
      <c r="C91" s="271" t="s">
        <v>3306</v>
      </c>
      <c r="D91" s="272" t="s">
        <v>214</v>
      </c>
      <c r="E91" s="271"/>
      <c r="F91" s="273" t="s">
        <v>3072</v>
      </c>
      <c r="G91" s="271" t="s">
        <v>3307</v>
      </c>
      <c r="H91" s="271" t="s">
        <v>2791</v>
      </c>
      <c r="I91" s="271" t="s">
        <v>3308</v>
      </c>
      <c r="J91" s="274" t="s">
        <v>3309</v>
      </c>
      <c r="K91" s="271" t="s">
        <v>3310</v>
      </c>
      <c r="L91" s="271" t="s">
        <v>3311</v>
      </c>
      <c r="M91" s="275">
        <v>42400</v>
      </c>
      <c r="N91" s="276">
        <v>45342.224085648151</v>
      </c>
      <c r="O91" s="271" t="s">
        <v>3312</v>
      </c>
      <c r="P91" s="271">
        <v>1</v>
      </c>
      <c r="Q91" s="271">
        <v>22</v>
      </c>
      <c r="R91" s="271" t="s">
        <v>2794</v>
      </c>
      <c r="S91" s="271"/>
      <c r="T91" s="271"/>
      <c r="U91" s="271" t="s">
        <v>2733</v>
      </c>
      <c r="V91" s="254" t="s">
        <v>3313</v>
      </c>
      <c r="W91" s="254" t="s">
        <v>3314</v>
      </c>
    </row>
    <row r="92" spans="1:24" ht="13" hidden="1" customHeight="1">
      <c r="A92" s="277" t="str">
        <f t="shared" si="5"/>
        <v>Lee et al.</v>
      </c>
      <c r="B92" s="271">
        <v>2016</v>
      </c>
      <c r="C92" s="271" t="s">
        <v>3315</v>
      </c>
      <c r="D92" s="272" t="s">
        <v>214</v>
      </c>
      <c r="E92" s="271"/>
      <c r="F92" s="273" t="s">
        <v>3072</v>
      </c>
      <c r="G92" s="271" t="s">
        <v>3316</v>
      </c>
      <c r="H92" s="271" t="s">
        <v>2791</v>
      </c>
      <c r="I92" s="271" t="s">
        <v>3317</v>
      </c>
      <c r="J92" s="274" t="s">
        <v>3318</v>
      </c>
      <c r="K92" s="271" t="s">
        <v>3319</v>
      </c>
      <c r="L92" s="271" t="s">
        <v>3320</v>
      </c>
      <c r="M92" s="284">
        <v>42370</v>
      </c>
      <c r="N92" s="276">
        <v>45571.410798611112</v>
      </c>
      <c r="O92" s="271" t="s">
        <v>3321</v>
      </c>
      <c r="P92" s="271">
        <v>1</v>
      </c>
      <c r="Q92" s="271">
        <v>22</v>
      </c>
      <c r="R92" s="271"/>
      <c r="S92" s="271"/>
      <c r="T92" s="271"/>
      <c r="U92" s="271" t="s">
        <v>2833</v>
      </c>
    </row>
    <row r="93" spans="1:24" ht="13" hidden="1" customHeight="1">
      <c r="A93" s="263" t="str">
        <f t="shared" si="5"/>
        <v>Boy et al.</v>
      </c>
      <c r="B93" s="271">
        <v>2015</v>
      </c>
      <c r="C93" s="271" t="s">
        <v>412</v>
      </c>
      <c r="D93" s="272" t="s">
        <v>214</v>
      </c>
      <c r="E93" s="271"/>
      <c r="F93" s="273" t="s">
        <v>3072</v>
      </c>
      <c r="G93" s="278" t="s">
        <v>411</v>
      </c>
      <c r="H93" s="271" t="s">
        <v>3322</v>
      </c>
      <c r="I93" s="271" t="s">
        <v>410</v>
      </c>
      <c r="J93" s="274" t="s">
        <v>409</v>
      </c>
      <c r="K93" s="271" t="s">
        <v>408</v>
      </c>
      <c r="L93" s="271" t="s">
        <v>407</v>
      </c>
      <c r="M93" s="275">
        <v>42112</v>
      </c>
      <c r="N93" s="276">
        <v>45569.612442129634</v>
      </c>
      <c r="O93" s="271" t="s">
        <v>3323</v>
      </c>
      <c r="P93" s="271"/>
      <c r="Q93" s="271"/>
      <c r="R93" s="271"/>
      <c r="S93" s="271" t="s">
        <v>2732</v>
      </c>
      <c r="T93" s="271"/>
      <c r="U93" s="271" t="s">
        <v>2733</v>
      </c>
      <c r="V93" s="254" t="s">
        <v>3324</v>
      </c>
      <c r="W93" s="254" t="s">
        <v>3325</v>
      </c>
    </row>
    <row r="94" spans="1:24" ht="13" hidden="1" customHeight="1">
      <c r="A94" s="277" t="str">
        <f t="shared" si="5"/>
        <v>Haroz et al.</v>
      </c>
      <c r="B94" s="271">
        <v>2015</v>
      </c>
      <c r="C94" s="271" t="s">
        <v>426</v>
      </c>
      <c r="D94" s="272" t="s">
        <v>214</v>
      </c>
      <c r="E94" s="271"/>
      <c r="F94" s="273" t="s">
        <v>3072</v>
      </c>
      <c r="G94" s="278" t="s">
        <v>425</v>
      </c>
      <c r="H94" s="271" t="s">
        <v>3322</v>
      </c>
      <c r="I94" s="271" t="s">
        <v>424</v>
      </c>
      <c r="J94" s="274" t="s">
        <v>423</v>
      </c>
      <c r="K94" s="271" t="s">
        <v>422</v>
      </c>
      <c r="L94" s="271" t="s">
        <v>421</v>
      </c>
      <c r="M94" s="275">
        <v>42112</v>
      </c>
      <c r="N94" s="276">
        <v>45435.471736111111</v>
      </c>
      <c r="O94" s="271" t="s">
        <v>3326</v>
      </c>
      <c r="P94" s="271"/>
      <c r="Q94" s="271"/>
      <c r="R94" s="271"/>
      <c r="S94" s="271" t="s">
        <v>2732</v>
      </c>
      <c r="T94" s="271"/>
      <c r="U94" s="271" t="s">
        <v>2733</v>
      </c>
      <c r="V94" s="254" t="s">
        <v>3327</v>
      </c>
      <c r="W94" s="254" t="s">
        <v>3328</v>
      </c>
    </row>
    <row r="95" spans="1:24" ht="13" hidden="1" customHeight="1">
      <c r="A95" s="277" t="str">
        <f t="shared" si="5"/>
        <v>Harrison et al.</v>
      </c>
      <c r="B95" s="271">
        <v>2015</v>
      </c>
      <c r="C95" s="271" t="s">
        <v>442</v>
      </c>
      <c r="D95" s="272" t="s">
        <v>214</v>
      </c>
      <c r="E95" s="271"/>
      <c r="F95" s="273" t="s">
        <v>3072</v>
      </c>
      <c r="G95" s="283" t="s">
        <v>441</v>
      </c>
      <c r="H95" s="271" t="s">
        <v>3322</v>
      </c>
      <c r="I95" s="271" t="s">
        <v>440</v>
      </c>
      <c r="J95" s="274" t="s">
        <v>439</v>
      </c>
      <c r="K95" s="271" t="s">
        <v>438</v>
      </c>
      <c r="L95" s="271" t="s">
        <v>437</v>
      </c>
      <c r="M95" s="275">
        <v>42112</v>
      </c>
      <c r="N95" s="276">
        <v>45544.477870370371</v>
      </c>
      <c r="O95" s="271" t="s">
        <v>3329</v>
      </c>
      <c r="P95" s="271"/>
      <c r="Q95" s="271"/>
      <c r="R95" s="271"/>
      <c r="S95" s="271" t="s">
        <v>2732</v>
      </c>
      <c r="T95" s="271"/>
      <c r="U95" s="271" t="s">
        <v>2733</v>
      </c>
    </row>
    <row r="96" spans="1:24" ht="13" hidden="1" customHeight="1">
      <c r="A96" s="263" t="str">
        <f t="shared" si="5"/>
        <v>Arapakis et al.</v>
      </c>
      <c r="B96" s="271">
        <v>2014</v>
      </c>
      <c r="C96" s="271" t="s">
        <v>394</v>
      </c>
      <c r="D96" s="272" t="s">
        <v>396</v>
      </c>
      <c r="E96" s="271" t="s">
        <v>395</v>
      </c>
      <c r="F96" s="273" t="s">
        <v>3072</v>
      </c>
      <c r="G96" s="271" t="s">
        <v>393</v>
      </c>
      <c r="H96" s="271" t="s">
        <v>3330</v>
      </c>
      <c r="I96" s="271" t="s">
        <v>392</v>
      </c>
      <c r="J96" s="274" t="s">
        <v>391</v>
      </c>
      <c r="K96" s="271" t="s">
        <v>390</v>
      </c>
      <c r="L96" s="271" t="s">
        <v>389</v>
      </c>
      <c r="M96" s="271">
        <v>2014</v>
      </c>
      <c r="N96" s="276">
        <v>45342.249363425923</v>
      </c>
      <c r="O96" s="271" t="s">
        <v>3331</v>
      </c>
      <c r="P96" s="271">
        <v>10</v>
      </c>
      <c r="Q96" s="271">
        <v>65</v>
      </c>
      <c r="R96" s="271"/>
      <c r="S96" s="271"/>
      <c r="T96" s="271"/>
      <c r="U96" s="271" t="s">
        <v>2855</v>
      </c>
      <c r="V96" s="254" t="s">
        <v>3332</v>
      </c>
      <c r="W96" s="254" t="s">
        <v>3333</v>
      </c>
    </row>
    <row r="97" spans="1:24" ht="13" hidden="1" customHeight="1">
      <c r="A97" s="270" t="str">
        <f t="shared" si="5"/>
        <v>Pandey et al.</v>
      </c>
      <c r="B97" s="271">
        <v>2014</v>
      </c>
      <c r="C97" s="271" t="s">
        <v>404</v>
      </c>
      <c r="D97" s="272" t="s">
        <v>214</v>
      </c>
      <c r="E97" s="271"/>
      <c r="F97" s="273" t="s">
        <v>3072</v>
      </c>
      <c r="G97" s="271" t="s">
        <v>403</v>
      </c>
      <c r="H97" s="271" t="s">
        <v>2791</v>
      </c>
      <c r="I97" s="271" t="s">
        <v>3334</v>
      </c>
      <c r="J97" s="274" t="s">
        <v>402</v>
      </c>
      <c r="K97" s="271" t="s">
        <v>401</v>
      </c>
      <c r="L97" s="271" t="s">
        <v>400</v>
      </c>
      <c r="M97" s="275">
        <v>42004</v>
      </c>
      <c r="N97" s="276">
        <v>45342.225023148138</v>
      </c>
      <c r="O97" s="271" t="s">
        <v>3335</v>
      </c>
      <c r="P97" s="271">
        <v>12</v>
      </c>
      <c r="Q97" s="271">
        <v>20</v>
      </c>
      <c r="R97" s="271" t="s">
        <v>2794</v>
      </c>
      <c r="S97" s="271"/>
      <c r="T97" s="271"/>
      <c r="U97" s="271" t="s">
        <v>2733</v>
      </c>
      <c r="V97" s="254" t="s">
        <v>3336</v>
      </c>
      <c r="X97" s="254" t="s">
        <v>3337</v>
      </c>
    </row>
    <row r="98" spans="1:24" ht="13" hidden="1" customHeight="1">
      <c r="A98" s="263" t="str">
        <f t="shared" si="5"/>
        <v>Borkin et al.</v>
      </c>
      <c r="B98" s="271">
        <v>2013</v>
      </c>
      <c r="C98" s="271" t="s">
        <v>303</v>
      </c>
      <c r="D98" s="272" t="s">
        <v>214</v>
      </c>
      <c r="E98" s="271"/>
      <c r="F98" s="273" t="s">
        <v>3072</v>
      </c>
      <c r="G98" s="271" t="s">
        <v>305</v>
      </c>
      <c r="H98" s="271" t="s">
        <v>2791</v>
      </c>
      <c r="I98" s="271" t="s">
        <v>3338</v>
      </c>
      <c r="J98" s="274" t="s">
        <v>304</v>
      </c>
      <c r="K98" s="271" t="s">
        <v>303</v>
      </c>
      <c r="L98" s="271" t="s">
        <v>302</v>
      </c>
      <c r="M98" s="279">
        <v>41609</v>
      </c>
      <c r="N98" s="276">
        <v>45336.618530092594</v>
      </c>
      <c r="O98" s="271" t="s">
        <v>3339</v>
      </c>
      <c r="P98" s="271">
        <v>12</v>
      </c>
      <c r="Q98" s="271">
        <v>19</v>
      </c>
      <c r="R98" s="271"/>
      <c r="S98" s="271"/>
      <c r="T98" s="271"/>
      <c r="U98" s="271" t="s">
        <v>2833</v>
      </c>
      <c r="V98" s="254" t="s">
        <v>3340</v>
      </c>
      <c r="W98" s="254" t="s">
        <v>3341</v>
      </c>
    </row>
    <row r="99" spans="1:24" ht="13" hidden="1" customHeight="1">
      <c r="A99" s="263" t="str">
        <f t="shared" si="5"/>
        <v>Alexander et al.</v>
      </c>
      <c r="B99" s="271">
        <v>2024</v>
      </c>
      <c r="C99" s="271" t="s">
        <v>3342</v>
      </c>
      <c r="D99" s="272" t="s">
        <v>214</v>
      </c>
      <c r="E99" s="271"/>
      <c r="F99" s="273" t="s">
        <v>3343</v>
      </c>
      <c r="G99" s="271" t="s">
        <v>3344</v>
      </c>
      <c r="H99" s="271" t="s">
        <v>2745</v>
      </c>
      <c r="I99" s="271"/>
      <c r="J99" s="271"/>
      <c r="K99" s="271" t="s">
        <v>3345</v>
      </c>
      <c r="L99" s="271" t="s">
        <v>3346</v>
      </c>
      <c r="M99" s="271">
        <v>2024</v>
      </c>
      <c r="N99" s="271"/>
      <c r="O99" s="271"/>
      <c r="P99" s="271"/>
      <c r="Q99" s="271"/>
      <c r="R99" s="271"/>
      <c r="S99" s="271"/>
      <c r="T99" s="271"/>
      <c r="U99" s="271" t="s">
        <v>3061</v>
      </c>
      <c r="X99" s="254" t="s">
        <v>3337</v>
      </c>
    </row>
    <row r="100" spans="1:24" ht="13" hidden="1" customHeight="1">
      <c r="A100" s="270" t="s">
        <v>3347</v>
      </c>
      <c r="B100" s="271">
        <v>2024</v>
      </c>
      <c r="C100" s="271" t="s">
        <v>3348</v>
      </c>
      <c r="D100" s="272" t="s">
        <v>214</v>
      </c>
      <c r="E100" s="271"/>
      <c r="F100" s="273" t="s">
        <v>3343</v>
      </c>
      <c r="G100" s="271" t="s">
        <v>3349</v>
      </c>
      <c r="H100" s="271" t="s">
        <v>2791</v>
      </c>
      <c r="I100" s="271"/>
      <c r="J100" s="274" t="s">
        <v>3350</v>
      </c>
      <c r="K100" s="271" t="s">
        <v>3351</v>
      </c>
      <c r="L100" s="271" t="s">
        <v>3352</v>
      </c>
      <c r="M100" s="275">
        <v>45497</v>
      </c>
      <c r="N100" s="276">
        <v>45567.602118055547</v>
      </c>
      <c r="O100" s="271"/>
      <c r="P100" s="271"/>
      <c r="Q100" s="271"/>
      <c r="R100" s="271"/>
      <c r="S100" s="271" t="s">
        <v>2747</v>
      </c>
      <c r="T100" s="271"/>
      <c r="U100" s="274" t="s">
        <v>2748</v>
      </c>
      <c r="V100" s="254" t="s">
        <v>3353</v>
      </c>
    </row>
    <row r="101" spans="1:24" ht="13" customHeight="1">
      <c r="A101" s="286" t="str">
        <f>CONCATENATE(LEFT(L101,FIND(",",L101) - 1)," et al.")</f>
        <v>Gómez Ortega et al.</v>
      </c>
      <c r="B101" s="265">
        <v>2024</v>
      </c>
      <c r="C101" s="263" t="s">
        <v>3354</v>
      </c>
      <c r="D101" s="287" t="s">
        <v>214</v>
      </c>
      <c r="E101" s="247"/>
      <c r="F101" s="288" t="s">
        <v>3355</v>
      </c>
      <c r="G101" s="282" t="s">
        <v>3356</v>
      </c>
      <c r="H101" s="263" t="s">
        <v>3092</v>
      </c>
      <c r="I101" s="263" t="s">
        <v>3357</v>
      </c>
      <c r="J101" s="289" t="s">
        <v>3358</v>
      </c>
      <c r="K101" s="265" t="s">
        <v>3359</v>
      </c>
      <c r="L101" s="265" t="s">
        <v>3360</v>
      </c>
      <c r="M101" s="292">
        <v>45474</v>
      </c>
      <c r="N101" s="293">
        <v>45578.399513888893</v>
      </c>
      <c r="O101" s="247"/>
      <c r="P101" s="247"/>
      <c r="Q101" s="247"/>
      <c r="R101" s="247"/>
      <c r="S101" s="247"/>
      <c r="T101" s="247"/>
      <c r="U101" s="247"/>
      <c r="V101" s="254" t="s">
        <v>3361</v>
      </c>
      <c r="X101" s="254" t="s">
        <v>3337</v>
      </c>
    </row>
    <row r="102" spans="1:24" ht="13" customHeight="1">
      <c r="A102" s="277" t="str">
        <f>CONCATENATE(LEFT(L102,FIND(",",L102) - 1)," et al.")</f>
        <v>Gray et al.</v>
      </c>
      <c r="B102" s="271">
        <v>2023</v>
      </c>
      <c r="C102" s="271" t="s">
        <v>3362</v>
      </c>
      <c r="D102" s="272" t="s">
        <v>312</v>
      </c>
      <c r="E102" s="271"/>
      <c r="F102" s="273" t="s">
        <v>2836</v>
      </c>
      <c r="G102" s="271" t="s">
        <v>3363</v>
      </c>
      <c r="H102" s="271" t="s">
        <v>3364</v>
      </c>
      <c r="I102" s="271" t="s">
        <v>3365</v>
      </c>
      <c r="J102" s="274" t="s">
        <v>3366</v>
      </c>
      <c r="K102" s="271" t="s">
        <v>3367</v>
      </c>
      <c r="L102" s="271" t="s">
        <v>3368</v>
      </c>
      <c r="M102" s="275">
        <v>45035</v>
      </c>
      <c r="N102" s="275">
        <v>45568</v>
      </c>
      <c r="O102" s="271" t="s">
        <v>3369</v>
      </c>
      <c r="P102" s="271"/>
      <c r="Q102" s="271"/>
      <c r="R102" s="271"/>
      <c r="S102" s="271" t="s">
        <v>3230</v>
      </c>
      <c r="T102" s="271"/>
      <c r="U102" s="271" t="s">
        <v>3231</v>
      </c>
      <c r="V102" s="254" t="s">
        <v>3370</v>
      </c>
      <c r="X102" s="254" t="s">
        <v>3233</v>
      </c>
    </row>
    <row r="103" spans="1:24" ht="13" customHeight="1">
      <c r="A103" s="277" t="str">
        <f>CONCATENATE(LEFT(L103,FIND(",",L103) - 1)," et al.")</f>
        <v>Heley et al.</v>
      </c>
      <c r="B103" s="271">
        <v>2022</v>
      </c>
      <c r="C103" s="271" t="s">
        <v>3371</v>
      </c>
      <c r="D103" s="272" t="s">
        <v>643</v>
      </c>
      <c r="E103" s="271" t="s">
        <v>844</v>
      </c>
      <c r="F103" s="273" t="s">
        <v>2836</v>
      </c>
      <c r="G103" s="271" t="s">
        <v>3372</v>
      </c>
      <c r="H103" s="271" t="s">
        <v>643</v>
      </c>
      <c r="I103" s="271" t="s">
        <v>3373</v>
      </c>
      <c r="J103" s="274" t="s">
        <v>3374</v>
      </c>
      <c r="K103" s="271" t="s">
        <v>3375</v>
      </c>
      <c r="L103" s="271" t="s">
        <v>3376</v>
      </c>
      <c r="M103" s="284">
        <v>44774</v>
      </c>
      <c r="N103" s="276">
        <v>45363.432569444441</v>
      </c>
      <c r="O103" s="271" t="s">
        <v>3377</v>
      </c>
      <c r="P103" s="271">
        <v>4</v>
      </c>
      <c r="Q103" s="271">
        <v>44</v>
      </c>
      <c r="R103" s="271" t="s">
        <v>643</v>
      </c>
      <c r="S103" s="271"/>
      <c r="T103" s="271"/>
      <c r="U103" s="271" t="s">
        <v>2733</v>
      </c>
      <c r="V103" s="254" t="s">
        <v>3378</v>
      </c>
    </row>
    <row r="104" spans="1:24" ht="13" customHeight="1">
      <c r="A104" s="277" t="s">
        <v>3379</v>
      </c>
      <c r="B104" s="271">
        <v>2017</v>
      </c>
      <c r="C104" s="271" t="s">
        <v>3380</v>
      </c>
      <c r="D104" s="272" t="s">
        <v>214</v>
      </c>
      <c r="E104" s="271" t="s">
        <v>844</v>
      </c>
      <c r="F104" s="273" t="s">
        <v>2860</v>
      </c>
      <c r="G104" s="271" t="s">
        <v>3381</v>
      </c>
      <c r="H104" s="271" t="s">
        <v>3382</v>
      </c>
      <c r="I104" s="271" t="s">
        <v>3383</v>
      </c>
      <c r="J104" s="274" t="s">
        <v>3384</v>
      </c>
      <c r="K104" s="271" t="s">
        <v>3385</v>
      </c>
      <c r="L104" s="271" t="s">
        <v>3386</v>
      </c>
      <c r="M104" s="275">
        <v>42821</v>
      </c>
      <c r="N104" s="276">
        <v>45566.458981481483</v>
      </c>
      <c r="O104" s="271" t="s">
        <v>3387</v>
      </c>
      <c r="P104" s="271">
        <v>4</v>
      </c>
      <c r="Q104" s="271">
        <v>4</v>
      </c>
      <c r="R104" s="271" t="s">
        <v>3388</v>
      </c>
      <c r="S104" s="271"/>
      <c r="T104" s="271"/>
      <c r="U104" s="271" t="s">
        <v>2733</v>
      </c>
      <c r="V104" s="254" t="s">
        <v>3389</v>
      </c>
      <c r="W104" s="254" t="s">
        <v>3390</v>
      </c>
    </row>
    <row r="105" spans="1:24" ht="13" customHeight="1">
      <c r="A105" s="270" t="s">
        <v>3379</v>
      </c>
      <c r="B105" s="271">
        <v>2020</v>
      </c>
      <c r="C105" s="271" t="s">
        <v>3391</v>
      </c>
      <c r="D105" s="272" t="s">
        <v>3392</v>
      </c>
      <c r="E105" s="271"/>
      <c r="F105" s="273" t="s">
        <v>2860</v>
      </c>
      <c r="G105" s="271" t="s">
        <v>3393</v>
      </c>
      <c r="H105" s="271" t="s">
        <v>3394</v>
      </c>
      <c r="I105" s="271" t="s">
        <v>3395</v>
      </c>
      <c r="J105" s="271"/>
      <c r="K105" s="271" t="s">
        <v>3396</v>
      </c>
      <c r="L105" s="271" t="s">
        <v>3397</v>
      </c>
      <c r="M105" s="271">
        <v>2020</v>
      </c>
      <c r="N105" s="271"/>
      <c r="O105" s="271" t="s">
        <v>3398</v>
      </c>
      <c r="P105" s="271"/>
      <c r="Q105" s="271"/>
      <c r="R105" s="271"/>
      <c r="S105" s="271" t="s">
        <v>3000</v>
      </c>
      <c r="T105" s="271"/>
      <c r="U105" s="271" t="s">
        <v>3199</v>
      </c>
      <c r="V105" s="254" t="s">
        <v>3399</v>
      </c>
    </row>
    <row r="106" spans="1:24" ht="13" hidden="1" customHeight="1">
      <c r="A106" s="277" t="str">
        <f>CONCATENATE(LEFT(L106,FIND(",",L106) - 1)," et al.")</f>
        <v>Garreton et al.</v>
      </c>
      <c r="B106" s="271">
        <v>2023</v>
      </c>
      <c r="C106" s="271" t="s">
        <v>3400</v>
      </c>
      <c r="D106" s="272" t="s">
        <v>214</v>
      </c>
      <c r="E106" s="271" t="s">
        <v>267</v>
      </c>
      <c r="F106" s="273" t="s">
        <v>3401</v>
      </c>
      <c r="G106" s="271" t="s">
        <v>3402</v>
      </c>
      <c r="H106" s="271" t="s">
        <v>2849</v>
      </c>
      <c r="I106" s="271" t="s">
        <v>3403</v>
      </c>
      <c r="J106" s="274" t="s">
        <v>3404</v>
      </c>
      <c r="K106" s="271" t="s">
        <v>3405</v>
      </c>
      <c r="L106" s="271" t="s">
        <v>3406</v>
      </c>
      <c r="M106" s="284">
        <v>45078</v>
      </c>
      <c r="N106" s="276">
        <v>45370.426979166667</v>
      </c>
      <c r="O106" s="271" t="s">
        <v>3407</v>
      </c>
      <c r="P106" s="271">
        <v>3</v>
      </c>
      <c r="Q106" s="271">
        <v>42</v>
      </c>
      <c r="R106" s="271" t="s">
        <v>2849</v>
      </c>
      <c r="S106" s="271"/>
      <c r="T106" s="271"/>
      <c r="U106" s="271" t="s">
        <v>2733</v>
      </c>
      <c r="V106" s="254" t="s">
        <v>3408</v>
      </c>
      <c r="W106" s="254" t="s">
        <v>3409</v>
      </c>
    </row>
    <row r="107" spans="1:24" ht="13" customHeight="1">
      <c r="A107" s="286" t="s">
        <v>3410</v>
      </c>
      <c r="B107" s="265">
        <v>2018</v>
      </c>
      <c r="C107" s="263" t="s">
        <v>3411</v>
      </c>
      <c r="D107" s="287" t="s">
        <v>214</v>
      </c>
      <c r="E107" s="247"/>
      <c r="F107" s="288" t="s">
        <v>2836</v>
      </c>
      <c r="G107" s="265" t="s">
        <v>3412</v>
      </c>
      <c r="H107" s="263" t="s">
        <v>2745</v>
      </c>
      <c r="I107" s="263"/>
      <c r="J107" s="263"/>
      <c r="K107" s="265" t="s">
        <v>3413</v>
      </c>
      <c r="L107" s="265" t="s">
        <v>3414</v>
      </c>
      <c r="M107" s="264">
        <v>2018</v>
      </c>
      <c r="N107" s="265"/>
      <c r="O107" s="247"/>
      <c r="P107" s="247"/>
      <c r="Q107" s="247"/>
      <c r="R107" s="247"/>
      <c r="S107" s="247"/>
      <c r="T107" s="247"/>
      <c r="U107" s="247"/>
      <c r="V107" s="254" t="s">
        <v>3415</v>
      </c>
      <c r="W107" s="254" t="s">
        <v>3416</v>
      </c>
    </row>
    <row r="108" spans="1:24" ht="13" hidden="1" customHeight="1">
      <c r="A108" s="286" t="s">
        <v>3410</v>
      </c>
      <c r="B108" s="265">
        <v>2017</v>
      </c>
      <c r="C108" s="263" t="s">
        <v>3417</v>
      </c>
      <c r="D108" s="287" t="s">
        <v>214</v>
      </c>
      <c r="E108" s="247"/>
      <c r="F108" s="288" t="s">
        <v>3418</v>
      </c>
      <c r="G108" s="265" t="s">
        <v>3419</v>
      </c>
      <c r="H108" s="263" t="s">
        <v>3420</v>
      </c>
      <c r="I108" s="263" t="s">
        <v>3421</v>
      </c>
      <c r="J108" s="289" t="s">
        <v>3422</v>
      </c>
      <c r="K108" s="265" t="s">
        <v>3423</v>
      </c>
      <c r="L108" s="265" t="s">
        <v>3414</v>
      </c>
      <c r="M108" s="290">
        <v>42861</v>
      </c>
      <c r="N108" s="293">
        <v>45578.422349537039</v>
      </c>
      <c r="O108" s="247"/>
      <c r="P108" s="247"/>
      <c r="Q108" s="247"/>
      <c r="R108" s="247"/>
      <c r="S108" s="247"/>
      <c r="T108" s="247"/>
      <c r="U108" s="247"/>
      <c r="V108" s="254" t="s">
        <v>3424</v>
      </c>
    </row>
    <row r="109" spans="1:24" ht="13" hidden="1" customHeight="1">
      <c r="A109" s="263" t="str">
        <f>CONCATENATE(LEFT(L109,FIND(",",L109) - 1)," et al.")</f>
        <v>Cernea et al.</v>
      </c>
      <c r="B109" s="271">
        <v>2015</v>
      </c>
      <c r="C109" s="271" t="s">
        <v>3425</v>
      </c>
      <c r="D109" s="272" t="s">
        <v>214</v>
      </c>
      <c r="E109" s="271"/>
      <c r="F109" s="273" t="s">
        <v>3418</v>
      </c>
      <c r="G109" s="271" t="s">
        <v>3426</v>
      </c>
      <c r="H109" s="271" t="s">
        <v>3284</v>
      </c>
      <c r="I109" s="271" t="s">
        <v>3427</v>
      </c>
      <c r="J109" s="274" t="s">
        <v>3428</v>
      </c>
      <c r="K109" s="271" t="s">
        <v>3429</v>
      </c>
      <c r="L109" s="271" t="s">
        <v>3430</v>
      </c>
      <c r="M109" s="275">
        <v>42043</v>
      </c>
      <c r="N109" s="276">
        <v>45568.508877314824</v>
      </c>
      <c r="O109" s="271" t="s">
        <v>3431</v>
      </c>
      <c r="P109" s="271"/>
      <c r="Q109" s="271">
        <v>9397</v>
      </c>
      <c r="R109" s="271"/>
      <c r="S109" s="271" t="s">
        <v>3432</v>
      </c>
      <c r="T109" s="271"/>
      <c r="U109" s="274" t="s">
        <v>3433</v>
      </c>
      <c r="V109" s="254" t="s">
        <v>3434</v>
      </c>
      <c r="W109" s="254" t="s">
        <v>2845</v>
      </c>
    </row>
    <row r="110" spans="1:24" ht="13" hidden="1" customHeight="1">
      <c r="A110" s="263" t="s">
        <v>3435</v>
      </c>
      <c r="B110" s="271">
        <v>2018</v>
      </c>
      <c r="C110" s="271" t="s">
        <v>3436</v>
      </c>
      <c r="D110" s="272" t="s">
        <v>214</v>
      </c>
      <c r="E110" s="271"/>
      <c r="F110" s="273" t="s">
        <v>3418</v>
      </c>
      <c r="G110" s="271" t="s">
        <v>3437</v>
      </c>
      <c r="H110" s="271" t="s">
        <v>3438</v>
      </c>
      <c r="I110" s="271" t="s">
        <v>3439</v>
      </c>
      <c r="J110" s="274" t="s">
        <v>3440</v>
      </c>
      <c r="K110" s="271" t="s">
        <v>3441</v>
      </c>
      <c r="L110" s="271" t="s">
        <v>3442</v>
      </c>
      <c r="M110" s="275">
        <v>43249</v>
      </c>
      <c r="N110" s="275">
        <v>45573</v>
      </c>
      <c r="O110" s="271" t="s">
        <v>3443</v>
      </c>
      <c r="P110" s="271"/>
      <c r="Q110" s="271"/>
      <c r="R110" s="271"/>
      <c r="S110" s="271" t="s">
        <v>3230</v>
      </c>
      <c r="T110" s="271"/>
      <c r="U110" s="271" t="s">
        <v>3231</v>
      </c>
    </row>
    <row r="111" spans="1:24" ht="13" hidden="1" customHeight="1">
      <c r="A111" s="277" t="s">
        <v>3444</v>
      </c>
      <c r="B111" s="271">
        <v>2006</v>
      </c>
      <c r="C111" s="271" t="s">
        <v>3445</v>
      </c>
      <c r="D111" s="272" t="s">
        <v>3446</v>
      </c>
      <c r="E111" s="271"/>
      <c r="F111" s="273" t="s">
        <v>3418</v>
      </c>
      <c r="G111" s="271" t="s">
        <v>3447</v>
      </c>
      <c r="H111" s="271" t="s">
        <v>3448</v>
      </c>
      <c r="I111" s="271" t="s">
        <v>3449</v>
      </c>
      <c r="J111" s="274" t="s">
        <v>3450</v>
      </c>
      <c r="K111" s="271" t="s">
        <v>3451</v>
      </c>
      <c r="L111" s="271" t="s">
        <v>3452</v>
      </c>
      <c r="M111" s="275">
        <v>39025</v>
      </c>
      <c r="N111" s="275">
        <v>45575</v>
      </c>
      <c r="O111" s="271" t="s">
        <v>3453</v>
      </c>
      <c r="P111" s="271"/>
      <c r="Q111" s="271"/>
      <c r="R111" s="271"/>
      <c r="S111" s="271" t="s">
        <v>3230</v>
      </c>
      <c r="T111" s="271"/>
      <c r="U111" s="271" t="s">
        <v>3231</v>
      </c>
      <c r="V111" s="254" t="s">
        <v>3454</v>
      </c>
      <c r="W111" s="254" t="s">
        <v>3455</v>
      </c>
      <c r="X111" s="254" t="s">
        <v>3224</v>
      </c>
    </row>
    <row r="112" spans="1:24" ht="13" hidden="1" customHeight="1">
      <c r="A112" s="263" t="str">
        <f>CONCATENATE(LEFT(L112,FIND(",",L112) - 1)," et al.")</f>
        <v>Cowles et al.</v>
      </c>
      <c r="B112" s="271">
        <v>2024</v>
      </c>
      <c r="C112" s="271" t="s">
        <v>3456</v>
      </c>
      <c r="D112" s="272" t="s">
        <v>3457</v>
      </c>
      <c r="E112" s="271" t="s">
        <v>3265</v>
      </c>
      <c r="F112" s="273" t="s">
        <v>1905</v>
      </c>
      <c r="G112" s="271" t="s">
        <v>3458</v>
      </c>
      <c r="H112" s="271" t="s">
        <v>3459</v>
      </c>
      <c r="I112" s="271" t="s">
        <v>3460</v>
      </c>
      <c r="J112" s="274" t="s">
        <v>3461</v>
      </c>
      <c r="K112" s="271" t="s">
        <v>3462</v>
      </c>
      <c r="L112" s="271" t="s">
        <v>3463</v>
      </c>
      <c r="M112" s="275">
        <v>45293</v>
      </c>
      <c r="N112" s="276">
        <v>45370.422048611108</v>
      </c>
      <c r="O112" s="271" t="s">
        <v>3464</v>
      </c>
      <c r="P112" s="271">
        <v>1</v>
      </c>
      <c r="Q112" s="271">
        <v>43</v>
      </c>
      <c r="R112" s="271" t="s">
        <v>3459</v>
      </c>
      <c r="S112" s="271"/>
      <c r="T112" s="271"/>
      <c r="U112" s="271" t="s">
        <v>2733</v>
      </c>
      <c r="V112" s="254" t="s">
        <v>3465</v>
      </c>
    </row>
    <row r="113" spans="1:24" ht="13" customHeight="1">
      <c r="A113" s="270" t="str">
        <f>CONCATENATE(LEFT(L113,FIND(",",L113) - 1)," et al.")</f>
        <v>Kennedy et al.</v>
      </c>
      <c r="B113" s="271">
        <v>2016</v>
      </c>
      <c r="C113" s="271" t="s">
        <v>3466</v>
      </c>
      <c r="D113" s="272" t="s">
        <v>214</v>
      </c>
      <c r="E113" s="271"/>
      <c r="F113" s="273" t="s">
        <v>2860</v>
      </c>
      <c r="G113" s="271" t="s">
        <v>3467</v>
      </c>
      <c r="H113" s="271" t="s">
        <v>3468</v>
      </c>
      <c r="I113" s="271">
        <v>2013</v>
      </c>
      <c r="J113" s="274" t="s">
        <v>3469</v>
      </c>
      <c r="K113" s="271" t="s">
        <v>3470</v>
      </c>
      <c r="L113" s="271" t="s">
        <v>3471</v>
      </c>
      <c r="M113" s="275">
        <v>42677</v>
      </c>
      <c r="N113" s="276">
        <v>45572.427361111113</v>
      </c>
      <c r="O113" s="271"/>
      <c r="P113" s="271"/>
      <c r="Q113" s="271"/>
      <c r="R113" s="271" t="s">
        <v>3472</v>
      </c>
      <c r="S113" s="271"/>
      <c r="T113" s="271"/>
      <c r="U113" s="271" t="s">
        <v>2733</v>
      </c>
      <c r="V113" s="254" t="s">
        <v>3473</v>
      </c>
    </row>
    <row r="114" spans="1:24" ht="13" customHeight="1">
      <c r="A114" s="277" t="str">
        <f>CONCATENATE(LEFT(L114,FIND(",",L114) - 1)," et al.")</f>
        <v>Kennedy et al.</v>
      </c>
      <c r="B114" s="271">
        <v>2016</v>
      </c>
      <c r="C114" s="271" t="s">
        <v>3474</v>
      </c>
      <c r="D114" s="272" t="s">
        <v>214</v>
      </c>
      <c r="E114" s="271"/>
      <c r="F114" s="273" t="s">
        <v>2860</v>
      </c>
      <c r="G114" s="271" t="s">
        <v>3475</v>
      </c>
      <c r="H114" s="271" t="s">
        <v>3476</v>
      </c>
      <c r="I114" s="271" t="s">
        <v>3477</v>
      </c>
      <c r="J114" s="274" t="s">
        <v>3478</v>
      </c>
      <c r="K114" s="271" t="s">
        <v>3479</v>
      </c>
      <c r="L114" s="271" t="s">
        <v>3480</v>
      </c>
      <c r="M114" s="275">
        <v>42523</v>
      </c>
      <c r="N114" s="276">
        <v>45455.387430555558</v>
      </c>
      <c r="O114" s="271" t="s">
        <v>3481</v>
      </c>
      <c r="P114" s="271">
        <v>6</v>
      </c>
      <c r="Q114" s="271">
        <v>19</v>
      </c>
      <c r="R114" s="271" t="s">
        <v>3476</v>
      </c>
      <c r="S114" s="271"/>
      <c r="T114" s="271"/>
      <c r="U114" s="271" t="s">
        <v>2733</v>
      </c>
      <c r="V114" s="254" t="s">
        <v>3482</v>
      </c>
    </row>
    <row r="115" spans="1:24" ht="13" customHeight="1">
      <c r="A115" s="277" t="s">
        <v>3483</v>
      </c>
      <c r="B115" s="271">
        <v>2020</v>
      </c>
      <c r="C115" s="271" t="s">
        <v>3484</v>
      </c>
      <c r="D115" s="272" t="s">
        <v>168</v>
      </c>
      <c r="E115" s="271" t="s">
        <v>844</v>
      </c>
      <c r="F115" s="273" t="s">
        <v>2836</v>
      </c>
      <c r="G115" s="271" t="s">
        <v>3485</v>
      </c>
      <c r="H115" s="271" t="s">
        <v>168</v>
      </c>
      <c r="I115" s="271" t="s">
        <v>3486</v>
      </c>
      <c r="J115" s="274" t="s">
        <v>3487</v>
      </c>
      <c r="K115" s="271" t="s">
        <v>3488</v>
      </c>
      <c r="L115" s="271" t="s">
        <v>3489</v>
      </c>
      <c r="M115" s="275">
        <v>44170</v>
      </c>
      <c r="N115" s="276">
        <v>45578.311550925922</v>
      </c>
      <c r="O115" s="271" t="s">
        <v>3490</v>
      </c>
      <c r="P115" s="271">
        <v>14</v>
      </c>
      <c r="Q115" s="271">
        <v>35</v>
      </c>
      <c r="R115" s="271" t="s">
        <v>168</v>
      </c>
      <c r="S115" s="271"/>
      <c r="T115" s="271"/>
      <c r="U115" s="271" t="s">
        <v>2733</v>
      </c>
    </row>
    <row r="116" spans="1:24" ht="13" customHeight="1">
      <c r="A116" s="270" t="s">
        <v>3491</v>
      </c>
      <c r="B116" s="271">
        <v>2016</v>
      </c>
      <c r="C116" s="271" t="s">
        <v>3492</v>
      </c>
      <c r="D116" s="272" t="s">
        <v>214</v>
      </c>
      <c r="E116" s="271"/>
      <c r="F116" s="273" t="s">
        <v>2860</v>
      </c>
      <c r="G116" s="271" t="s">
        <v>3493</v>
      </c>
      <c r="H116" s="271" t="s">
        <v>3494</v>
      </c>
      <c r="I116" s="271"/>
      <c r="J116" s="274" t="s">
        <v>3495</v>
      </c>
      <c r="K116" s="271" t="s">
        <v>3496</v>
      </c>
      <c r="L116" s="271" t="s">
        <v>3497</v>
      </c>
      <c r="M116" s="271">
        <v>2016</v>
      </c>
      <c r="N116" s="276">
        <v>45578.322268518517</v>
      </c>
      <c r="O116" s="271" t="s">
        <v>3498</v>
      </c>
      <c r="P116" s="271">
        <v>2</v>
      </c>
      <c r="Q116" s="271">
        <v>63</v>
      </c>
      <c r="R116" s="271"/>
      <c r="S116" s="271"/>
      <c r="T116" s="271"/>
      <c r="U116" s="271" t="s">
        <v>3499</v>
      </c>
    </row>
    <row r="117" spans="1:24" ht="13" customHeight="1">
      <c r="A117" s="277" t="str">
        <f>CONCATENATE(LEFT(L117,FIND(",",L117) - 1)," et al.")</f>
        <v>Lam-González et al.</v>
      </c>
      <c r="B117" s="271">
        <v>2023</v>
      </c>
      <c r="C117" s="271" t="s">
        <v>3500</v>
      </c>
      <c r="D117" s="272" t="s">
        <v>3501</v>
      </c>
      <c r="E117" s="271" t="s">
        <v>267</v>
      </c>
      <c r="F117" s="273" t="s">
        <v>2836</v>
      </c>
      <c r="G117" s="271" t="s">
        <v>3502</v>
      </c>
      <c r="H117" s="271" t="s">
        <v>3503</v>
      </c>
      <c r="I117" s="271" t="s">
        <v>3504</v>
      </c>
      <c r="J117" s="271"/>
      <c r="K117" s="271" t="s">
        <v>3505</v>
      </c>
      <c r="L117" s="271" t="s">
        <v>3506</v>
      </c>
      <c r="M117" s="271">
        <v>2023</v>
      </c>
      <c r="N117" s="271"/>
      <c r="O117" s="271" t="s">
        <v>3507</v>
      </c>
      <c r="P117" s="271"/>
      <c r="Q117" s="271"/>
      <c r="R117" s="271"/>
      <c r="S117" s="271" t="s">
        <v>3508</v>
      </c>
      <c r="T117" s="271"/>
      <c r="U117" s="271" t="s">
        <v>3199</v>
      </c>
      <c r="V117" s="254" t="s">
        <v>3509</v>
      </c>
      <c r="W117" s="254" t="s">
        <v>3510</v>
      </c>
      <c r="X117" s="254" t="s">
        <v>2827</v>
      </c>
    </row>
    <row r="118" spans="1:24" ht="13" customHeight="1">
      <c r="A118" s="270" t="str">
        <f>CONCATENATE(LEFT(L118,FIND(",",L118) - 1)," et al.")</f>
        <v>Lan et al.</v>
      </c>
      <c r="B118" s="271">
        <v>2023</v>
      </c>
      <c r="C118" s="271" t="s">
        <v>3511</v>
      </c>
      <c r="D118" s="272" t="s">
        <v>214</v>
      </c>
      <c r="E118" s="271"/>
      <c r="F118" s="273" t="s">
        <v>2836</v>
      </c>
      <c r="G118" s="271" t="s">
        <v>3512</v>
      </c>
      <c r="H118" s="271" t="s">
        <v>2791</v>
      </c>
      <c r="I118" s="271" t="s">
        <v>3513</v>
      </c>
      <c r="J118" s="274" t="s">
        <v>3514</v>
      </c>
      <c r="K118" s="271" t="s">
        <v>3515</v>
      </c>
      <c r="L118" s="271" t="s">
        <v>3516</v>
      </c>
      <c r="M118" s="275">
        <v>45229</v>
      </c>
      <c r="N118" s="276">
        <v>45568.301319444443</v>
      </c>
      <c r="O118" s="271" t="s">
        <v>3517</v>
      </c>
      <c r="P118" s="271">
        <v>1</v>
      </c>
      <c r="Q118" s="271">
        <v>30</v>
      </c>
      <c r="R118" s="271"/>
      <c r="S118" s="271"/>
      <c r="T118" s="271"/>
      <c r="U118" s="271" t="s">
        <v>3231</v>
      </c>
      <c r="V118" s="254" t="s">
        <v>3518</v>
      </c>
      <c r="X118" s="254" t="s">
        <v>3337</v>
      </c>
    </row>
    <row r="119" spans="1:24" ht="13" customHeight="1">
      <c r="A119" s="277" t="s">
        <v>3519</v>
      </c>
      <c r="B119" s="271">
        <v>2022</v>
      </c>
      <c r="C119" s="271" t="s">
        <v>3520</v>
      </c>
      <c r="D119" s="272" t="s">
        <v>214</v>
      </c>
      <c r="E119" s="271"/>
      <c r="F119" s="273" t="s">
        <v>2847</v>
      </c>
      <c r="G119" s="271" t="s">
        <v>3521</v>
      </c>
      <c r="H119" s="271" t="s">
        <v>2791</v>
      </c>
      <c r="I119" s="271" t="s">
        <v>3522</v>
      </c>
      <c r="J119" s="274" t="s">
        <v>3523</v>
      </c>
      <c r="K119" s="271" t="s">
        <v>3524</v>
      </c>
      <c r="L119" s="271" t="s">
        <v>3525</v>
      </c>
      <c r="M119" s="271">
        <v>2022</v>
      </c>
      <c r="N119" s="276">
        <v>45336.620763888888</v>
      </c>
      <c r="O119" s="280">
        <v>45597</v>
      </c>
      <c r="P119" s="271"/>
      <c r="Q119" s="271"/>
      <c r="R119" s="271" t="s">
        <v>2794</v>
      </c>
      <c r="S119" s="271"/>
      <c r="T119" s="271"/>
      <c r="U119" s="271" t="s">
        <v>2733</v>
      </c>
      <c r="V119" s="254" t="s">
        <v>3526</v>
      </c>
      <c r="W119" s="254" t="s">
        <v>3527</v>
      </c>
    </row>
    <row r="120" spans="1:24" ht="13" customHeight="1">
      <c r="A120" s="277" t="s">
        <v>3528</v>
      </c>
      <c r="B120" s="271">
        <v>2016</v>
      </c>
      <c r="C120" s="271" t="s">
        <v>3529</v>
      </c>
      <c r="D120" s="272" t="s">
        <v>3530</v>
      </c>
      <c r="E120" s="271"/>
      <c r="F120" s="273" t="s">
        <v>2860</v>
      </c>
      <c r="G120" s="271" t="s">
        <v>3531</v>
      </c>
      <c r="H120" s="271" t="s">
        <v>3532</v>
      </c>
      <c r="I120" s="271" t="s">
        <v>3533</v>
      </c>
      <c r="J120" s="274" t="s">
        <v>3534</v>
      </c>
      <c r="K120" s="271" t="s">
        <v>3535</v>
      </c>
      <c r="L120" s="271" t="s">
        <v>3536</v>
      </c>
      <c r="M120" s="284">
        <v>42522</v>
      </c>
      <c r="N120" s="276">
        <v>45336.618668981479</v>
      </c>
      <c r="O120" s="271" t="s">
        <v>3537</v>
      </c>
      <c r="P120" s="271">
        <v>2</v>
      </c>
      <c r="Q120" s="271">
        <v>5</v>
      </c>
      <c r="R120" s="271" t="s">
        <v>3538</v>
      </c>
      <c r="S120" s="271"/>
      <c r="T120" s="271"/>
      <c r="U120" s="271" t="s">
        <v>3539</v>
      </c>
      <c r="V120" s="254" t="s">
        <v>3540</v>
      </c>
      <c r="W120" s="254" t="s">
        <v>3541</v>
      </c>
    </row>
    <row r="121" spans="1:24" ht="13" customHeight="1">
      <c r="A121" s="277" t="str">
        <f t="shared" ref="A121:A126" si="6">CONCATENATE(LEFT(L121,FIND(",",L121) - 1)," et al.")</f>
        <v>Mahajan et al.</v>
      </c>
      <c r="B121" s="271">
        <v>2022</v>
      </c>
      <c r="C121" s="271" t="s">
        <v>3542</v>
      </c>
      <c r="D121" s="272" t="s">
        <v>214</v>
      </c>
      <c r="E121" s="271"/>
      <c r="F121" s="273" t="s">
        <v>2836</v>
      </c>
      <c r="G121" s="271" t="s">
        <v>3543</v>
      </c>
      <c r="H121" s="271" t="s">
        <v>2849</v>
      </c>
      <c r="I121" s="271" t="s">
        <v>3544</v>
      </c>
      <c r="J121" s="274" t="s">
        <v>3545</v>
      </c>
      <c r="K121" s="271" t="s">
        <v>3546</v>
      </c>
      <c r="L121" s="271" t="s">
        <v>3547</v>
      </c>
      <c r="M121" s="271">
        <v>2022</v>
      </c>
      <c r="N121" s="276">
        <v>45435.47284722222</v>
      </c>
      <c r="O121" s="271" t="s">
        <v>3548</v>
      </c>
      <c r="P121" s="271">
        <v>3</v>
      </c>
      <c r="Q121" s="271">
        <v>41</v>
      </c>
      <c r="R121" s="271"/>
      <c r="S121" s="271"/>
      <c r="T121" s="271"/>
      <c r="U121" s="271" t="s">
        <v>2855</v>
      </c>
      <c r="V121" s="254" t="s">
        <v>3549</v>
      </c>
    </row>
    <row r="122" spans="1:24" ht="13" customHeight="1">
      <c r="A122" s="270" t="str">
        <f t="shared" si="6"/>
        <v>Mahyar et al.</v>
      </c>
      <c r="B122" s="271">
        <v>2015</v>
      </c>
      <c r="C122" s="271" t="s">
        <v>3550</v>
      </c>
      <c r="D122" s="272" t="s">
        <v>214</v>
      </c>
      <c r="E122" s="271"/>
      <c r="F122" s="273" t="s">
        <v>2847</v>
      </c>
      <c r="G122" s="271" t="s">
        <v>3551</v>
      </c>
      <c r="H122" s="271" t="s">
        <v>2745</v>
      </c>
      <c r="I122" s="271"/>
      <c r="J122" s="271"/>
      <c r="K122" s="271" t="s">
        <v>3552</v>
      </c>
      <c r="L122" s="271" t="s">
        <v>3553</v>
      </c>
      <c r="M122" s="271">
        <v>2015</v>
      </c>
      <c r="N122" s="271"/>
      <c r="O122" s="271"/>
      <c r="P122" s="271"/>
      <c r="Q122" s="271"/>
      <c r="R122" s="271"/>
      <c r="S122" s="271"/>
      <c r="T122" s="271"/>
      <c r="U122" s="271" t="s">
        <v>3061</v>
      </c>
      <c r="V122" s="254" t="s">
        <v>3554</v>
      </c>
      <c r="X122" s="254" t="s">
        <v>3555</v>
      </c>
    </row>
    <row r="123" spans="1:24" ht="13" customHeight="1">
      <c r="A123" s="277" t="str">
        <f t="shared" si="6"/>
        <v>Morais et al.</v>
      </c>
      <c r="B123" s="271">
        <v>2022</v>
      </c>
      <c r="C123" s="271" t="s">
        <v>3556</v>
      </c>
      <c r="D123" s="272" t="s">
        <v>214</v>
      </c>
      <c r="E123" s="271"/>
      <c r="F123" s="273" t="s">
        <v>3557</v>
      </c>
      <c r="G123" s="271" t="s">
        <v>3558</v>
      </c>
      <c r="H123" s="271" t="s">
        <v>2849</v>
      </c>
      <c r="I123" s="271" t="s">
        <v>3559</v>
      </c>
      <c r="J123" s="274" t="s">
        <v>3560</v>
      </c>
      <c r="K123" s="271" t="s">
        <v>1303</v>
      </c>
      <c r="L123" s="271" t="s">
        <v>3561</v>
      </c>
      <c r="M123" s="271">
        <v>2022</v>
      </c>
      <c r="N123" s="276">
        <v>45571.391400462962</v>
      </c>
      <c r="O123" s="271" t="s">
        <v>3562</v>
      </c>
      <c r="P123" s="271">
        <v>3</v>
      </c>
      <c r="Q123" s="271">
        <v>41</v>
      </c>
      <c r="R123" s="271"/>
      <c r="S123" s="271"/>
      <c r="T123" s="271"/>
      <c r="U123" s="271" t="s">
        <v>2855</v>
      </c>
      <c r="V123" s="254" t="s">
        <v>3563</v>
      </c>
    </row>
    <row r="124" spans="1:24" ht="13" customHeight="1">
      <c r="A124" s="277" t="str">
        <f t="shared" si="6"/>
        <v>Nash et al.</v>
      </c>
      <c r="B124" s="271">
        <v>2022</v>
      </c>
      <c r="C124" s="271" t="s">
        <v>3564</v>
      </c>
      <c r="D124" s="272" t="s">
        <v>3565</v>
      </c>
      <c r="E124" s="271" t="s">
        <v>1111</v>
      </c>
      <c r="F124" s="273" t="s">
        <v>2860</v>
      </c>
      <c r="G124" s="271" t="s">
        <v>3566</v>
      </c>
      <c r="H124" s="271" t="s">
        <v>3567</v>
      </c>
      <c r="I124" s="271" t="s">
        <v>3568</v>
      </c>
      <c r="J124" s="274" t="s">
        <v>3569</v>
      </c>
      <c r="K124" s="271" t="s">
        <v>3570</v>
      </c>
      <c r="L124" s="271" t="s">
        <v>3571</v>
      </c>
      <c r="M124" s="284">
        <v>44593</v>
      </c>
      <c r="N124" s="276">
        <v>45578.313043981478</v>
      </c>
      <c r="O124" s="280">
        <v>45629</v>
      </c>
      <c r="P124" s="271">
        <v>1</v>
      </c>
      <c r="Q124" s="271">
        <v>28</v>
      </c>
      <c r="R124" s="271" t="s">
        <v>3567</v>
      </c>
      <c r="S124" s="271"/>
      <c r="T124" s="271"/>
      <c r="U124" s="271" t="s">
        <v>2733</v>
      </c>
      <c r="V124" s="254" t="s">
        <v>3572</v>
      </c>
      <c r="W124" s="254" t="s">
        <v>3573</v>
      </c>
    </row>
    <row r="125" spans="1:24" ht="13" customHeight="1">
      <c r="A125" s="277" t="str">
        <f t="shared" si="6"/>
        <v>Panagiotidou et al.</v>
      </c>
      <c r="B125" s="271">
        <v>2022</v>
      </c>
      <c r="C125" s="271" t="s">
        <v>3574</v>
      </c>
      <c r="D125" s="272" t="s">
        <v>214</v>
      </c>
      <c r="E125" s="271" t="s">
        <v>3575</v>
      </c>
      <c r="F125" s="273" t="s">
        <v>2836</v>
      </c>
      <c r="G125" s="271" t="s">
        <v>3576</v>
      </c>
      <c r="H125" s="271" t="s">
        <v>2791</v>
      </c>
      <c r="I125" s="271" t="s">
        <v>3577</v>
      </c>
      <c r="J125" s="274" t="s">
        <v>3578</v>
      </c>
      <c r="K125" s="271" t="s">
        <v>3579</v>
      </c>
      <c r="L125" s="271" t="s">
        <v>3580</v>
      </c>
      <c r="M125" s="271">
        <v>2022</v>
      </c>
      <c r="N125" s="276">
        <v>45401.442789351851</v>
      </c>
      <c r="O125" s="280">
        <v>45597</v>
      </c>
      <c r="P125" s="271"/>
      <c r="Q125" s="271"/>
      <c r="R125" s="271" t="s">
        <v>2794</v>
      </c>
      <c r="S125" s="271"/>
      <c r="T125" s="274" t="s">
        <v>2878</v>
      </c>
      <c r="U125" s="271" t="s">
        <v>2733</v>
      </c>
      <c r="V125" s="254" t="s">
        <v>3581</v>
      </c>
    </row>
    <row r="126" spans="1:24" ht="13" customHeight="1">
      <c r="A126" s="277" t="str">
        <f t="shared" si="6"/>
        <v>Pandey et al.</v>
      </c>
      <c r="B126" s="271">
        <v>2015</v>
      </c>
      <c r="C126" s="271" t="s">
        <v>3582</v>
      </c>
      <c r="D126" s="272" t="s">
        <v>214</v>
      </c>
      <c r="E126" s="271"/>
      <c r="F126" s="273" t="s">
        <v>2836</v>
      </c>
      <c r="G126" s="278" t="s">
        <v>3583</v>
      </c>
      <c r="H126" s="271" t="s">
        <v>3322</v>
      </c>
      <c r="I126" s="271" t="s">
        <v>3584</v>
      </c>
      <c r="J126" s="274" t="s">
        <v>3585</v>
      </c>
      <c r="K126" s="271" t="s">
        <v>3586</v>
      </c>
      <c r="L126" s="271" t="s">
        <v>3587</v>
      </c>
      <c r="M126" s="275">
        <v>42112</v>
      </c>
      <c r="N126" s="276">
        <v>45342.22452546296</v>
      </c>
      <c r="O126" s="271" t="s">
        <v>3588</v>
      </c>
      <c r="P126" s="271"/>
      <c r="Q126" s="271"/>
      <c r="R126" s="271"/>
      <c r="S126" s="271" t="s">
        <v>2732</v>
      </c>
      <c r="T126" s="271"/>
      <c r="U126" s="271" t="s">
        <v>2733</v>
      </c>
    </row>
    <row r="127" spans="1:24" ht="13" customHeight="1">
      <c r="A127" s="277" t="s">
        <v>3589</v>
      </c>
      <c r="B127" s="271">
        <v>2015</v>
      </c>
      <c r="C127" s="271" t="s">
        <v>3590</v>
      </c>
      <c r="D127" s="272" t="s">
        <v>3530</v>
      </c>
      <c r="E127" s="271"/>
      <c r="F127" s="273" t="s">
        <v>2860</v>
      </c>
      <c r="G127" s="271" t="s">
        <v>3591</v>
      </c>
      <c r="H127" s="271" t="s">
        <v>3592</v>
      </c>
      <c r="I127" s="271"/>
      <c r="J127" s="274" t="s">
        <v>3593</v>
      </c>
      <c r="K127" s="271" t="s">
        <v>3594</v>
      </c>
      <c r="L127" s="271" t="s">
        <v>3595</v>
      </c>
      <c r="M127" s="275">
        <v>42331</v>
      </c>
      <c r="N127" s="276">
        <v>45384.807766203703</v>
      </c>
      <c r="O127" s="271"/>
      <c r="P127" s="271"/>
      <c r="Q127" s="271"/>
      <c r="R127" s="271"/>
      <c r="S127" s="271"/>
      <c r="T127" s="271"/>
      <c r="U127" s="271"/>
      <c r="V127" s="254" t="s">
        <v>3596</v>
      </c>
      <c r="X127" s="254" t="s">
        <v>2755</v>
      </c>
    </row>
    <row r="128" spans="1:24" ht="13" customHeight="1">
      <c r="A128" s="277" t="str">
        <f>CONCATENATE(LEFT(L128,FIND(",",L128) - 1)," et al.")</f>
        <v>Prantl et al.</v>
      </c>
      <c r="B128" s="271">
        <v>2023</v>
      </c>
      <c r="C128" s="271" t="s">
        <v>3597</v>
      </c>
      <c r="D128" s="272" t="s">
        <v>214</v>
      </c>
      <c r="E128" s="271"/>
      <c r="F128" s="273" t="s">
        <v>2860</v>
      </c>
      <c r="G128" s="271" t="s">
        <v>3598</v>
      </c>
      <c r="H128" s="271"/>
      <c r="I128" s="271"/>
      <c r="J128" s="274" t="s">
        <v>3599</v>
      </c>
      <c r="K128" s="271" t="s">
        <v>3600</v>
      </c>
      <c r="L128" s="271" t="s">
        <v>3601</v>
      </c>
      <c r="M128" s="275">
        <v>45103</v>
      </c>
      <c r="N128" s="276">
        <v>45569.692858796298</v>
      </c>
      <c r="O128" s="271"/>
      <c r="P128" s="271"/>
      <c r="Q128" s="271"/>
      <c r="R128" s="271"/>
      <c r="S128" s="271" t="s">
        <v>2747</v>
      </c>
      <c r="T128" s="271"/>
      <c r="U128" s="274" t="s">
        <v>2748</v>
      </c>
      <c r="V128" s="254" t="s">
        <v>3602</v>
      </c>
      <c r="X128" s="254" t="s">
        <v>2888</v>
      </c>
    </row>
    <row r="129" spans="1:24" ht="13" customHeight="1">
      <c r="A129" s="270" t="s">
        <v>3603</v>
      </c>
      <c r="B129" s="271">
        <v>2024</v>
      </c>
      <c r="C129" s="271" t="s">
        <v>3604</v>
      </c>
      <c r="D129" s="272" t="s">
        <v>214</v>
      </c>
      <c r="E129" s="271" t="s">
        <v>844</v>
      </c>
      <c r="F129" s="273" t="s">
        <v>2836</v>
      </c>
      <c r="G129" s="271" t="s">
        <v>3605</v>
      </c>
      <c r="H129" s="271" t="s">
        <v>3606</v>
      </c>
      <c r="I129" s="271" t="s">
        <v>3607</v>
      </c>
      <c r="J129" s="274" t="s">
        <v>3608</v>
      </c>
      <c r="K129" s="271" t="s">
        <v>3609</v>
      </c>
      <c r="L129" s="271" t="s">
        <v>3610</v>
      </c>
      <c r="M129" s="275">
        <v>45354</v>
      </c>
      <c r="N129" s="276">
        <v>45571.429097222222</v>
      </c>
      <c r="O129" s="271" t="s">
        <v>3611</v>
      </c>
      <c r="P129" s="271">
        <v>2</v>
      </c>
      <c r="Q129" s="271">
        <v>51</v>
      </c>
      <c r="R129" s="271"/>
      <c r="S129" s="271"/>
      <c r="T129" s="271"/>
      <c r="U129" s="271" t="s">
        <v>2769</v>
      </c>
    </row>
    <row r="130" spans="1:24" ht="13" customHeight="1">
      <c r="A130" s="277" t="str">
        <f t="shared" ref="A130:A137" si="7">CONCATENATE(LEFT(L130,FIND(",",L130) - 1)," et al.")</f>
        <v>Ren et al.</v>
      </c>
      <c r="B130" s="271">
        <v>2023</v>
      </c>
      <c r="C130" s="271" t="s">
        <v>3612</v>
      </c>
      <c r="D130" s="272" t="s">
        <v>3613</v>
      </c>
      <c r="E130" s="271"/>
      <c r="F130" s="273" t="s">
        <v>2836</v>
      </c>
      <c r="G130" s="271" t="s">
        <v>3614</v>
      </c>
      <c r="H130" s="271" t="s">
        <v>3615</v>
      </c>
      <c r="I130" s="271" t="s">
        <v>3616</v>
      </c>
      <c r="J130" s="274" t="s">
        <v>3617</v>
      </c>
      <c r="K130" s="271" t="s">
        <v>3618</v>
      </c>
      <c r="L130" s="271" t="s">
        <v>3619</v>
      </c>
      <c r="M130" s="275">
        <v>45102</v>
      </c>
      <c r="N130" s="276">
        <v>45573.631736111107</v>
      </c>
      <c r="O130" s="271">
        <v>11</v>
      </c>
      <c r="P130" s="271">
        <v>1</v>
      </c>
      <c r="Q130" s="271">
        <v>1</v>
      </c>
      <c r="R130" s="271" t="s">
        <v>3620</v>
      </c>
      <c r="S130" s="271"/>
      <c r="T130" s="271"/>
      <c r="U130" s="271" t="s">
        <v>2733</v>
      </c>
      <c r="V130" s="254" t="s">
        <v>3621</v>
      </c>
      <c r="W130" s="254" t="s">
        <v>2845</v>
      </c>
    </row>
    <row r="131" spans="1:24" ht="13" customHeight="1">
      <c r="A131" s="277" t="str">
        <f t="shared" si="7"/>
        <v>Rojas-Padilla et al.</v>
      </c>
      <c r="B131" s="271">
        <v>2022</v>
      </c>
      <c r="C131" s="271" t="s">
        <v>3622</v>
      </c>
      <c r="D131" s="272" t="s">
        <v>3623</v>
      </c>
      <c r="E131" s="271" t="s">
        <v>1111</v>
      </c>
      <c r="F131" s="273" t="s">
        <v>2836</v>
      </c>
      <c r="G131" s="271" t="s">
        <v>3624</v>
      </c>
      <c r="H131" s="271" t="s">
        <v>3625</v>
      </c>
      <c r="I131" s="271" t="s">
        <v>3626</v>
      </c>
      <c r="J131" s="274" t="s">
        <v>3627</v>
      </c>
      <c r="K131" s="271" t="s">
        <v>3628</v>
      </c>
      <c r="L131" s="271" t="s">
        <v>3629</v>
      </c>
      <c r="M131" s="275">
        <v>44621</v>
      </c>
      <c r="N131" s="276">
        <v>45566.446145833332</v>
      </c>
      <c r="O131" s="271"/>
      <c r="P131" s="271">
        <v>1</v>
      </c>
      <c r="Q131" s="271">
        <v>12</v>
      </c>
      <c r="R131" s="271" t="s">
        <v>3630</v>
      </c>
      <c r="S131" s="271"/>
      <c r="T131" s="271"/>
      <c r="U131" s="271" t="s">
        <v>2733</v>
      </c>
      <c r="V131" s="254" t="s">
        <v>3631</v>
      </c>
    </row>
    <row r="132" spans="1:24" ht="13" customHeight="1">
      <c r="A132" s="277" t="str">
        <f t="shared" si="7"/>
        <v>Schröder et al.</v>
      </c>
      <c r="B132" s="271">
        <v>2023</v>
      </c>
      <c r="C132" s="271" t="s">
        <v>3632</v>
      </c>
      <c r="D132" s="272" t="s">
        <v>214</v>
      </c>
      <c r="E132" s="271"/>
      <c r="F132" s="273" t="s">
        <v>2836</v>
      </c>
      <c r="G132" s="281" t="s">
        <v>3633</v>
      </c>
      <c r="H132" s="271"/>
      <c r="I132" s="271"/>
      <c r="J132" s="274" t="s">
        <v>3634</v>
      </c>
      <c r="K132" s="271" t="s">
        <v>3635</v>
      </c>
      <c r="L132" s="271" t="s">
        <v>3636</v>
      </c>
      <c r="M132" s="275">
        <v>45262</v>
      </c>
      <c r="N132" s="276">
        <v>45401.462569444448</v>
      </c>
      <c r="O132" s="271"/>
      <c r="P132" s="271"/>
      <c r="Q132" s="271"/>
      <c r="R132" s="271"/>
      <c r="S132" s="271" t="s">
        <v>2747</v>
      </c>
      <c r="T132" s="271"/>
      <c r="U132" s="274" t="s">
        <v>2748</v>
      </c>
      <c r="V132" s="254" t="s">
        <v>3637</v>
      </c>
    </row>
    <row r="133" spans="1:24" ht="13" customHeight="1">
      <c r="A133" s="277" t="str">
        <f t="shared" si="7"/>
        <v>Southwell et al.</v>
      </c>
      <c r="B133" s="271">
        <v>2023</v>
      </c>
      <c r="C133" s="271" t="s">
        <v>3638</v>
      </c>
      <c r="D133" s="272" t="s">
        <v>844</v>
      </c>
      <c r="E133" s="271" t="s">
        <v>844</v>
      </c>
      <c r="F133" s="273" t="s">
        <v>2836</v>
      </c>
      <c r="G133" s="271" t="s">
        <v>3639</v>
      </c>
      <c r="H133" s="271" t="s">
        <v>3640</v>
      </c>
      <c r="I133" s="271" t="s">
        <v>3641</v>
      </c>
      <c r="J133" s="274" t="s">
        <v>3642</v>
      </c>
      <c r="K133" s="271" t="s">
        <v>3643</v>
      </c>
      <c r="L133" s="271" t="s">
        <v>3644</v>
      </c>
      <c r="M133" s="271">
        <v>2023</v>
      </c>
      <c r="N133" s="276">
        <v>45363.412766203714</v>
      </c>
      <c r="O133" s="271" t="s">
        <v>3645</v>
      </c>
      <c r="P133" s="271">
        <v>1</v>
      </c>
      <c r="Q133" s="271">
        <v>44</v>
      </c>
      <c r="R133" s="271"/>
      <c r="S133" s="271"/>
      <c r="T133" s="271"/>
      <c r="U133" s="271" t="s">
        <v>3646</v>
      </c>
      <c r="V133" s="254" t="s">
        <v>3647</v>
      </c>
      <c r="W133" s="254" t="s">
        <v>3648</v>
      </c>
    </row>
    <row r="134" spans="1:24" ht="13" customHeight="1">
      <c r="A134" s="277" t="str">
        <f t="shared" si="7"/>
        <v>Southwell et al.</v>
      </c>
      <c r="B134" s="271">
        <v>2022</v>
      </c>
      <c r="C134" s="271" t="s">
        <v>3649</v>
      </c>
      <c r="D134" s="272" t="s">
        <v>3650</v>
      </c>
      <c r="E134" s="271"/>
      <c r="F134" s="273" t="s">
        <v>2919</v>
      </c>
      <c r="G134" s="271" t="s">
        <v>3651</v>
      </c>
      <c r="H134" s="271" t="s">
        <v>3652</v>
      </c>
      <c r="I134" s="271" t="s">
        <v>3653</v>
      </c>
      <c r="J134" s="274" t="s">
        <v>3654</v>
      </c>
      <c r="K134" s="271" t="s">
        <v>3649</v>
      </c>
      <c r="L134" s="271" t="s">
        <v>3655</v>
      </c>
      <c r="M134" s="275">
        <v>44621</v>
      </c>
      <c r="N134" s="276">
        <v>45363.411539351851</v>
      </c>
      <c r="O134" s="271" t="s">
        <v>3656</v>
      </c>
      <c r="P134" s="271">
        <v>1</v>
      </c>
      <c r="Q134" s="271">
        <v>700</v>
      </c>
      <c r="R134" s="271"/>
      <c r="S134" s="271"/>
      <c r="T134" s="271"/>
      <c r="U134" s="271" t="s">
        <v>2712</v>
      </c>
      <c r="V134" s="254" t="s">
        <v>3657</v>
      </c>
      <c r="W134" s="254" t="s">
        <v>3658</v>
      </c>
    </row>
    <row r="135" spans="1:24" ht="13" customHeight="1">
      <c r="A135" s="277" t="str">
        <f t="shared" si="7"/>
        <v>Vancisin et al.</v>
      </c>
      <c r="B135" s="271">
        <v>2023</v>
      </c>
      <c r="C135" s="271" t="s">
        <v>3659</v>
      </c>
      <c r="D135" s="272" t="s">
        <v>3575</v>
      </c>
      <c r="E135" s="271"/>
      <c r="F135" s="273" t="s">
        <v>2860</v>
      </c>
      <c r="G135" s="271" t="s">
        <v>3660</v>
      </c>
      <c r="H135" s="271" t="s">
        <v>3661</v>
      </c>
      <c r="I135" s="271" t="s">
        <v>3662</v>
      </c>
      <c r="J135" s="274" t="s">
        <v>3663</v>
      </c>
      <c r="K135" s="271" t="s">
        <v>3664</v>
      </c>
      <c r="L135" s="271" t="s">
        <v>3665</v>
      </c>
      <c r="M135" s="275">
        <v>45169</v>
      </c>
      <c r="N135" s="276">
        <v>45401.437928240739</v>
      </c>
      <c r="O135" s="271" t="s">
        <v>3666</v>
      </c>
      <c r="P135" s="271">
        <v>3</v>
      </c>
      <c r="Q135" s="271">
        <v>38</v>
      </c>
      <c r="R135" s="271"/>
      <c r="S135" s="271"/>
      <c r="T135" s="274" t="s">
        <v>3667</v>
      </c>
      <c r="U135" s="271" t="s">
        <v>2733</v>
      </c>
      <c r="V135" s="254" t="s">
        <v>3668</v>
      </c>
      <c r="W135" s="254" t="s">
        <v>3409</v>
      </c>
    </row>
    <row r="136" spans="1:24" ht="13" customHeight="1">
      <c r="A136" s="277" t="str">
        <f t="shared" si="7"/>
        <v>Wang et al.</v>
      </c>
      <c r="B136" s="271">
        <v>2019</v>
      </c>
      <c r="C136" s="271" t="s">
        <v>3669</v>
      </c>
      <c r="D136" s="272" t="s">
        <v>214</v>
      </c>
      <c r="E136" s="271"/>
      <c r="F136" s="273" t="s">
        <v>2860</v>
      </c>
      <c r="G136" s="271" t="s">
        <v>3670</v>
      </c>
      <c r="H136" s="271" t="s">
        <v>3671</v>
      </c>
      <c r="I136" s="271" t="s">
        <v>3672</v>
      </c>
      <c r="J136" s="274" t="s">
        <v>3673</v>
      </c>
      <c r="K136" s="271" t="s">
        <v>3674</v>
      </c>
      <c r="L136" s="271" t="s">
        <v>3675</v>
      </c>
      <c r="M136" s="284">
        <v>43709</v>
      </c>
      <c r="N136" s="276">
        <v>45569.68240740741</v>
      </c>
      <c r="O136" s="271" t="s">
        <v>3676</v>
      </c>
      <c r="P136" s="271">
        <v>5</v>
      </c>
      <c r="Q136" s="271">
        <v>39</v>
      </c>
      <c r="R136" s="271"/>
      <c r="S136" s="271"/>
      <c r="T136" s="271"/>
      <c r="U136" s="271" t="s">
        <v>2833</v>
      </c>
      <c r="V136" s="254" t="s">
        <v>3677</v>
      </c>
      <c r="X136" s="254" t="s">
        <v>3129</v>
      </c>
    </row>
    <row r="137" spans="1:24" ht="13" hidden="1" customHeight="1">
      <c r="A137" s="277" t="str">
        <f t="shared" si="7"/>
        <v>McNutt et al.</v>
      </c>
      <c r="B137" s="271">
        <v>2021</v>
      </c>
      <c r="C137" s="271" t="s">
        <v>3678</v>
      </c>
      <c r="D137" s="272" t="s">
        <v>214</v>
      </c>
      <c r="E137" s="271"/>
      <c r="F137" s="273" t="s">
        <v>3679</v>
      </c>
      <c r="G137" s="271" t="s">
        <v>3680</v>
      </c>
      <c r="H137" s="271" t="s">
        <v>2745</v>
      </c>
      <c r="I137" s="271"/>
      <c r="J137" s="274" t="s">
        <v>3681</v>
      </c>
      <c r="K137" s="271" t="s">
        <v>3682</v>
      </c>
      <c r="L137" s="271" t="s">
        <v>3683</v>
      </c>
      <c r="M137" s="275">
        <v>44461</v>
      </c>
      <c r="N137" s="276">
        <v>45545.493854166663</v>
      </c>
      <c r="O137" s="271"/>
      <c r="P137" s="271"/>
      <c r="Q137" s="271"/>
      <c r="R137" s="271"/>
      <c r="S137" s="271" t="s">
        <v>2747</v>
      </c>
      <c r="T137" s="271"/>
      <c r="U137" s="274" t="s">
        <v>2748</v>
      </c>
      <c r="V137" s="254" t="s">
        <v>3684</v>
      </c>
    </row>
    <row r="138" spans="1:24" ht="13" hidden="1" customHeight="1">
      <c r="A138" s="270" t="s">
        <v>3685</v>
      </c>
      <c r="B138" s="271">
        <v>2023</v>
      </c>
      <c r="C138" s="271" t="s">
        <v>3084</v>
      </c>
      <c r="D138" s="272" t="s">
        <v>214</v>
      </c>
      <c r="E138" s="271"/>
      <c r="F138" s="273" t="s">
        <v>3686</v>
      </c>
      <c r="G138" s="271" t="s">
        <v>3687</v>
      </c>
      <c r="H138" s="271" t="s">
        <v>2791</v>
      </c>
      <c r="I138" s="271" t="s">
        <v>3085</v>
      </c>
      <c r="J138" s="274" t="s">
        <v>3688</v>
      </c>
      <c r="K138" s="271" t="s">
        <v>1983</v>
      </c>
      <c r="L138" s="271" t="s">
        <v>3087</v>
      </c>
      <c r="M138" s="271">
        <v>2023</v>
      </c>
      <c r="N138" s="276">
        <v>45337.443715277783</v>
      </c>
      <c r="O138" s="280">
        <v>45597</v>
      </c>
      <c r="P138" s="271"/>
      <c r="Q138" s="271"/>
      <c r="R138" s="271" t="s">
        <v>2794</v>
      </c>
      <c r="S138" s="271"/>
      <c r="T138" s="271"/>
      <c r="U138" s="271" t="s">
        <v>2733</v>
      </c>
      <c r="V138" s="254" t="s">
        <v>3689</v>
      </c>
    </row>
    <row r="139" spans="1:24" ht="13" hidden="1" customHeight="1">
      <c r="A139" s="270" t="str">
        <f t="shared" ref="A139:A144" si="8">CONCATENATE(LEFT(L139,FIND(",",L139) - 1)," et al.")</f>
        <v>Lamqaddam et al.</v>
      </c>
      <c r="B139" s="271">
        <v>2021</v>
      </c>
      <c r="C139" s="271" t="s">
        <v>3690</v>
      </c>
      <c r="D139" s="272" t="s">
        <v>214</v>
      </c>
      <c r="E139" s="271"/>
      <c r="F139" s="273" t="s">
        <v>3691</v>
      </c>
      <c r="G139" s="271" t="s">
        <v>3692</v>
      </c>
      <c r="H139" s="271" t="s">
        <v>2791</v>
      </c>
      <c r="I139" s="271" t="s">
        <v>3693</v>
      </c>
      <c r="J139" s="274" t="s">
        <v>3694</v>
      </c>
      <c r="K139" s="271" t="s">
        <v>3695</v>
      </c>
      <c r="L139" s="271" t="s">
        <v>3696</v>
      </c>
      <c r="M139" s="284">
        <v>44228</v>
      </c>
      <c r="N139" s="276">
        <v>45401.459421296298</v>
      </c>
      <c r="O139" s="271" t="s">
        <v>3697</v>
      </c>
      <c r="P139" s="271">
        <v>2</v>
      </c>
      <c r="Q139" s="271">
        <v>27</v>
      </c>
      <c r="R139" s="271" t="s">
        <v>2794</v>
      </c>
      <c r="S139" s="271"/>
      <c r="T139" s="274" t="s">
        <v>2878</v>
      </c>
      <c r="U139" s="271" t="s">
        <v>2733</v>
      </c>
      <c r="V139" s="254" t="s">
        <v>3698</v>
      </c>
      <c r="W139" s="254" t="s">
        <v>2845</v>
      </c>
    </row>
    <row r="140" spans="1:24" ht="13" hidden="1" customHeight="1">
      <c r="A140" s="270" t="str">
        <f t="shared" si="8"/>
        <v>Morais et al.</v>
      </c>
      <c r="B140" s="271">
        <v>2021</v>
      </c>
      <c r="C140" s="271" t="s">
        <v>3699</v>
      </c>
      <c r="D140" s="272" t="s">
        <v>214</v>
      </c>
      <c r="E140" s="271"/>
      <c r="F140" s="273" t="s">
        <v>3700</v>
      </c>
      <c r="G140" s="271"/>
      <c r="H140" s="271" t="s">
        <v>2773</v>
      </c>
      <c r="I140" s="271" t="s">
        <v>3701</v>
      </c>
      <c r="J140" s="274" t="s">
        <v>3702</v>
      </c>
      <c r="K140" s="271" t="s">
        <v>3703</v>
      </c>
      <c r="L140" s="271" t="s">
        <v>3704</v>
      </c>
      <c r="M140" s="275">
        <v>44322</v>
      </c>
      <c r="N140" s="276">
        <v>45571.368321759262</v>
      </c>
      <c r="O140" s="271" t="s">
        <v>2778</v>
      </c>
      <c r="P140" s="271"/>
      <c r="Q140" s="271"/>
      <c r="R140" s="271"/>
      <c r="S140" s="271" t="s">
        <v>2732</v>
      </c>
      <c r="T140" s="271"/>
      <c r="U140" s="271" t="s">
        <v>2733</v>
      </c>
      <c r="V140" s="254" t="s">
        <v>3705</v>
      </c>
    </row>
    <row r="141" spans="1:24" ht="13" hidden="1" customHeight="1">
      <c r="A141" s="270" t="str">
        <f t="shared" si="8"/>
        <v>Zeller et al.</v>
      </c>
      <c r="B141" s="271">
        <v>2022</v>
      </c>
      <c r="C141" s="271" t="s">
        <v>3706</v>
      </c>
      <c r="D141" s="272" t="s">
        <v>214</v>
      </c>
      <c r="E141" s="271"/>
      <c r="F141" s="273" t="s">
        <v>3707</v>
      </c>
      <c r="G141" s="271" t="s">
        <v>3708</v>
      </c>
      <c r="H141" s="271" t="s">
        <v>2827</v>
      </c>
      <c r="I141" s="271" t="s">
        <v>3709</v>
      </c>
      <c r="J141" s="274" t="s">
        <v>3710</v>
      </c>
      <c r="K141" s="271" t="s">
        <v>3711</v>
      </c>
      <c r="L141" s="271" t="s">
        <v>3712</v>
      </c>
      <c r="M141" s="279">
        <v>44835</v>
      </c>
      <c r="N141" s="276">
        <v>45571.461087962962</v>
      </c>
      <c r="O141" s="271" t="s">
        <v>3713</v>
      </c>
      <c r="P141" s="271"/>
      <c r="Q141" s="271"/>
      <c r="R141" s="271"/>
      <c r="S141" s="271" t="s">
        <v>2877</v>
      </c>
      <c r="T141" s="274" t="s">
        <v>3212</v>
      </c>
      <c r="U141" s="271" t="s">
        <v>2733</v>
      </c>
      <c r="V141" s="254" t="s">
        <v>3714</v>
      </c>
    </row>
    <row r="142" spans="1:24" ht="13" hidden="1" customHeight="1">
      <c r="A142" s="277" t="str">
        <f t="shared" si="8"/>
        <v>Samsel et al.</v>
      </c>
      <c r="B142" s="271">
        <v>2018</v>
      </c>
      <c r="C142" s="271" t="s">
        <v>3715</v>
      </c>
      <c r="D142" s="272" t="s">
        <v>214</v>
      </c>
      <c r="E142" s="271"/>
      <c r="F142" s="273" t="s">
        <v>3707</v>
      </c>
      <c r="G142" s="271" t="s">
        <v>3716</v>
      </c>
      <c r="H142" s="271" t="s">
        <v>3178</v>
      </c>
      <c r="I142" s="271" t="s">
        <v>3717</v>
      </c>
      <c r="J142" s="274" t="s">
        <v>3718</v>
      </c>
      <c r="K142" s="271" t="s">
        <v>3719</v>
      </c>
      <c r="L142" s="271" t="s">
        <v>3720</v>
      </c>
      <c r="M142" s="279">
        <v>43374</v>
      </c>
      <c r="N142" s="276">
        <v>45435.451018518521</v>
      </c>
      <c r="O142" s="280">
        <v>45536</v>
      </c>
      <c r="P142" s="271"/>
      <c r="Q142" s="271"/>
      <c r="R142" s="271"/>
      <c r="S142" s="271" t="s">
        <v>2877</v>
      </c>
      <c r="T142" s="271"/>
      <c r="U142" s="271" t="s">
        <v>2733</v>
      </c>
      <c r="V142" s="254" t="s">
        <v>3721</v>
      </c>
      <c r="W142" s="254" t="s">
        <v>3722</v>
      </c>
    </row>
    <row r="143" spans="1:24" ht="13" hidden="1" customHeight="1">
      <c r="A143" s="277" t="str">
        <f t="shared" si="8"/>
        <v>Dhawka et al.</v>
      </c>
      <c r="B143" s="271">
        <v>2024</v>
      </c>
      <c r="C143" s="271" t="s">
        <v>3723</v>
      </c>
      <c r="D143" s="272" t="s">
        <v>312</v>
      </c>
      <c r="E143" s="271"/>
      <c r="F143" s="273" t="s">
        <v>3707</v>
      </c>
      <c r="G143" s="283" t="s">
        <v>3724</v>
      </c>
      <c r="H143" s="271" t="s">
        <v>2816</v>
      </c>
      <c r="I143" s="271" t="s">
        <v>3725</v>
      </c>
      <c r="J143" s="274" t="s">
        <v>3726</v>
      </c>
      <c r="K143" s="271" t="s">
        <v>3727</v>
      </c>
      <c r="L143" s="271" t="s">
        <v>3728</v>
      </c>
      <c r="M143" s="275">
        <v>45423</v>
      </c>
      <c r="N143" s="276">
        <v>45571.402002314811</v>
      </c>
      <c r="O143" s="271" t="s">
        <v>2854</v>
      </c>
      <c r="P143" s="271"/>
      <c r="Q143" s="271"/>
      <c r="R143" s="271"/>
      <c r="S143" s="271" t="s">
        <v>2732</v>
      </c>
      <c r="T143" s="271"/>
      <c r="U143" s="271" t="s">
        <v>2733</v>
      </c>
      <c r="V143" s="254" t="s">
        <v>3729</v>
      </c>
    </row>
    <row r="144" spans="1:24" ht="13" hidden="1" customHeight="1">
      <c r="A144" s="277" t="str">
        <f t="shared" si="8"/>
        <v>Yang et al.</v>
      </c>
      <c r="B144" s="271">
        <v>2024</v>
      </c>
      <c r="C144" s="271" t="s">
        <v>3730</v>
      </c>
      <c r="D144" s="272" t="s">
        <v>214</v>
      </c>
      <c r="E144" s="271" t="s">
        <v>1111</v>
      </c>
      <c r="F144" s="273" t="s">
        <v>3707</v>
      </c>
      <c r="G144" s="271"/>
      <c r="H144" s="271" t="s">
        <v>2791</v>
      </c>
      <c r="I144" s="271" t="s">
        <v>3731</v>
      </c>
      <c r="J144" s="274" t="s">
        <v>3732</v>
      </c>
      <c r="K144" s="271" t="s">
        <v>3733</v>
      </c>
      <c r="L144" s="271" t="s">
        <v>3734</v>
      </c>
      <c r="M144" s="271">
        <v>2024</v>
      </c>
      <c r="N144" s="276">
        <v>45571.461018518523</v>
      </c>
      <c r="O144" s="280">
        <v>45597</v>
      </c>
      <c r="P144" s="271"/>
      <c r="Q144" s="271"/>
      <c r="R144" s="271" t="s">
        <v>2794</v>
      </c>
      <c r="S144" s="271"/>
      <c r="T144" s="274" t="s">
        <v>2878</v>
      </c>
      <c r="U144" s="271" t="s">
        <v>2733</v>
      </c>
      <c r="V144" s="254" t="s">
        <v>3735</v>
      </c>
    </row>
    <row r="145" spans="1:24" ht="13" customHeight="1">
      <c r="A145" s="270" t="s">
        <v>3736</v>
      </c>
      <c r="B145" s="271">
        <v>2023</v>
      </c>
      <c r="C145" s="271" t="s">
        <v>3737</v>
      </c>
      <c r="D145" s="272" t="s">
        <v>3738</v>
      </c>
      <c r="E145" s="271"/>
      <c r="F145" s="273" t="s">
        <v>2836</v>
      </c>
      <c r="G145" s="271" t="s">
        <v>3739</v>
      </c>
      <c r="H145" s="271" t="s">
        <v>3740</v>
      </c>
      <c r="I145" s="271" t="s">
        <v>3741</v>
      </c>
      <c r="J145" s="274" t="s">
        <v>3742</v>
      </c>
      <c r="K145" s="271" t="s">
        <v>3743</v>
      </c>
      <c r="L145" s="271" t="s">
        <v>3744</v>
      </c>
      <c r="M145" s="279">
        <v>45261</v>
      </c>
      <c r="N145" s="276">
        <v>45578.309074074074</v>
      </c>
      <c r="O145" s="271" t="s">
        <v>3745</v>
      </c>
      <c r="P145" s="271">
        <v>12</v>
      </c>
      <c r="Q145" s="271">
        <v>25</v>
      </c>
      <c r="R145" s="271" t="s">
        <v>3740</v>
      </c>
      <c r="S145" s="271"/>
      <c r="T145" s="271"/>
      <c r="U145" s="271" t="s">
        <v>2733</v>
      </c>
      <c r="V145" s="254" t="s">
        <v>3746</v>
      </c>
      <c r="W145" s="254" t="s">
        <v>3747</v>
      </c>
    </row>
    <row r="146" spans="1:24" ht="13" customHeight="1">
      <c r="A146" s="286" t="str">
        <f>CONCATENATE(LEFT(L146,FIND(",",L146) - 1)," et al.")</f>
        <v>Willett et al.</v>
      </c>
      <c r="B146" s="265">
        <v>2022</v>
      </c>
      <c r="C146" s="263" t="s">
        <v>3748</v>
      </c>
      <c r="D146" s="287" t="s">
        <v>214</v>
      </c>
      <c r="E146" s="247"/>
      <c r="F146" s="288" t="s">
        <v>2860</v>
      </c>
      <c r="G146" s="265" t="s">
        <v>3749</v>
      </c>
      <c r="H146" s="263" t="s">
        <v>2791</v>
      </c>
      <c r="I146" s="263" t="s">
        <v>3750</v>
      </c>
      <c r="J146" s="289" t="s">
        <v>3751</v>
      </c>
      <c r="K146" s="265" t="s">
        <v>3752</v>
      </c>
      <c r="L146" s="265" t="s">
        <v>3753</v>
      </c>
      <c r="M146" s="292">
        <v>44562</v>
      </c>
      <c r="N146" s="293">
        <v>45578.563460648147</v>
      </c>
      <c r="O146" s="247"/>
      <c r="P146" s="247"/>
      <c r="Q146" s="247"/>
      <c r="R146" s="247"/>
      <c r="S146" s="247"/>
      <c r="T146" s="247"/>
      <c r="U146" s="247"/>
      <c r="V146" s="254" t="s">
        <v>3754</v>
      </c>
      <c r="X146" s="254" t="s">
        <v>3233</v>
      </c>
    </row>
    <row r="147" spans="1:24" ht="13" customHeight="1">
      <c r="A147" s="277" t="str">
        <f>CONCATENATE(LEFT(L147,FIND(",",L147) - 1)," et al.")</f>
        <v>Windhager et al.</v>
      </c>
      <c r="B147" s="271">
        <v>2019</v>
      </c>
      <c r="C147" s="271" t="s">
        <v>3755</v>
      </c>
      <c r="D147" s="272" t="s">
        <v>214</v>
      </c>
      <c r="E147" s="271" t="s">
        <v>267</v>
      </c>
      <c r="F147" s="273" t="s">
        <v>2836</v>
      </c>
      <c r="G147" s="271" t="s">
        <v>3756</v>
      </c>
      <c r="H147" s="271" t="s">
        <v>3757</v>
      </c>
      <c r="I147" s="271" t="s">
        <v>3758</v>
      </c>
      <c r="J147" s="274" t="s">
        <v>3759</v>
      </c>
      <c r="K147" s="271" t="s">
        <v>3760</v>
      </c>
      <c r="L147" s="271" t="s">
        <v>3761</v>
      </c>
      <c r="M147" s="271">
        <v>2019</v>
      </c>
      <c r="N147" s="276">
        <v>45573.626793981479</v>
      </c>
      <c r="O147" s="271" t="s">
        <v>3762</v>
      </c>
      <c r="P147" s="271"/>
      <c r="Q147" s="271"/>
      <c r="R147" s="271"/>
      <c r="S147" s="271"/>
      <c r="T147" s="271"/>
      <c r="U147" s="271" t="s">
        <v>3763</v>
      </c>
      <c r="V147" s="254" t="s">
        <v>3764</v>
      </c>
    </row>
    <row r="148" spans="1:24" ht="13" customHeight="1">
      <c r="A148" s="277" t="s">
        <v>3765</v>
      </c>
      <c r="B148" s="271">
        <v>2022</v>
      </c>
      <c r="C148" s="271" t="s">
        <v>3766</v>
      </c>
      <c r="D148" s="272" t="s">
        <v>214</v>
      </c>
      <c r="E148" s="271"/>
      <c r="F148" s="273" t="s">
        <v>2836</v>
      </c>
      <c r="G148" s="271" t="s">
        <v>3767</v>
      </c>
      <c r="H148" s="271" t="s">
        <v>3107</v>
      </c>
      <c r="I148" s="271" t="s">
        <v>3768</v>
      </c>
      <c r="J148" s="274" t="s">
        <v>3769</v>
      </c>
      <c r="K148" s="271" t="s">
        <v>3770</v>
      </c>
      <c r="L148" s="271" t="s">
        <v>3771</v>
      </c>
      <c r="M148" s="279">
        <v>44866</v>
      </c>
      <c r="N148" s="276">
        <v>45568.626921296287</v>
      </c>
      <c r="O148" s="280">
        <v>45474</v>
      </c>
      <c r="P148" s="271"/>
      <c r="Q148" s="271"/>
      <c r="R148" s="271"/>
      <c r="S148" s="271"/>
      <c r="T148" s="271"/>
      <c r="U148" s="271" t="s">
        <v>2833</v>
      </c>
    </row>
    <row r="149" spans="1:24" ht="13" customHeight="1">
      <c r="A149" s="286" t="s">
        <v>3772</v>
      </c>
      <c r="B149" s="265">
        <v>2008</v>
      </c>
      <c r="C149" s="263" t="s">
        <v>3773</v>
      </c>
      <c r="D149" s="287" t="s">
        <v>1883</v>
      </c>
      <c r="E149" s="247"/>
      <c r="F149" s="288" t="s">
        <v>3355</v>
      </c>
      <c r="G149" s="265" t="s">
        <v>3774</v>
      </c>
      <c r="H149" s="263" t="s">
        <v>3775</v>
      </c>
      <c r="I149" s="263" t="s">
        <v>3776</v>
      </c>
      <c r="J149" s="289" t="s">
        <v>3777</v>
      </c>
      <c r="K149" s="265" t="s">
        <v>3778</v>
      </c>
      <c r="L149" s="265" t="s">
        <v>3779</v>
      </c>
      <c r="M149" s="290">
        <v>39722</v>
      </c>
      <c r="N149" s="293">
        <v>45578.448923611111</v>
      </c>
      <c r="O149" s="247"/>
      <c r="P149" s="247"/>
      <c r="Q149" s="247"/>
      <c r="R149" s="247"/>
      <c r="S149" s="247"/>
      <c r="T149" s="247"/>
      <c r="U149" s="247"/>
    </row>
    <row r="150" spans="1:24" ht="13" hidden="1" customHeight="1">
      <c r="A150" s="265" t="s">
        <v>3780</v>
      </c>
      <c r="B150" s="247">
        <v>2017</v>
      </c>
      <c r="C150" s="247" t="s">
        <v>3781</v>
      </c>
      <c r="D150" s="287"/>
      <c r="E150" s="247" t="s">
        <v>267</v>
      </c>
      <c r="F150" s="288" t="s">
        <v>3782</v>
      </c>
      <c r="G150" s="247" t="s">
        <v>3783</v>
      </c>
      <c r="H150" s="247" t="s">
        <v>3784</v>
      </c>
      <c r="I150" s="247"/>
      <c r="J150" s="296" t="s">
        <v>3785</v>
      </c>
      <c r="K150" s="247" t="s">
        <v>3786</v>
      </c>
      <c r="L150" s="247"/>
      <c r="M150" s="247"/>
      <c r="N150" s="247"/>
      <c r="O150" s="247"/>
      <c r="P150" s="247"/>
      <c r="Q150" s="247"/>
      <c r="R150" s="247"/>
      <c r="S150" s="247"/>
      <c r="T150" s="247"/>
      <c r="U150" s="247"/>
    </row>
    <row r="151" spans="1:24" ht="13" hidden="1" customHeight="1">
      <c r="A151" s="270" t="s">
        <v>3787</v>
      </c>
      <c r="B151" s="271">
        <v>2024</v>
      </c>
      <c r="C151" s="271" t="s">
        <v>3788</v>
      </c>
      <c r="D151" s="272"/>
      <c r="E151" s="271" t="s">
        <v>2824</v>
      </c>
      <c r="F151" s="273" t="s">
        <v>3782</v>
      </c>
      <c r="G151" s="271" t="s">
        <v>3789</v>
      </c>
      <c r="H151" s="271" t="s">
        <v>3788</v>
      </c>
      <c r="I151" s="271"/>
      <c r="J151" s="274" t="s">
        <v>3790</v>
      </c>
      <c r="K151" s="271" t="s">
        <v>3791</v>
      </c>
      <c r="L151" s="271" t="s">
        <v>3787</v>
      </c>
      <c r="M151" s="271">
        <v>2024</v>
      </c>
      <c r="N151" s="276">
        <v>45435.448368055557</v>
      </c>
      <c r="O151" s="271"/>
      <c r="P151" s="271"/>
      <c r="Q151" s="271"/>
      <c r="R151" s="271"/>
      <c r="S151" s="271"/>
      <c r="T151" s="271"/>
      <c r="U151" s="271"/>
    </row>
    <row r="152" spans="1:24" ht="13" hidden="1" customHeight="1">
      <c r="A152" s="263" t="s">
        <v>3792</v>
      </c>
      <c r="B152" s="247">
        <v>2018</v>
      </c>
      <c r="C152" s="247" t="s">
        <v>3793</v>
      </c>
      <c r="D152" s="287"/>
      <c r="E152" s="247" t="s">
        <v>2824</v>
      </c>
      <c r="F152" s="288" t="s">
        <v>3782</v>
      </c>
      <c r="G152" s="247" t="s">
        <v>3794</v>
      </c>
      <c r="H152" s="247"/>
      <c r="I152" s="247"/>
      <c r="J152" s="296" t="s">
        <v>3795</v>
      </c>
      <c r="K152" s="247" t="s">
        <v>3796</v>
      </c>
      <c r="L152" s="247"/>
      <c r="M152" s="247"/>
      <c r="N152" s="247"/>
      <c r="O152" s="247"/>
      <c r="P152" s="247"/>
      <c r="Q152" s="247"/>
      <c r="R152" s="247"/>
      <c r="S152" s="247"/>
      <c r="T152" s="247"/>
      <c r="U152" s="247"/>
    </row>
    <row r="153" spans="1:24" ht="13" hidden="1" customHeight="1">
      <c r="A153" s="270" t="s">
        <v>3792</v>
      </c>
      <c r="B153" s="271">
        <v>2018</v>
      </c>
      <c r="C153" s="271" t="s">
        <v>3797</v>
      </c>
      <c r="D153" s="272"/>
      <c r="E153" s="271" t="s">
        <v>844</v>
      </c>
      <c r="F153" s="273" t="s">
        <v>3782</v>
      </c>
      <c r="G153" s="271" t="s">
        <v>3798</v>
      </c>
      <c r="H153" s="271"/>
      <c r="I153" s="271"/>
      <c r="J153" s="274" t="s">
        <v>3799</v>
      </c>
      <c r="K153" s="271" t="s">
        <v>3800</v>
      </c>
      <c r="L153" s="271" t="s">
        <v>3792</v>
      </c>
      <c r="M153" s="271">
        <v>2018</v>
      </c>
      <c r="N153" s="276">
        <v>45576.208171296297</v>
      </c>
      <c r="O153" s="271"/>
      <c r="P153" s="271"/>
      <c r="Q153" s="271"/>
      <c r="R153" s="271"/>
      <c r="S153" s="271"/>
      <c r="T153" s="271"/>
      <c r="U153" s="271"/>
    </row>
    <row r="154" spans="1:24" ht="14" hidden="1" customHeight="1">
      <c r="A154" s="297" t="s">
        <v>3801</v>
      </c>
      <c r="B154" s="247">
        <v>2015</v>
      </c>
      <c r="C154" s="247" t="s">
        <v>3802</v>
      </c>
      <c r="D154" s="287"/>
      <c r="E154" s="247" t="s">
        <v>2824</v>
      </c>
      <c r="F154" s="288" t="s">
        <v>3782</v>
      </c>
      <c r="G154" s="247"/>
      <c r="H154" s="247" t="s">
        <v>3803</v>
      </c>
      <c r="I154" s="247"/>
      <c r="J154" s="296" t="s">
        <v>3804</v>
      </c>
      <c r="K154" s="247"/>
      <c r="L154" s="247"/>
      <c r="M154" s="247"/>
      <c r="N154" s="247"/>
      <c r="O154" s="247"/>
      <c r="P154" s="247"/>
      <c r="Q154" s="247"/>
      <c r="R154" s="247"/>
      <c r="S154" s="247"/>
      <c r="T154" s="247"/>
      <c r="U154" s="247"/>
    </row>
    <row r="155" spans="1:24" ht="13" hidden="1" customHeight="1">
      <c r="A155" s="263" t="s">
        <v>3805</v>
      </c>
      <c r="B155" s="247">
        <v>2015</v>
      </c>
      <c r="C155" s="247" t="s">
        <v>3806</v>
      </c>
      <c r="D155" s="287"/>
      <c r="E155" s="247" t="s">
        <v>3807</v>
      </c>
      <c r="F155" s="288" t="s">
        <v>3782</v>
      </c>
      <c r="G155" s="247" t="s">
        <v>3808</v>
      </c>
      <c r="H155" s="247"/>
      <c r="I155" s="247"/>
      <c r="J155" s="296" t="s">
        <v>3809</v>
      </c>
      <c r="K155" s="247"/>
      <c r="L155" s="247"/>
      <c r="M155" s="247"/>
      <c r="N155" s="247"/>
      <c r="O155" s="247"/>
      <c r="P155" s="247"/>
      <c r="Q155" s="247"/>
      <c r="R155" s="247"/>
      <c r="S155" s="247"/>
      <c r="T155" s="247"/>
      <c r="U155" s="247"/>
    </row>
    <row r="156" spans="1:24" ht="13" hidden="1" customHeight="1">
      <c r="A156" s="277" t="s">
        <v>3810</v>
      </c>
      <c r="B156" s="271">
        <v>2015</v>
      </c>
      <c r="C156" s="271" t="s">
        <v>3811</v>
      </c>
      <c r="D156" s="272" t="s">
        <v>214</v>
      </c>
      <c r="E156" s="271"/>
      <c r="F156" s="273" t="s">
        <v>3812</v>
      </c>
      <c r="G156" s="271" t="s">
        <v>3813</v>
      </c>
      <c r="H156" s="271"/>
      <c r="I156" s="271"/>
      <c r="J156" s="274" t="s">
        <v>3814</v>
      </c>
      <c r="K156" s="271" t="s">
        <v>3815</v>
      </c>
      <c r="L156" s="271" t="s">
        <v>3816</v>
      </c>
      <c r="M156" s="275">
        <v>42019</v>
      </c>
      <c r="N156" s="276">
        <v>45435.453668981478</v>
      </c>
      <c r="O156" s="271"/>
      <c r="P156" s="271"/>
      <c r="Q156" s="271"/>
      <c r="R156" s="271"/>
      <c r="S156" s="271"/>
      <c r="T156" s="271"/>
      <c r="U156" s="271"/>
    </row>
    <row r="157" spans="1:24" ht="13" hidden="1" customHeight="1">
      <c r="A157" s="270" t="s">
        <v>3817</v>
      </c>
      <c r="B157" s="271">
        <v>2024</v>
      </c>
      <c r="C157" s="271" t="s">
        <v>3818</v>
      </c>
      <c r="D157" s="272" t="s">
        <v>214</v>
      </c>
      <c r="E157" s="271"/>
      <c r="F157" s="273" t="s">
        <v>3812</v>
      </c>
      <c r="G157" s="271"/>
      <c r="H157" s="271" t="s">
        <v>3817</v>
      </c>
      <c r="I157" s="271"/>
      <c r="J157" s="274" t="s">
        <v>3819</v>
      </c>
      <c r="K157" s="271" t="s">
        <v>3817</v>
      </c>
      <c r="L157" s="271" t="s">
        <v>3817</v>
      </c>
      <c r="M157" s="271">
        <v>2024</v>
      </c>
      <c r="N157" s="276">
        <v>45578.301087962973</v>
      </c>
      <c r="O157" s="271"/>
      <c r="P157" s="271"/>
      <c r="Q157" s="271"/>
      <c r="R157" s="271"/>
      <c r="S157" s="271"/>
      <c r="T157" s="271"/>
      <c r="U157" s="271"/>
    </row>
    <row r="158" spans="1:24" ht="13" hidden="1" customHeight="1">
      <c r="A158" s="270" t="s">
        <v>3820</v>
      </c>
      <c r="B158" s="271">
        <v>2024</v>
      </c>
      <c r="C158" s="271" t="s">
        <v>3820</v>
      </c>
      <c r="D158" s="272" t="s">
        <v>214</v>
      </c>
      <c r="E158" s="271"/>
      <c r="F158" s="273" t="s">
        <v>3812</v>
      </c>
      <c r="G158" s="271" t="s">
        <v>3821</v>
      </c>
      <c r="H158" s="274" t="s">
        <v>3822</v>
      </c>
      <c r="I158" s="271"/>
      <c r="J158" s="274" t="s">
        <v>3822</v>
      </c>
      <c r="K158" s="271" t="s">
        <v>3823</v>
      </c>
      <c r="L158" s="271" t="s">
        <v>3820</v>
      </c>
      <c r="M158" s="271">
        <v>2024</v>
      </c>
      <c r="N158" s="276">
        <v>45578.300486111111</v>
      </c>
      <c r="O158" s="271"/>
      <c r="P158" s="271"/>
      <c r="Q158" s="271"/>
      <c r="R158" s="271"/>
      <c r="S158" s="271"/>
      <c r="T158" s="271"/>
      <c r="U158" s="271"/>
    </row>
    <row r="159" spans="1:24" ht="13" hidden="1" customHeight="1">
      <c r="A159" s="298" t="s">
        <v>3824</v>
      </c>
      <c r="B159" s="271">
        <v>2024</v>
      </c>
      <c r="C159" s="271" t="s">
        <v>3825</v>
      </c>
      <c r="D159" s="272" t="s">
        <v>3826</v>
      </c>
      <c r="E159" s="271" t="s">
        <v>2824</v>
      </c>
      <c r="F159" s="273" t="s">
        <v>3812</v>
      </c>
      <c r="G159" s="271"/>
      <c r="H159" s="271"/>
      <c r="I159" s="271"/>
      <c r="J159" s="274" t="s">
        <v>3827</v>
      </c>
      <c r="K159" s="271" t="s">
        <v>3828</v>
      </c>
      <c r="L159" s="271" t="s">
        <v>3824</v>
      </c>
      <c r="M159" s="271">
        <v>2024</v>
      </c>
      <c r="N159" s="276">
        <v>45569.468530092592</v>
      </c>
      <c r="O159" s="271"/>
      <c r="P159" s="271"/>
      <c r="Q159" s="271"/>
      <c r="R159" s="271"/>
      <c r="S159" s="271"/>
      <c r="T159" s="271"/>
      <c r="U159" s="271"/>
    </row>
    <row r="160" spans="1:24" ht="13" hidden="1" customHeight="1">
      <c r="A160" s="263"/>
      <c r="B160" s="247"/>
      <c r="C160" s="247"/>
      <c r="D160" s="287"/>
      <c r="E160" s="247"/>
      <c r="F160" s="288"/>
      <c r="G160" s="247"/>
      <c r="H160" s="247"/>
      <c r="I160" s="247"/>
      <c r="J160" s="247"/>
      <c r="K160" s="247"/>
      <c r="L160" s="247"/>
      <c r="M160" s="247"/>
      <c r="N160" s="247"/>
      <c r="O160" s="247"/>
      <c r="P160" s="247"/>
      <c r="Q160" s="247"/>
      <c r="R160" s="247"/>
      <c r="S160" s="247"/>
      <c r="T160" s="247"/>
      <c r="U160" s="247"/>
    </row>
    <row r="161" spans="1:21" ht="13" hidden="1" customHeight="1">
      <c r="A161" s="263"/>
      <c r="B161" s="247"/>
      <c r="C161" s="247"/>
      <c r="D161" s="287"/>
      <c r="E161" s="247"/>
      <c r="F161" s="288"/>
      <c r="G161" s="247"/>
      <c r="H161" s="247"/>
      <c r="I161" s="247"/>
      <c r="J161" s="247"/>
      <c r="K161" s="247"/>
      <c r="L161" s="247"/>
      <c r="M161" s="247"/>
      <c r="N161" s="247"/>
      <c r="O161" s="247"/>
      <c r="P161" s="247"/>
      <c r="Q161" s="247"/>
      <c r="R161" s="247"/>
      <c r="S161" s="247"/>
      <c r="T161" s="247"/>
      <c r="U161" s="247"/>
    </row>
    <row r="162" spans="1:21" ht="13" hidden="1" customHeight="1">
      <c r="A162" s="263"/>
      <c r="B162" s="247"/>
      <c r="C162" s="247"/>
      <c r="D162" s="287"/>
      <c r="E162" s="247"/>
      <c r="F162" s="288"/>
      <c r="G162" s="247"/>
      <c r="H162" s="247"/>
      <c r="I162" s="247"/>
      <c r="J162" s="247"/>
      <c r="K162" s="247"/>
      <c r="L162" s="247"/>
      <c r="M162" s="247"/>
      <c r="N162" s="247"/>
      <c r="O162" s="247"/>
      <c r="P162" s="247"/>
      <c r="Q162" s="247"/>
      <c r="R162" s="247"/>
      <c r="S162" s="247"/>
      <c r="T162" s="247"/>
      <c r="U162" s="247"/>
    </row>
    <row r="163" spans="1:21" ht="13" hidden="1" customHeight="1">
      <c r="A163" s="263"/>
      <c r="B163" s="247"/>
      <c r="C163" s="247"/>
      <c r="D163" s="287"/>
      <c r="E163" s="247"/>
      <c r="F163" s="288"/>
      <c r="G163" s="247"/>
      <c r="H163" s="247"/>
      <c r="I163" s="247"/>
      <c r="J163" s="247"/>
      <c r="K163" s="247"/>
      <c r="L163" s="247"/>
      <c r="M163" s="247"/>
      <c r="N163" s="247"/>
      <c r="O163" s="247"/>
      <c r="P163" s="247"/>
      <c r="Q163" s="247"/>
      <c r="R163" s="247"/>
      <c r="S163" s="247"/>
      <c r="T163" s="247"/>
      <c r="U163" s="247"/>
    </row>
    <row r="164" spans="1:21" ht="13" hidden="1" customHeight="1">
      <c r="A164" s="263"/>
      <c r="B164" s="247"/>
      <c r="C164" s="247"/>
      <c r="D164" s="287"/>
      <c r="E164" s="247"/>
      <c r="F164" s="288"/>
      <c r="G164" s="247"/>
      <c r="H164" s="247"/>
      <c r="I164" s="247"/>
      <c r="J164" s="247"/>
      <c r="K164" s="247"/>
      <c r="L164" s="247"/>
      <c r="M164" s="247"/>
      <c r="N164" s="247"/>
      <c r="O164" s="247"/>
      <c r="P164" s="247"/>
      <c r="Q164" s="247"/>
      <c r="R164" s="247"/>
      <c r="S164" s="247"/>
      <c r="T164" s="247"/>
      <c r="U164" s="247"/>
    </row>
    <row r="165" spans="1:21" ht="13" hidden="1" customHeight="1">
      <c r="A165" s="263"/>
      <c r="B165" s="247"/>
      <c r="C165" s="247"/>
      <c r="D165" s="287"/>
      <c r="E165" s="247"/>
      <c r="F165" s="288"/>
      <c r="G165" s="247"/>
      <c r="H165" s="247"/>
      <c r="I165" s="247"/>
      <c r="J165" s="247"/>
      <c r="K165" s="247"/>
      <c r="L165" s="247"/>
      <c r="M165" s="247"/>
      <c r="N165" s="247"/>
      <c r="O165" s="247"/>
      <c r="P165" s="247"/>
      <c r="Q165" s="247"/>
      <c r="R165" s="247"/>
      <c r="S165" s="247"/>
      <c r="T165" s="247"/>
      <c r="U165" s="247"/>
    </row>
    <row r="166" spans="1:21" ht="13" hidden="1" customHeight="1">
      <c r="A166" s="263"/>
      <c r="B166" s="247"/>
      <c r="C166" s="247"/>
      <c r="D166" s="287"/>
      <c r="E166" s="247"/>
      <c r="F166" s="288"/>
      <c r="G166" s="247"/>
      <c r="H166" s="247"/>
      <c r="I166" s="247"/>
      <c r="J166" s="247"/>
      <c r="K166" s="247"/>
      <c r="L166" s="247"/>
      <c r="M166" s="247"/>
      <c r="N166" s="247"/>
      <c r="O166" s="247"/>
      <c r="P166" s="247"/>
      <c r="Q166" s="247"/>
      <c r="R166" s="247"/>
      <c r="S166" s="247"/>
      <c r="T166" s="247"/>
      <c r="U166" s="247"/>
    </row>
    <row r="167" spans="1:21" ht="13" hidden="1" customHeight="1">
      <c r="A167" s="263"/>
      <c r="B167" s="247"/>
      <c r="C167" s="247"/>
      <c r="D167" s="287"/>
      <c r="E167" s="247"/>
      <c r="F167" s="288"/>
      <c r="G167" s="247"/>
      <c r="H167" s="247"/>
      <c r="I167" s="247"/>
      <c r="J167" s="247"/>
      <c r="K167" s="247"/>
      <c r="L167" s="247"/>
      <c r="M167" s="247"/>
      <c r="N167" s="247"/>
      <c r="O167" s="247"/>
      <c r="P167" s="247"/>
      <c r="Q167" s="247"/>
      <c r="R167" s="247"/>
      <c r="S167" s="247"/>
      <c r="T167" s="247"/>
      <c r="U167" s="247"/>
    </row>
    <row r="168" spans="1:21" ht="13" hidden="1" customHeight="1">
      <c r="A168" s="263"/>
      <c r="B168" s="247"/>
      <c r="C168" s="247"/>
      <c r="D168" s="287"/>
      <c r="E168" s="247"/>
      <c r="F168" s="288"/>
      <c r="G168" s="247"/>
      <c r="H168" s="247"/>
      <c r="I168" s="247"/>
      <c r="J168" s="247"/>
      <c r="K168" s="247"/>
      <c r="L168" s="247"/>
      <c r="M168" s="247"/>
      <c r="N168" s="247"/>
      <c r="O168" s="247"/>
      <c r="P168" s="247"/>
      <c r="Q168" s="247"/>
      <c r="R168" s="247"/>
      <c r="S168" s="247"/>
      <c r="T168" s="247"/>
      <c r="U168" s="247"/>
    </row>
    <row r="169" spans="1:21" ht="13" hidden="1" customHeight="1">
      <c r="A169" s="263"/>
      <c r="B169" s="247"/>
      <c r="C169" s="247"/>
      <c r="D169" s="287"/>
      <c r="E169" s="247"/>
      <c r="F169" s="288"/>
      <c r="G169" s="247"/>
      <c r="H169" s="247"/>
      <c r="I169" s="247"/>
      <c r="J169" s="247"/>
      <c r="K169" s="247"/>
      <c r="L169" s="247"/>
      <c r="M169" s="247"/>
      <c r="N169" s="247"/>
      <c r="O169" s="247"/>
      <c r="P169" s="247"/>
      <c r="Q169" s="247"/>
      <c r="R169" s="247"/>
      <c r="S169" s="247"/>
      <c r="T169" s="247"/>
      <c r="U169" s="247"/>
    </row>
    <row r="170" spans="1:21" ht="13" hidden="1" customHeight="1">
      <c r="A170" s="263"/>
      <c r="B170" s="247"/>
      <c r="C170" s="247"/>
      <c r="D170" s="287"/>
      <c r="E170" s="247"/>
      <c r="F170" s="288"/>
      <c r="G170" s="247"/>
      <c r="H170" s="247"/>
      <c r="I170" s="247"/>
      <c r="J170" s="247"/>
      <c r="K170" s="247"/>
      <c r="L170" s="247"/>
      <c r="M170" s="247"/>
      <c r="N170" s="247"/>
      <c r="O170" s="247"/>
      <c r="P170" s="247"/>
      <c r="Q170" s="247"/>
      <c r="R170" s="247"/>
      <c r="S170" s="247"/>
      <c r="T170" s="247"/>
      <c r="U170" s="247"/>
    </row>
    <row r="171" spans="1:21" ht="13" hidden="1" customHeight="1">
      <c r="A171" s="263"/>
      <c r="B171" s="247"/>
      <c r="C171" s="247"/>
      <c r="D171" s="287"/>
      <c r="E171" s="247"/>
      <c r="F171" s="288"/>
      <c r="G171" s="247"/>
      <c r="H171" s="247"/>
      <c r="I171" s="247"/>
      <c r="J171" s="247"/>
      <c r="K171" s="247"/>
      <c r="L171" s="247"/>
      <c r="M171" s="247"/>
      <c r="N171" s="247"/>
      <c r="O171" s="247"/>
      <c r="P171" s="247"/>
      <c r="Q171" s="247"/>
      <c r="R171" s="247"/>
      <c r="S171" s="247"/>
      <c r="T171" s="247"/>
      <c r="U171" s="247"/>
    </row>
    <row r="172" spans="1:21" ht="13" hidden="1" customHeight="1">
      <c r="A172" s="263"/>
      <c r="B172" s="247"/>
      <c r="C172" s="247"/>
      <c r="D172" s="287"/>
      <c r="E172" s="247"/>
      <c r="F172" s="288"/>
      <c r="G172" s="247"/>
      <c r="H172" s="247"/>
      <c r="I172" s="247"/>
      <c r="J172" s="247"/>
      <c r="K172" s="247"/>
      <c r="L172" s="247"/>
      <c r="M172" s="247"/>
      <c r="N172" s="247"/>
      <c r="O172" s="247"/>
      <c r="P172" s="247"/>
      <c r="Q172" s="247"/>
      <c r="R172" s="247"/>
      <c r="S172" s="247"/>
      <c r="T172" s="247"/>
      <c r="U172" s="247"/>
    </row>
    <row r="173" spans="1:21" ht="13" hidden="1" customHeight="1">
      <c r="A173" s="263"/>
      <c r="B173" s="247"/>
      <c r="C173" s="247"/>
      <c r="D173" s="287"/>
      <c r="E173" s="247"/>
      <c r="F173" s="288"/>
      <c r="G173" s="247"/>
      <c r="H173" s="247"/>
      <c r="I173" s="247"/>
      <c r="J173" s="247"/>
      <c r="K173" s="247"/>
      <c r="L173" s="247"/>
      <c r="M173" s="247"/>
      <c r="N173" s="247"/>
      <c r="O173" s="247"/>
      <c r="P173" s="247"/>
      <c r="Q173" s="247"/>
      <c r="R173" s="247"/>
      <c r="S173" s="247"/>
      <c r="T173" s="247"/>
      <c r="U173" s="247"/>
    </row>
    <row r="174" spans="1:21" ht="13" hidden="1" customHeight="1">
      <c r="A174" s="263"/>
      <c r="B174" s="247"/>
      <c r="C174" s="247"/>
      <c r="D174" s="287"/>
      <c r="E174" s="247"/>
      <c r="F174" s="288"/>
      <c r="G174" s="247"/>
      <c r="H174" s="247"/>
      <c r="I174" s="247"/>
      <c r="J174" s="247"/>
      <c r="K174" s="247"/>
      <c r="L174" s="247"/>
      <c r="M174" s="247"/>
      <c r="N174" s="247"/>
      <c r="O174" s="247"/>
      <c r="P174" s="247"/>
      <c r="Q174" s="247"/>
      <c r="R174" s="247"/>
      <c r="S174" s="247"/>
      <c r="T174" s="247"/>
      <c r="U174" s="247"/>
    </row>
    <row r="175" spans="1:21" ht="13" hidden="1" customHeight="1">
      <c r="A175" s="263"/>
      <c r="B175" s="247"/>
      <c r="C175" s="247"/>
      <c r="D175" s="287"/>
      <c r="E175" s="247"/>
      <c r="F175" s="288"/>
      <c r="G175" s="247"/>
      <c r="H175" s="247"/>
      <c r="I175" s="247"/>
      <c r="J175" s="247"/>
      <c r="K175" s="247"/>
      <c r="L175" s="247"/>
      <c r="M175" s="247"/>
      <c r="N175" s="247"/>
      <c r="O175" s="247"/>
      <c r="P175" s="247"/>
      <c r="Q175" s="247"/>
      <c r="R175" s="247"/>
      <c r="S175" s="247"/>
      <c r="T175" s="247"/>
      <c r="U175" s="247"/>
    </row>
    <row r="176" spans="1:21" ht="13" hidden="1" customHeight="1">
      <c r="A176" s="263"/>
      <c r="B176" s="247"/>
      <c r="C176" s="247"/>
      <c r="D176" s="287"/>
      <c r="E176" s="247"/>
      <c r="F176" s="288"/>
      <c r="G176" s="247"/>
      <c r="H176" s="247"/>
      <c r="I176" s="247"/>
      <c r="J176" s="247"/>
      <c r="K176" s="247"/>
      <c r="L176" s="247"/>
      <c r="M176" s="247"/>
      <c r="N176" s="247"/>
      <c r="O176" s="247"/>
      <c r="P176" s="247"/>
      <c r="Q176" s="247"/>
      <c r="R176" s="247"/>
      <c r="S176" s="247"/>
      <c r="T176" s="247"/>
      <c r="U176" s="247"/>
    </row>
    <row r="177" spans="1:21" ht="13" hidden="1" customHeight="1">
      <c r="A177" s="263"/>
      <c r="B177" s="247"/>
      <c r="C177" s="247"/>
      <c r="D177" s="287"/>
      <c r="E177" s="247"/>
      <c r="F177" s="288"/>
      <c r="G177" s="247"/>
      <c r="H177" s="247"/>
      <c r="I177" s="247"/>
      <c r="J177" s="247"/>
      <c r="K177" s="247"/>
      <c r="L177" s="247"/>
      <c r="M177" s="247"/>
      <c r="N177" s="247"/>
      <c r="O177" s="247"/>
      <c r="P177" s="247"/>
      <c r="Q177" s="247"/>
      <c r="R177" s="247"/>
      <c r="S177" s="247"/>
      <c r="T177" s="247"/>
      <c r="U177" s="247"/>
    </row>
    <row r="178" spans="1:21" ht="13" hidden="1" customHeight="1">
      <c r="A178" s="263"/>
      <c r="B178" s="247"/>
      <c r="C178" s="247"/>
      <c r="D178" s="287"/>
      <c r="E178" s="247"/>
      <c r="F178" s="288"/>
      <c r="G178" s="247"/>
      <c r="H178" s="247"/>
      <c r="I178" s="247"/>
      <c r="J178" s="247"/>
      <c r="K178" s="247"/>
      <c r="L178" s="247"/>
      <c r="M178" s="247"/>
      <c r="N178" s="247"/>
      <c r="O178" s="247"/>
      <c r="P178" s="247"/>
      <c r="Q178" s="247"/>
      <c r="R178" s="247"/>
      <c r="S178" s="247"/>
      <c r="T178" s="247"/>
      <c r="U178" s="247"/>
    </row>
    <row r="179" spans="1:21" ht="13" hidden="1" customHeight="1">
      <c r="A179" s="263"/>
      <c r="B179" s="247"/>
      <c r="C179" s="247"/>
      <c r="D179" s="287"/>
      <c r="E179" s="247"/>
      <c r="F179" s="288"/>
      <c r="G179" s="247"/>
      <c r="H179" s="247"/>
      <c r="I179" s="247"/>
      <c r="J179" s="247"/>
      <c r="K179" s="247"/>
      <c r="L179" s="247"/>
      <c r="M179" s="247"/>
      <c r="N179" s="247"/>
      <c r="O179" s="247"/>
      <c r="P179" s="247"/>
      <c r="Q179" s="247"/>
      <c r="R179" s="247"/>
      <c r="S179" s="247"/>
      <c r="T179" s="247"/>
      <c r="U179" s="247"/>
    </row>
    <row r="180" spans="1:21" ht="13" hidden="1" customHeight="1">
      <c r="A180" s="263"/>
      <c r="B180" s="247"/>
      <c r="C180" s="247"/>
      <c r="D180" s="287"/>
      <c r="E180" s="247"/>
      <c r="F180" s="288"/>
      <c r="G180" s="247"/>
      <c r="H180" s="247"/>
      <c r="I180" s="247"/>
      <c r="J180" s="247"/>
      <c r="K180" s="247"/>
      <c r="L180" s="247"/>
      <c r="M180" s="247"/>
      <c r="N180" s="247"/>
      <c r="O180" s="247"/>
      <c r="P180" s="247"/>
      <c r="Q180" s="247"/>
      <c r="R180" s="247"/>
      <c r="S180" s="247"/>
      <c r="T180" s="247"/>
      <c r="U180" s="247"/>
    </row>
    <row r="181" spans="1:21" ht="13" hidden="1" customHeight="1">
      <c r="A181" s="263"/>
      <c r="B181" s="247"/>
      <c r="C181" s="247"/>
      <c r="D181" s="287"/>
      <c r="E181" s="247"/>
      <c r="F181" s="288"/>
      <c r="G181" s="247"/>
      <c r="H181" s="247"/>
      <c r="I181" s="247"/>
      <c r="J181" s="247"/>
      <c r="K181" s="247"/>
      <c r="L181" s="247"/>
      <c r="M181" s="247"/>
      <c r="N181" s="247"/>
      <c r="O181" s="247"/>
      <c r="P181" s="247"/>
      <c r="Q181" s="247"/>
      <c r="R181" s="247"/>
      <c r="S181" s="247"/>
      <c r="T181" s="247"/>
      <c r="U181" s="247"/>
    </row>
    <row r="182" spans="1:21" ht="13" hidden="1" customHeight="1">
      <c r="A182" s="263"/>
      <c r="B182" s="247"/>
      <c r="C182" s="247"/>
      <c r="D182" s="287"/>
      <c r="E182" s="247"/>
      <c r="F182" s="288"/>
      <c r="G182" s="247"/>
      <c r="H182" s="247"/>
      <c r="I182" s="247"/>
      <c r="J182" s="247"/>
      <c r="K182" s="247"/>
      <c r="L182" s="247"/>
      <c r="M182" s="247"/>
      <c r="N182" s="247"/>
      <c r="O182" s="247"/>
      <c r="P182" s="247"/>
      <c r="Q182" s="247"/>
      <c r="R182" s="247"/>
      <c r="S182" s="247"/>
      <c r="T182" s="247"/>
      <c r="U182" s="247"/>
    </row>
    <row r="183" spans="1:21" ht="13" hidden="1" customHeight="1">
      <c r="A183" s="263"/>
      <c r="B183" s="247"/>
      <c r="C183" s="247"/>
      <c r="D183" s="287"/>
      <c r="E183" s="247"/>
      <c r="F183" s="288"/>
      <c r="G183" s="247"/>
      <c r="H183" s="247"/>
      <c r="I183" s="247"/>
      <c r="J183" s="247"/>
      <c r="K183" s="247"/>
      <c r="L183" s="247"/>
      <c r="M183" s="247"/>
      <c r="N183" s="247"/>
      <c r="O183" s="247"/>
      <c r="P183" s="247"/>
      <c r="Q183" s="247"/>
      <c r="R183" s="247"/>
      <c r="S183" s="247"/>
      <c r="T183" s="247"/>
      <c r="U183" s="247"/>
    </row>
    <row r="184" spans="1:21" ht="13" hidden="1" customHeight="1">
      <c r="A184" s="263"/>
      <c r="B184" s="247"/>
      <c r="C184" s="247"/>
      <c r="D184" s="287"/>
      <c r="E184" s="247"/>
      <c r="F184" s="288"/>
      <c r="G184" s="247"/>
      <c r="H184" s="247"/>
      <c r="I184" s="247"/>
      <c r="J184" s="247"/>
      <c r="K184" s="247"/>
      <c r="L184" s="247"/>
      <c r="M184" s="247"/>
      <c r="N184" s="247"/>
      <c r="O184" s="247"/>
      <c r="P184" s="247"/>
      <c r="Q184" s="247"/>
      <c r="R184" s="247"/>
      <c r="S184" s="247"/>
      <c r="T184" s="247"/>
      <c r="U184" s="247"/>
    </row>
    <row r="185" spans="1:21" ht="13" hidden="1" customHeight="1">
      <c r="A185" s="263"/>
      <c r="B185" s="247"/>
      <c r="C185" s="247"/>
      <c r="D185" s="287"/>
      <c r="E185" s="247"/>
      <c r="F185" s="288"/>
      <c r="G185" s="247"/>
      <c r="H185" s="247"/>
      <c r="I185" s="247"/>
      <c r="J185" s="247"/>
      <c r="K185" s="247"/>
      <c r="L185" s="247"/>
      <c r="M185" s="247"/>
      <c r="N185" s="247"/>
      <c r="O185" s="247"/>
      <c r="P185" s="247"/>
      <c r="Q185" s="247"/>
      <c r="R185" s="247"/>
      <c r="S185" s="247"/>
      <c r="T185" s="247"/>
      <c r="U185" s="247"/>
    </row>
    <row r="186" spans="1:21" ht="13" hidden="1" customHeight="1">
      <c r="A186" s="263"/>
      <c r="B186" s="247"/>
      <c r="C186" s="247"/>
      <c r="D186" s="287"/>
      <c r="E186" s="247"/>
      <c r="F186" s="288"/>
      <c r="G186" s="247"/>
      <c r="H186" s="247"/>
      <c r="I186" s="247"/>
      <c r="J186" s="247"/>
      <c r="K186" s="247"/>
      <c r="L186" s="247"/>
      <c r="M186" s="247"/>
      <c r="N186" s="247"/>
      <c r="O186" s="247"/>
      <c r="P186" s="247"/>
      <c r="Q186" s="247"/>
      <c r="R186" s="247"/>
      <c r="S186" s="247"/>
      <c r="T186" s="247"/>
      <c r="U186" s="247"/>
    </row>
    <row r="187" spans="1:21" ht="13" hidden="1" customHeight="1">
      <c r="A187" s="263"/>
      <c r="B187" s="247"/>
      <c r="C187" s="247"/>
      <c r="D187" s="287"/>
      <c r="E187" s="247"/>
      <c r="F187" s="288"/>
      <c r="G187" s="247"/>
      <c r="H187" s="247"/>
      <c r="I187" s="247"/>
      <c r="J187" s="247"/>
      <c r="K187" s="247"/>
      <c r="L187" s="247"/>
      <c r="M187" s="247"/>
      <c r="N187" s="247"/>
      <c r="O187" s="247"/>
      <c r="P187" s="247"/>
      <c r="Q187" s="247"/>
      <c r="R187" s="247"/>
      <c r="S187" s="247"/>
      <c r="T187" s="247"/>
      <c r="U187" s="247"/>
    </row>
    <row r="188" spans="1:21" ht="13" hidden="1" customHeight="1">
      <c r="A188" s="263"/>
      <c r="B188" s="247"/>
      <c r="C188" s="247"/>
      <c r="D188" s="287"/>
      <c r="E188" s="247"/>
      <c r="F188" s="288"/>
      <c r="G188" s="247"/>
      <c r="H188" s="247"/>
      <c r="I188" s="247"/>
      <c r="J188" s="247"/>
      <c r="K188" s="247"/>
      <c r="L188" s="247"/>
      <c r="M188" s="247"/>
      <c r="N188" s="247"/>
      <c r="O188" s="247"/>
      <c r="P188" s="247"/>
      <c r="Q188" s="247"/>
      <c r="R188" s="247"/>
      <c r="S188" s="247"/>
      <c r="T188" s="247"/>
      <c r="U188" s="247"/>
    </row>
    <row r="189" spans="1:21" ht="13" hidden="1" customHeight="1">
      <c r="A189" s="263"/>
      <c r="B189" s="247"/>
      <c r="C189" s="247"/>
      <c r="D189" s="287"/>
      <c r="E189" s="247"/>
      <c r="F189" s="288"/>
      <c r="G189" s="247"/>
      <c r="H189" s="247"/>
      <c r="I189" s="247"/>
      <c r="J189" s="247"/>
      <c r="K189" s="247"/>
      <c r="L189" s="247"/>
      <c r="M189" s="247"/>
      <c r="N189" s="247"/>
      <c r="O189" s="247"/>
      <c r="P189" s="247"/>
      <c r="Q189" s="247"/>
      <c r="R189" s="247"/>
      <c r="S189" s="247"/>
      <c r="T189" s="247"/>
      <c r="U189" s="247"/>
    </row>
    <row r="190" spans="1:21" ht="13" hidden="1" customHeight="1">
      <c r="A190" s="263"/>
      <c r="B190" s="247"/>
      <c r="C190" s="247"/>
      <c r="D190" s="287"/>
      <c r="E190" s="247"/>
      <c r="F190" s="288"/>
      <c r="G190" s="247"/>
      <c r="H190" s="247"/>
      <c r="I190" s="247"/>
      <c r="J190" s="247"/>
      <c r="K190" s="247"/>
      <c r="L190" s="247"/>
      <c r="M190" s="247"/>
      <c r="N190" s="247"/>
      <c r="O190" s="247"/>
      <c r="P190" s="247"/>
      <c r="Q190" s="247"/>
      <c r="R190" s="247"/>
      <c r="S190" s="247"/>
      <c r="T190" s="247"/>
      <c r="U190" s="247"/>
    </row>
    <row r="191" spans="1:21" ht="13" hidden="1" customHeight="1">
      <c r="A191" s="263"/>
      <c r="B191" s="247"/>
      <c r="C191" s="247"/>
      <c r="D191" s="287"/>
      <c r="E191" s="247"/>
      <c r="F191" s="288"/>
      <c r="G191" s="247"/>
      <c r="H191" s="247"/>
      <c r="I191" s="247"/>
      <c r="J191" s="247"/>
      <c r="K191" s="247"/>
      <c r="L191" s="247"/>
      <c r="M191" s="247"/>
      <c r="N191" s="247"/>
      <c r="O191" s="247"/>
      <c r="P191" s="247"/>
      <c r="Q191" s="247"/>
      <c r="R191" s="247"/>
      <c r="S191" s="247"/>
      <c r="T191" s="247"/>
      <c r="U191" s="247"/>
    </row>
    <row r="192" spans="1:21" ht="13" hidden="1" customHeight="1">
      <c r="A192" s="263"/>
      <c r="B192" s="247"/>
      <c r="C192" s="247"/>
      <c r="D192" s="287"/>
      <c r="E192" s="247"/>
      <c r="F192" s="288"/>
      <c r="G192" s="247"/>
      <c r="H192" s="247"/>
      <c r="I192" s="247"/>
      <c r="J192" s="247"/>
      <c r="K192" s="247"/>
      <c r="L192" s="247"/>
      <c r="M192" s="247"/>
      <c r="N192" s="247"/>
      <c r="O192" s="247"/>
      <c r="P192" s="247"/>
      <c r="Q192" s="247"/>
      <c r="R192" s="247"/>
      <c r="S192" s="247"/>
      <c r="T192" s="247"/>
      <c r="U192" s="247"/>
    </row>
    <row r="193" spans="1:21" ht="13" hidden="1" customHeight="1">
      <c r="A193" s="263"/>
      <c r="B193" s="247"/>
      <c r="C193" s="247"/>
      <c r="D193" s="287"/>
      <c r="E193" s="247"/>
      <c r="F193" s="288"/>
      <c r="G193" s="247"/>
      <c r="H193" s="247"/>
      <c r="I193" s="247"/>
      <c r="J193" s="247"/>
      <c r="K193" s="247"/>
      <c r="L193" s="247"/>
      <c r="M193" s="247"/>
      <c r="N193" s="247"/>
      <c r="O193" s="247"/>
      <c r="P193" s="247"/>
      <c r="Q193" s="247"/>
      <c r="R193" s="247"/>
      <c r="S193" s="247"/>
      <c r="T193" s="247"/>
      <c r="U193" s="247"/>
    </row>
    <row r="194" spans="1:21" ht="13" hidden="1" customHeight="1">
      <c r="A194" s="263"/>
      <c r="B194" s="247"/>
      <c r="C194" s="247"/>
      <c r="D194" s="287"/>
      <c r="E194" s="247"/>
      <c r="F194" s="288"/>
      <c r="G194" s="247"/>
      <c r="H194" s="247"/>
      <c r="I194" s="247"/>
      <c r="J194" s="247"/>
      <c r="K194" s="247"/>
      <c r="L194" s="247"/>
      <c r="M194" s="247"/>
      <c r="N194" s="247"/>
      <c r="O194" s="247"/>
      <c r="P194" s="247"/>
      <c r="Q194" s="247"/>
      <c r="R194" s="247"/>
      <c r="S194" s="247"/>
      <c r="T194" s="247"/>
      <c r="U194" s="247"/>
    </row>
    <row r="195" spans="1:21" ht="13" hidden="1" customHeight="1">
      <c r="A195" s="263"/>
      <c r="B195" s="247"/>
      <c r="C195" s="247"/>
      <c r="D195" s="287"/>
      <c r="E195" s="247"/>
      <c r="F195" s="288"/>
      <c r="G195" s="247"/>
      <c r="H195" s="247"/>
      <c r="I195" s="247"/>
      <c r="J195" s="247"/>
      <c r="K195" s="247"/>
      <c r="L195" s="247"/>
      <c r="M195" s="247"/>
      <c r="N195" s="247"/>
      <c r="O195" s="247"/>
      <c r="P195" s="247"/>
      <c r="Q195" s="247"/>
      <c r="R195" s="247"/>
      <c r="S195" s="247"/>
      <c r="T195" s="247"/>
      <c r="U195" s="247"/>
    </row>
    <row r="196" spans="1:21" ht="13" hidden="1" customHeight="1">
      <c r="A196" s="263"/>
      <c r="B196" s="247"/>
      <c r="C196" s="247"/>
      <c r="D196" s="287"/>
      <c r="E196" s="247"/>
      <c r="F196" s="288"/>
      <c r="G196" s="247"/>
      <c r="H196" s="247"/>
      <c r="I196" s="247"/>
      <c r="J196" s="247"/>
      <c r="K196" s="247"/>
      <c r="L196" s="247"/>
      <c r="M196" s="247"/>
      <c r="N196" s="247"/>
      <c r="O196" s="247"/>
      <c r="P196" s="247"/>
      <c r="Q196" s="247"/>
      <c r="R196" s="247"/>
      <c r="S196" s="247"/>
      <c r="T196" s="247"/>
      <c r="U196" s="247"/>
    </row>
    <row r="197" spans="1:21" ht="13" hidden="1" customHeight="1">
      <c r="A197" s="263"/>
      <c r="B197" s="247"/>
      <c r="C197" s="247"/>
      <c r="D197" s="287"/>
      <c r="E197" s="247"/>
      <c r="F197" s="288"/>
      <c r="G197" s="247"/>
      <c r="H197" s="247"/>
      <c r="I197" s="247"/>
      <c r="J197" s="247"/>
      <c r="K197" s="247"/>
      <c r="L197" s="247"/>
      <c r="M197" s="247"/>
      <c r="N197" s="247"/>
      <c r="O197" s="247"/>
      <c r="P197" s="247"/>
      <c r="Q197" s="247"/>
      <c r="R197" s="247"/>
      <c r="S197" s="247"/>
      <c r="T197" s="247"/>
      <c r="U197" s="247"/>
    </row>
    <row r="198" spans="1:21" ht="13" hidden="1" customHeight="1">
      <c r="A198" s="263"/>
      <c r="B198" s="247"/>
      <c r="C198" s="247"/>
      <c r="D198" s="287"/>
      <c r="E198" s="247"/>
      <c r="F198" s="288"/>
      <c r="G198" s="247"/>
      <c r="H198" s="247"/>
      <c r="I198" s="247"/>
      <c r="J198" s="247"/>
      <c r="K198" s="247"/>
      <c r="L198" s="247"/>
      <c r="M198" s="247"/>
      <c r="N198" s="247"/>
      <c r="O198" s="247"/>
      <c r="P198" s="247"/>
      <c r="Q198" s="247"/>
      <c r="R198" s="247"/>
      <c r="S198" s="247"/>
      <c r="T198" s="247"/>
      <c r="U198" s="247"/>
    </row>
    <row r="199" spans="1:21" ht="13" hidden="1" customHeight="1">
      <c r="A199" s="263"/>
      <c r="B199" s="247"/>
      <c r="C199" s="247"/>
      <c r="D199" s="287"/>
      <c r="E199" s="247"/>
      <c r="F199" s="288"/>
      <c r="G199" s="247"/>
      <c r="H199" s="247"/>
      <c r="I199" s="247"/>
      <c r="J199" s="247"/>
      <c r="K199" s="247"/>
      <c r="L199" s="247"/>
      <c r="M199" s="247"/>
      <c r="N199" s="247"/>
      <c r="O199" s="247"/>
      <c r="P199" s="247"/>
      <c r="Q199" s="247"/>
      <c r="R199" s="247"/>
      <c r="S199" s="247"/>
      <c r="T199" s="247"/>
      <c r="U199" s="247"/>
    </row>
    <row r="200" spans="1:21" ht="13" hidden="1" customHeight="1">
      <c r="A200" s="263"/>
      <c r="B200" s="247"/>
      <c r="C200" s="247"/>
      <c r="D200" s="287"/>
      <c r="E200" s="247"/>
      <c r="F200" s="288"/>
      <c r="G200" s="247"/>
      <c r="H200" s="247"/>
      <c r="I200" s="247"/>
      <c r="J200" s="247"/>
      <c r="K200" s="247"/>
      <c r="L200" s="247"/>
      <c r="M200" s="247"/>
      <c r="N200" s="247"/>
      <c r="O200" s="247"/>
      <c r="P200" s="247"/>
      <c r="Q200" s="247"/>
      <c r="R200" s="247"/>
      <c r="S200" s="247"/>
      <c r="T200" s="247"/>
      <c r="U200" s="247"/>
    </row>
    <row r="201" spans="1:21" ht="13" hidden="1" customHeight="1">
      <c r="A201" s="263"/>
      <c r="B201" s="247"/>
      <c r="C201" s="247"/>
      <c r="D201" s="287"/>
      <c r="E201" s="247"/>
      <c r="F201" s="288"/>
      <c r="G201" s="247"/>
      <c r="H201" s="247"/>
      <c r="I201" s="247"/>
      <c r="J201" s="247"/>
      <c r="K201" s="247"/>
      <c r="L201" s="247"/>
      <c r="M201" s="247"/>
      <c r="N201" s="247"/>
      <c r="O201" s="247"/>
      <c r="P201" s="247"/>
      <c r="Q201" s="247"/>
      <c r="R201" s="247"/>
      <c r="S201" s="247"/>
      <c r="T201" s="247"/>
      <c r="U201" s="247"/>
    </row>
    <row r="202" spans="1:21" ht="13" hidden="1" customHeight="1">
      <c r="A202" s="263"/>
      <c r="B202" s="247"/>
      <c r="C202" s="247"/>
      <c r="D202" s="287"/>
      <c r="E202" s="247"/>
      <c r="F202" s="288"/>
      <c r="G202" s="247"/>
      <c r="H202" s="247"/>
      <c r="I202" s="247"/>
      <c r="J202" s="247"/>
      <c r="K202" s="247"/>
      <c r="L202" s="247"/>
      <c r="M202" s="247"/>
      <c r="N202" s="247"/>
      <c r="O202" s="247"/>
      <c r="P202" s="247"/>
      <c r="Q202" s="247"/>
      <c r="R202" s="247"/>
      <c r="S202" s="247"/>
      <c r="T202" s="247"/>
      <c r="U202" s="247"/>
    </row>
    <row r="203" spans="1:21" ht="13" hidden="1" customHeight="1">
      <c r="A203" s="263"/>
      <c r="B203" s="247"/>
      <c r="C203" s="247"/>
      <c r="D203" s="287"/>
      <c r="E203" s="247"/>
      <c r="F203" s="288"/>
      <c r="G203" s="247"/>
      <c r="H203" s="247"/>
      <c r="I203" s="247"/>
      <c r="J203" s="247"/>
      <c r="K203" s="247"/>
      <c r="L203" s="247"/>
      <c r="M203" s="247"/>
      <c r="N203" s="247"/>
      <c r="O203" s="247"/>
      <c r="P203" s="247"/>
      <c r="Q203" s="247"/>
      <c r="R203" s="247"/>
      <c r="S203" s="247"/>
      <c r="T203" s="247"/>
      <c r="U203" s="247"/>
    </row>
    <row r="204" spans="1:21" ht="13" hidden="1" customHeight="1">
      <c r="A204" s="263"/>
      <c r="B204" s="247"/>
      <c r="C204" s="247"/>
      <c r="D204" s="287"/>
      <c r="E204" s="247"/>
      <c r="F204" s="288"/>
      <c r="G204" s="247"/>
      <c r="H204" s="247"/>
      <c r="I204" s="247"/>
      <c r="J204" s="247"/>
      <c r="K204" s="247"/>
      <c r="L204" s="247"/>
      <c r="M204" s="247"/>
      <c r="N204" s="247"/>
      <c r="O204" s="247"/>
      <c r="P204" s="247"/>
      <c r="Q204" s="247"/>
      <c r="R204" s="247"/>
      <c r="S204" s="247"/>
      <c r="T204" s="247"/>
      <c r="U204" s="247"/>
    </row>
    <row r="205" spans="1:21" ht="13" hidden="1" customHeight="1">
      <c r="A205" s="263"/>
      <c r="B205" s="247"/>
      <c r="C205" s="247"/>
      <c r="D205" s="287"/>
      <c r="E205" s="247"/>
      <c r="F205" s="288"/>
      <c r="G205" s="247"/>
      <c r="H205" s="247"/>
      <c r="I205" s="247"/>
      <c r="J205" s="247"/>
      <c r="K205" s="247"/>
      <c r="L205" s="247"/>
      <c r="M205" s="247"/>
      <c r="N205" s="247"/>
      <c r="O205" s="247"/>
      <c r="P205" s="247"/>
      <c r="Q205" s="247"/>
      <c r="R205" s="247"/>
      <c r="S205" s="247"/>
      <c r="T205" s="247"/>
      <c r="U205" s="247"/>
    </row>
    <row r="206" spans="1:21" ht="13" hidden="1" customHeight="1">
      <c r="A206" s="263"/>
      <c r="B206" s="247"/>
      <c r="C206" s="247"/>
      <c r="D206" s="287"/>
      <c r="E206" s="247"/>
      <c r="F206" s="288"/>
      <c r="G206" s="247"/>
      <c r="H206" s="247"/>
      <c r="I206" s="247"/>
      <c r="J206" s="247"/>
      <c r="K206" s="247"/>
      <c r="L206" s="247"/>
      <c r="M206" s="247"/>
      <c r="N206" s="247"/>
      <c r="O206" s="247"/>
      <c r="P206" s="247"/>
      <c r="Q206" s="247"/>
      <c r="R206" s="247"/>
      <c r="S206" s="247"/>
      <c r="T206" s="247"/>
      <c r="U206" s="247"/>
    </row>
    <row r="207" spans="1:21" ht="13" hidden="1" customHeight="1">
      <c r="A207" s="263"/>
      <c r="B207" s="247"/>
      <c r="C207" s="247"/>
      <c r="D207" s="287"/>
      <c r="E207" s="247"/>
      <c r="F207" s="288"/>
      <c r="G207" s="247"/>
      <c r="H207" s="247"/>
      <c r="I207" s="247"/>
      <c r="J207" s="247"/>
      <c r="K207" s="247"/>
      <c r="L207" s="247"/>
      <c r="M207" s="247"/>
      <c r="N207" s="247"/>
      <c r="O207" s="247"/>
      <c r="P207" s="247"/>
      <c r="Q207" s="247"/>
      <c r="R207" s="247"/>
      <c r="S207" s="247"/>
      <c r="T207" s="247"/>
      <c r="U207" s="247"/>
    </row>
    <row r="208" spans="1:21" ht="13" hidden="1" customHeight="1">
      <c r="A208" s="263"/>
      <c r="B208" s="247"/>
      <c r="C208" s="247"/>
      <c r="D208" s="287"/>
      <c r="E208" s="247"/>
      <c r="F208" s="288"/>
      <c r="G208" s="247"/>
      <c r="H208" s="247"/>
      <c r="I208" s="247"/>
      <c r="J208" s="247"/>
      <c r="K208" s="247"/>
      <c r="L208" s="247"/>
      <c r="M208" s="247"/>
      <c r="N208" s="247"/>
      <c r="O208" s="247"/>
      <c r="P208" s="247"/>
      <c r="Q208" s="247"/>
      <c r="R208" s="247"/>
      <c r="S208" s="247"/>
      <c r="T208" s="247"/>
      <c r="U208" s="247"/>
    </row>
    <row r="209" spans="1:21" ht="13" hidden="1" customHeight="1">
      <c r="A209" s="263"/>
      <c r="B209" s="247"/>
      <c r="C209" s="247"/>
      <c r="D209" s="287"/>
      <c r="E209" s="247"/>
      <c r="F209" s="288"/>
      <c r="G209" s="247"/>
      <c r="H209" s="247"/>
      <c r="I209" s="247"/>
      <c r="J209" s="247"/>
      <c r="K209" s="247"/>
      <c r="L209" s="247"/>
      <c r="M209" s="247"/>
      <c r="N209" s="247"/>
      <c r="O209" s="247"/>
      <c r="P209" s="247"/>
      <c r="Q209" s="247"/>
      <c r="R209" s="247"/>
      <c r="S209" s="247"/>
      <c r="T209" s="247"/>
      <c r="U209" s="247"/>
    </row>
    <row r="210" spans="1:21" ht="13" hidden="1" customHeight="1">
      <c r="A210" s="263"/>
      <c r="B210" s="247"/>
      <c r="C210" s="247"/>
      <c r="D210" s="287"/>
      <c r="E210" s="247"/>
      <c r="F210" s="288"/>
      <c r="G210" s="247"/>
      <c r="H210" s="247"/>
      <c r="I210" s="247"/>
      <c r="J210" s="247"/>
      <c r="K210" s="247"/>
      <c r="L210" s="247"/>
      <c r="M210" s="247"/>
      <c r="N210" s="247"/>
      <c r="O210" s="247"/>
      <c r="P210" s="247"/>
      <c r="Q210" s="247"/>
      <c r="R210" s="247"/>
      <c r="S210" s="247"/>
      <c r="T210" s="247"/>
      <c r="U210" s="247"/>
    </row>
    <row r="211" spans="1:21" ht="13" hidden="1" customHeight="1">
      <c r="A211" s="263"/>
      <c r="B211" s="247"/>
      <c r="C211" s="247"/>
      <c r="D211" s="287"/>
      <c r="E211" s="247"/>
      <c r="F211" s="288"/>
      <c r="G211" s="247"/>
      <c r="H211" s="247"/>
      <c r="I211" s="247"/>
      <c r="J211" s="247"/>
      <c r="K211" s="247"/>
      <c r="L211" s="247"/>
      <c r="M211" s="247"/>
      <c r="N211" s="247"/>
      <c r="O211" s="247"/>
      <c r="P211" s="247"/>
      <c r="Q211" s="247"/>
      <c r="R211" s="247"/>
      <c r="S211" s="247"/>
      <c r="T211" s="247"/>
      <c r="U211" s="247"/>
    </row>
    <row r="212" spans="1:21" ht="13" hidden="1" customHeight="1">
      <c r="A212" s="263"/>
      <c r="B212" s="247"/>
      <c r="C212" s="247"/>
      <c r="D212" s="287"/>
      <c r="E212" s="247"/>
      <c r="F212" s="288"/>
      <c r="G212" s="247"/>
      <c r="H212" s="247"/>
      <c r="I212" s="247"/>
      <c r="J212" s="247"/>
      <c r="K212" s="247"/>
      <c r="L212" s="247"/>
      <c r="M212" s="247"/>
      <c r="N212" s="247"/>
      <c r="O212" s="247"/>
      <c r="P212" s="247"/>
      <c r="Q212" s="247"/>
      <c r="R212" s="247"/>
      <c r="S212" s="247"/>
      <c r="T212" s="247"/>
      <c r="U212" s="247"/>
    </row>
    <row r="213" spans="1:21" ht="13" hidden="1" customHeight="1">
      <c r="A213" s="263"/>
      <c r="B213" s="247"/>
      <c r="C213" s="247"/>
      <c r="D213" s="287"/>
      <c r="E213" s="247"/>
      <c r="F213" s="288"/>
      <c r="G213" s="247"/>
      <c r="H213" s="247"/>
      <c r="I213" s="247"/>
      <c r="J213" s="247"/>
      <c r="K213" s="247"/>
      <c r="L213" s="247"/>
      <c r="M213" s="247"/>
      <c r="N213" s="247"/>
      <c r="O213" s="247"/>
      <c r="P213" s="247"/>
      <c r="Q213" s="247"/>
      <c r="R213" s="247"/>
      <c r="S213" s="247"/>
      <c r="T213" s="247"/>
      <c r="U213" s="247"/>
    </row>
    <row r="214" spans="1:21" ht="13" hidden="1" customHeight="1">
      <c r="A214" s="263"/>
      <c r="B214" s="247"/>
      <c r="C214" s="247"/>
      <c r="D214" s="287"/>
      <c r="E214" s="247"/>
      <c r="F214" s="288"/>
      <c r="G214" s="247"/>
      <c r="H214" s="247"/>
      <c r="I214" s="247"/>
      <c r="J214" s="247"/>
      <c r="K214" s="247"/>
      <c r="L214" s="247"/>
      <c r="M214" s="247"/>
      <c r="N214" s="247"/>
      <c r="O214" s="247"/>
      <c r="P214" s="247"/>
      <c r="Q214" s="247"/>
      <c r="R214" s="247"/>
      <c r="S214" s="247"/>
      <c r="T214" s="247"/>
      <c r="U214" s="247"/>
    </row>
    <row r="215" spans="1:21" ht="13" hidden="1" customHeight="1">
      <c r="A215" s="263"/>
      <c r="B215" s="247"/>
      <c r="C215" s="247"/>
      <c r="D215" s="287"/>
      <c r="E215" s="247"/>
      <c r="F215" s="288"/>
      <c r="G215" s="247"/>
      <c r="H215" s="247"/>
      <c r="I215" s="247"/>
      <c r="J215" s="247"/>
      <c r="K215" s="247"/>
      <c r="L215" s="247"/>
      <c r="M215" s="247"/>
      <c r="N215" s="247"/>
      <c r="O215" s="247"/>
      <c r="P215" s="247"/>
      <c r="Q215" s="247"/>
      <c r="R215" s="247"/>
      <c r="S215" s="247"/>
      <c r="T215" s="247"/>
      <c r="U215" s="247"/>
    </row>
    <row r="216" spans="1:21" ht="13" hidden="1" customHeight="1">
      <c r="A216" s="263"/>
      <c r="B216" s="247"/>
      <c r="C216" s="247"/>
      <c r="D216" s="287"/>
      <c r="E216" s="247"/>
      <c r="F216" s="288"/>
      <c r="G216" s="247"/>
      <c r="H216" s="247"/>
      <c r="I216" s="247"/>
      <c r="J216" s="247"/>
      <c r="K216" s="247"/>
      <c r="L216" s="247"/>
      <c r="M216" s="247"/>
      <c r="N216" s="247"/>
      <c r="O216" s="247"/>
      <c r="P216" s="247"/>
      <c r="Q216" s="247"/>
      <c r="R216" s="247"/>
      <c r="S216" s="247"/>
      <c r="T216" s="247"/>
      <c r="U216" s="247"/>
    </row>
    <row r="217" spans="1:21" ht="13" hidden="1" customHeight="1">
      <c r="A217" s="263"/>
      <c r="B217" s="247"/>
      <c r="C217" s="247"/>
      <c r="D217" s="287"/>
      <c r="E217" s="247"/>
      <c r="F217" s="288"/>
      <c r="G217" s="247"/>
      <c r="H217" s="247"/>
      <c r="I217" s="247"/>
      <c r="J217" s="247"/>
      <c r="K217" s="247"/>
      <c r="L217" s="247"/>
      <c r="M217" s="247"/>
      <c r="N217" s="247"/>
      <c r="O217" s="247"/>
      <c r="P217" s="247"/>
      <c r="Q217" s="247"/>
      <c r="R217" s="247"/>
      <c r="S217" s="247"/>
      <c r="T217" s="247"/>
      <c r="U217" s="247"/>
    </row>
    <row r="218" spans="1:21" ht="13" hidden="1" customHeight="1">
      <c r="A218" s="263"/>
      <c r="B218" s="247"/>
      <c r="C218" s="247"/>
      <c r="D218" s="287"/>
      <c r="E218" s="247"/>
      <c r="F218" s="288"/>
      <c r="G218" s="247"/>
      <c r="H218" s="247"/>
      <c r="I218" s="247"/>
      <c r="J218" s="247"/>
      <c r="K218" s="247"/>
      <c r="L218" s="247"/>
      <c r="M218" s="247"/>
      <c r="N218" s="247"/>
      <c r="O218" s="247"/>
      <c r="P218" s="247"/>
      <c r="Q218" s="247"/>
      <c r="R218" s="247"/>
      <c r="S218" s="247"/>
      <c r="T218" s="247"/>
      <c r="U218" s="247"/>
    </row>
    <row r="219" spans="1:21" ht="13" hidden="1" customHeight="1">
      <c r="A219" s="263"/>
      <c r="B219" s="247"/>
      <c r="C219" s="247"/>
      <c r="D219" s="287"/>
      <c r="E219" s="247"/>
      <c r="F219" s="288"/>
      <c r="G219" s="247"/>
      <c r="H219" s="247"/>
      <c r="I219" s="247"/>
      <c r="J219" s="247"/>
      <c r="K219" s="247"/>
      <c r="L219" s="247"/>
      <c r="M219" s="247"/>
      <c r="N219" s="247"/>
      <c r="O219" s="247"/>
      <c r="P219" s="247"/>
      <c r="Q219" s="247"/>
      <c r="R219" s="247"/>
      <c r="S219" s="247"/>
      <c r="T219" s="247"/>
      <c r="U219" s="247"/>
    </row>
    <row r="220" spans="1:21" ht="13" hidden="1" customHeight="1">
      <c r="A220" s="263"/>
      <c r="B220" s="247"/>
      <c r="C220" s="247"/>
      <c r="D220" s="287"/>
      <c r="E220" s="247"/>
      <c r="F220" s="288"/>
      <c r="G220" s="247"/>
      <c r="H220" s="247"/>
      <c r="I220" s="247"/>
      <c r="J220" s="247"/>
      <c r="K220" s="247"/>
      <c r="L220" s="247"/>
      <c r="M220" s="247"/>
      <c r="N220" s="247"/>
      <c r="O220" s="247"/>
      <c r="P220" s="247"/>
      <c r="Q220" s="247"/>
      <c r="R220" s="247"/>
      <c r="S220" s="247"/>
      <c r="T220" s="247"/>
      <c r="U220" s="247"/>
    </row>
    <row r="221" spans="1:21" ht="13" hidden="1" customHeight="1">
      <c r="A221" s="263"/>
      <c r="B221" s="247"/>
      <c r="C221" s="247"/>
      <c r="D221" s="287"/>
      <c r="E221" s="247"/>
      <c r="F221" s="288"/>
      <c r="G221" s="247"/>
      <c r="H221" s="247"/>
      <c r="I221" s="247"/>
      <c r="J221" s="247"/>
      <c r="K221" s="247"/>
      <c r="L221" s="247"/>
      <c r="M221" s="247"/>
      <c r="N221" s="247"/>
      <c r="O221" s="247"/>
      <c r="P221" s="247"/>
      <c r="Q221" s="247"/>
      <c r="R221" s="247"/>
      <c r="S221" s="247"/>
      <c r="T221" s="247"/>
      <c r="U221" s="247"/>
    </row>
    <row r="222" spans="1:21" ht="13" hidden="1" customHeight="1">
      <c r="A222" s="263"/>
      <c r="B222" s="247"/>
      <c r="C222" s="247"/>
      <c r="D222" s="287"/>
      <c r="E222" s="247"/>
      <c r="F222" s="288"/>
      <c r="G222" s="247"/>
      <c r="H222" s="247"/>
      <c r="I222" s="247"/>
      <c r="J222" s="247"/>
      <c r="K222" s="247"/>
      <c r="L222" s="247"/>
      <c r="M222" s="247"/>
      <c r="N222" s="247"/>
      <c r="O222" s="247"/>
      <c r="P222" s="247"/>
      <c r="Q222" s="247"/>
      <c r="R222" s="247"/>
      <c r="S222" s="247"/>
      <c r="T222" s="247"/>
      <c r="U222" s="247"/>
    </row>
    <row r="223" spans="1:21" ht="13" hidden="1" customHeight="1">
      <c r="A223" s="263"/>
      <c r="B223" s="247"/>
      <c r="C223" s="247"/>
      <c r="D223" s="287"/>
      <c r="E223" s="247"/>
      <c r="F223" s="288"/>
      <c r="G223" s="247"/>
      <c r="H223" s="247"/>
      <c r="I223" s="247"/>
      <c r="J223" s="247"/>
      <c r="K223" s="247"/>
      <c r="L223" s="247"/>
      <c r="M223" s="247"/>
      <c r="N223" s="247"/>
      <c r="O223" s="247"/>
      <c r="P223" s="247"/>
      <c r="Q223" s="247"/>
      <c r="R223" s="247"/>
      <c r="S223" s="247"/>
      <c r="T223" s="247"/>
      <c r="U223" s="247"/>
    </row>
    <row r="224" spans="1:21" ht="13" hidden="1" customHeight="1">
      <c r="A224" s="263"/>
      <c r="B224" s="247"/>
      <c r="C224" s="247"/>
      <c r="D224" s="287"/>
      <c r="E224" s="247"/>
      <c r="F224" s="288"/>
      <c r="G224" s="247"/>
      <c r="H224" s="247"/>
      <c r="I224" s="247"/>
      <c r="J224" s="247"/>
      <c r="K224" s="247"/>
      <c r="L224" s="247"/>
      <c r="M224" s="247"/>
      <c r="N224" s="247"/>
      <c r="O224" s="247"/>
      <c r="P224" s="247"/>
      <c r="Q224" s="247"/>
      <c r="R224" s="247"/>
      <c r="S224" s="247"/>
      <c r="T224" s="247"/>
      <c r="U224" s="247"/>
    </row>
    <row r="225" spans="1:21" ht="13" hidden="1" customHeight="1">
      <c r="A225" s="263"/>
      <c r="B225" s="247"/>
      <c r="C225" s="247"/>
      <c r="D225" s="287"/>
      <c r="E225" s="247"/>
      <c r="F225" s="288"/>
      <c r="G225" s="247"/>
      <c r="H225" s="247"/>
      <c r="I225" s="247"/>
      <c r="J225" s="247"/>
      <c r="K225" s="247"/>
      <c r="L225" s="247"/>
      <c r="M225" s="247"/>
      <c r="N225" s="247"/>
      <c r="O225" s="247"/>
      <c r="P225" s="247"/>
      <c r="Q225" s="247"/>
      <c r="R225" s="247"/>
      <c r="S225" s="247"/>
      <c r="T225" s="247"/>
      <c r="U225" s="247"/>
    </row>
    <row r="226" spans="1:21" ht="13" hidden="1" customHeight="1">
      <c r="A226" s="263"/>
      <c r="B226" s="247"/>
      <c r="C226" s="247"/>
      <c r="D226" s="287"/>
      <c r="E226" s="247"/>
      <c r="F226" s="288"/>
      <c r="G226" s="247"/>
      <c r="H226" s="247"/>
      <c r="I226" s="247"/>
      <c r="J226" s="247"/>
      <c r="K226" s="247"/>
      <c r="L226" s="247"/>
      <c r="M226" s="247"/>
      <c r="N226" s="247"/>
      <c r="O226" s="247"/>
      <c r="P226" s="247"/>
      <c r="Q226" s="247"/>
      <c r="R226" s="247"/>
      <c r="S226" s="247"/>
      <c r="T226" s="247"/>
      <c r="U226" s="247"/>
    </row>
    <row r="227" spans="1:21" ht="13" hidden="1" customHeight="1">
      <c r="A227" s="263"/>
      <c r="B227" s="247"/>
      <c r="C227" s="247"/>
      <c r="D227" s="287"/>
      <c r="E227" s="247"/>
      <c r="F227" s="288"/>
      <c r="G227" s="247"/>
      <c r="H227" s="247"/>
      <c r="I227" s="247"/>
      <c r="J227" s="247"/>
      <c r="K227" s="247"/>
      <c r="L227" s="247"/>
      <c r="M227" s="247"/>
      <c r="N227" s="247"/>
      <c r="O227" s="247"/>
      <c r="P227" s="247"/>
      <c r="Q227" s="247"/>
      <c r="R227" s="247"/>
      <c r="S227" s="247"/>
      <c r="T227" s="247"/>
      <c r="U227" s="247"/>
    </row>
    <row r="228" spans="1:21" ht="13" hidden="1" customHeight="1">
      <c r="A228" s="263"/>
      <c r="B228" s="247"/>
      <c r="C228" s="247"/>
      <c r="D228" s="287"/>
      <c r="E228" s="247"/>
      <c r="F228" s="288"/>
      <c r="G228" s="247"/>
      <c r="H228" s="247"/>
      <c r="I228" s="247"/>
      <c r="J228" s="247"/>
      <c r="K228" s="247"/>
      <c r="L228" s="247"/>
      <c r="M228" s="247"/>
      <c r="N228" s="247"/>
      <c r="O228" s="247"/>
      <c r="P228" s="247"/>
      <c r="Q228" s="247"/>
      <c r="R228" s="247"/>
      <c r="S228" s="247"/>
      <c r="T228" s="247"/>
      <c r="U228" s="247"/>
    </row>
    <row r="229" spans="1:21" ht="13" hidden="1" customHeight="1">
      <c r="A229" s="263"/>
      <c r="B229" s="247"/>
      <c r="C229" s="247"/>
      <c r="D229" s="287"/>
      <c r="E229" s="247"/>
      <c r="F229" s="288"/>
      <c r="G229" s="247"/>
      <c r="H229" s="247"/>
      <c r="I229" s="247"/>
      <c r="J229" s="247"/>
      <c r="K229" s="247"/>
      <c r="L229" s="247"/>
      <c r="M229" s="247"/>
      <c r="N229" s="247"/>
      <c r="O229" s="247"/>
      <c r="P229" s="247"/>
      <c r="Q229" s="247"/>
      <c r="R229" s="247"/>
      <c r="S229" s="247"/>
      <c r="T229" s="247"/>
      <c r="U229" s="247"/>
    </row>
    <row r="230" spans="1:21" ht="13" hidden="1" customHeight="1">
      <c r="A230" s="263"/>
      <c r="B230" s="247"/>
      <c r="C230" s="247"/>
      <c r="D230" s="287"/>
      <c r="E230" s="247"/>
      <c r="F230" s="288"/>
      <c r="G230" s="247"/>
      <c r="H230" s="247"/>
      <c r="I230" s="247"/>
      <c r="J230" s="247"/>
      <c r="K230" s="247"/>
      <c r="L230" s="247"/>
      <c r="M230" s="247"/>
      <c r="N230" s="247"/>
      <c r="O230" s="247"/>
      <c r="P230" s="247"/>
      <c r="Q230" s="247"/>
      <c r="R230" s="247"/>
      <c r="S230" s="247"/>
      <c r="T230" s="247"/>
      <c r="U230" s="247"/>
    </row>
    <row r="231" spans="1:21" ht="13" hidden="1" customHeight="1">
      <c r="A231" s="263"/>
      <c r="B231" s="247"/>
      <c r="C231" s="247"/>
      <c r="D231" s="287"/>
      <c r="E231" s="247"/>
      <c r="F231" s="288"/>
      <c r="G231" s="247"/>
      <c r="H231" s="247"/>
      <c r="I231" s="247"/>
      <c r="J231" s="247"/>
      <c r="K231" s="247"/>
      <c r="L231" s="247"/>
      <c r="M231" s="247"/>
      <c r="N231" s="247"/>
      <c r="O231" s="247"/>
      <c r="P231" s="247"/>
      <c r="Q231" s="247"/>
      <c r="R231" s="247"/>
      <c r="S231" s="247"/>
      <c r="T231" s="247"/>
      <c r="U231" s="247"/>
    </row>
    <row r="232" spans="1:21" ht="13" hidden="1" customHeight="1">
      <c r="A232" s="263"/>
      <c r="B232" s="247"/>
      <c r="C232" s="247"/>
      <c r="D232" s="287"/>
      <c r="E232" s="247"/>
      <c r="F232" s="288"/>
      <c r="G232" s="247"/>
      <c r="H232" s="247"/>
      <c r="I232" s="247"/>
      <c r="J232" s="247"/>
      <c r="K232" s="247"/>
      <c r="L232" s="247"/>
      <c r="M232" s="247"/>
      <c r="N232" s="247"/>
      <c r="O232" s="247"/>
      <c r="P232" s="247"/>
      <c r="Q232" s="247"/>
      <c r="R232" s="247"/>
      <c r="S232" s="247"/>
      <c r="T232" s="247"/>
      <c r="U232" s="247"/>
    </row>
    <row r="233" spans="1:21" ht="13" hidden="1" customHeight="1">
      <c r="A233" s="263"/>
      <c r="B233" s="247"/>
      <c r="C233" s="247"/>
      <c r="D233" s="287"/>
      <c r="E233" s="247"/>
      <c r="F233" s="288"/>
      <c r="G233" s="247"/>
      <c r="H233" s="247"/>
      <c r="I233" s="247"/>
      <c r="J233" s="247"/>
      <c r="K233" s="247"/>
      <c r="L233" s="247"/>
      <c r="M233" s="247"/>
      <c r="N233" s="247"/>
      <c r="O233" s="247"/>
      <c r="P233" s="247"/>
      <c r="Q233" s="247"/>
      <c r="R233" s="247"/>
      <c r="S233" s="247"/>
      <c r="T233" s="247"/>
      <c r="U233" s="247"/>
    </row>
    <row r="234" spans="1:21" ht="13" hidden="1" customHeight="1">
      <c r="A234" s="263"/>
      <c r="B234" s="247"/>
      <c r="C234" s="247"/>
      <c r="D234" s="287"/>
      <c r="E234" s="247"/>
      <c r="F234" s="288"/>
      <c r="G234" s="247"/>
      <c r="H234" s="247"/>
      <c r="I234" s="247"/>
      <c r="J234" s="247"/>
      <c r="K234" s="247"/>
      <c r="L234" s="247"/>
      <c r="M234" s="247"/>
      <c r="N234" s="247"/>
      <c r="O234" s="247"/>
      <c r="P234" s="247"/>
      <c r="Q234" s="247"/>
      <c r="R234" s="247"/>
      <c r="S234" s="247"/>
      <c r="T234" s="247"/>
      <c r="U234" s="247"/>
    </row>
    <row r="235" spans="1:21" ht="13" hidden="1" customHeight="1">
      <c r="A235" s="263"/>
      <c r="B235" s="247"/>
      <c r="C235" s="247"/>
      <c r="D235" s="287"/>
      <c r="E235" s="247"/>
      <c r="F235" s="288"/>
      <c r="G235" s="247"/>
      <c r="H235" s="247"/>
      <c r="I235" s="247"/>
      <c r="J235" s="247"/>
      <c r="K235" s="247"/>
      <c r="L235" s="247"/>
      <c r="M235" s="247"/>
      <c r="N235" s="247"/>
      <c r="O235" s="247"/>
      <c r="P235" s="247"/>
      <c r="Q235" s="247"/>
      <c r="R235" s="247"/>
      <c r="S235" s="247"/>
      <c r="T235" s="247"/>
      <c r="U235" s="247"/>
    </row>
    <row r="236" spans="1:21" ht="13" hidden="1" customHeight="1">
      <c r="A236" s="263"/>
      <c r="B236" s="247"/>
      <c r="C236" s="247"/>
      <c r="D236" s="287"/>
      <c r="E236" s="247"/>
      <c r="F236" s="288"/>
      <c r="G236" s="247"/>
      <c r="H236" s="247"/>
      <c r="I236" s="247"/>
      <c r="J236" s="247"/>
      <c r="K236" s="247"/>
      <c r="L236" s="247"/>
      <c r="M236" s="247"/>
      <c r="N236" s="247"/>
      <c r="O236" s="247"/>
      <c r="P236" s="247"/>
      <c r="Q236" s="247"/>
      <c r="R236" s="247"/>
      <c r="S236" s="247"/>
      <c r="T236" s="247"/>
      <c r="U236" s="247"/>
    </row>
    <row r="237" spans="1:21" ht="13" hidden="1" customHeight="1">
      <c r="A237" s="263"/>
      <c r="B237" s="247"/>
      <c r="C237" s="247"/>
      <c r="D237" s="287"/>
      <c r="E237" s="247"/>
      <c r="F237" s="288"/>
      <c r="G237" s="247"/>
      <c r="H237" s="247"/>
      <c r="I237" s="247"/>
      <c r="J237" s="247"/>
      <c r="K237" s="247"/>
      <c r="L237" s="247"/>
      <c r="M237" s="247"/>
      <c r="N237" s="247"/>
      <c r="O237" s="247"/>
      <c r="P237" s="247"/>
      <c r="Q237" s="247"/>
      <c r="R237" s="247"/>
      <c r="S237" s="247"/>
      <c r="T237" s="247"/>
      <c r="U237" s="247"/>
    </row>
    <row r="238" spans="1:21" ht="13" hidden="1" customHeight="1">
      <c r="A238" s="263"/>
      <c r="B238" s="247"/>
      <c r="C238" s="247"/>
      <c r="D238" s="287"/>
      <c r="E238" s="247"/>
      <c r="F238" s="288"/>
      <c r="G238" s="247"/>
      <c r="H238" s="247"/>
      <c r="I238" s="247"/>
      <c r="J238" s="247"/>
      <c r="K238" s="247"/>
      <c r="L238" s="247"/>
      <c r="M238" s="247"/>
      <c r="N238" s="247"/>
      <c r="O238" s="247"/>
      <c r="P238" s="247"/>
      <c r="Q238" s="247"/>
      <c r="R238" s="247"/>
      <c r="S238" s="247"/>
      <c r="T238" s="247"/>
      <c r="U238" s="247"/>
    </row>
    <row r="239" spans="1:21" ht="13" hidden="1" customHeight="1">
      <c r="A239" s="263"/>
      <c r="B239" s="247"/>
      <c r="C239" s="247"/>
      <c r="D239" s="287"/>
      <c r="E239" s="247"/>
      <c r="F239" s="288"/>
      <c r="G239" s="247"/>
      <c r="H239" s="247"/>
      <c r="I239" s="247"/>
      <c r="J239" s="247"/>
      <c r="K239" s="247"/>
      <c r="L239" s="247"/>
      <c r="M239" s="247"/>
      <c r="N239" s="247"/>
      <c r="O239" s="247"/>
      <c r="P239" s="247"/>
      <c r="Q239" s="247"/>
      <c r="R239" s="247"/>
      <c r="S239" s="247"/>
      <c r="T239" s="247"/>
      <c r="U239" s="247"/>
    </row>
    <row r="240" spans="1:21" ht="13" hidden="1" customHeight="1">
      <c r="A240" s="263"/>
      <c r="B240" s="247"/>
      <c r="C240" s="247"/>
      <c r="D240" s="287"/>
      <c r="E240" s="247"/>
      <c r="F240" s="288"/>
      <c r="G240" s="247"/>
      <c r="H240" s="247"/>
      <c r="I240" s="247"/>
      <c r="J240" s="247"/>
      <c r="K240" s="247"/>
      <c r="L240" s="247"/>
      <c r="M240" s="247"/>
      <c r="N240" s="247"/>
      <c r="O240" s="247"/>
      <c r="P240" s="247"/>
      <c r="Q240" s="247"/>
      <c r="R240" s="247"/>
      <c r="S240" s="247"/>
      <c r="T240" s="247"/>
      <c r="U240" s="247"/>
    </row>
    <row r="241" spans="1:21" ht="13" hidden="1" customHeight="1">
      <c r="A241" s="263"/>
      <c r="B241" s="247"/>
      <c r="C241" s="247"/>
      <c r="D241" s="287"/>
      <c r="E241" s="247"/>
      <c r="F241" s="288"/>
      <c r="G241" s="247"/>
      <c r="H241" s="247"/>
      <c r="I241" s="247"/>
      <c r="J241" s="247"/>
      <c r="K241" s="247"/>
      <c r="L241" s="247"/>
      <c r="M241" s="247"/>
      <c r="N241" s="247"/>
      <c r="O241" s="247"/>
      <c r="P241" s="247"/>
      <c r="Q241" s="247"/>
      <c r="R241" s="247"/>
      <c r="S241" s="247"/>
      <c r="T241" s="247"/>
      <c r="U241" s="247"/>
    </row>
    <row r="242" spans="1:21" ht="13" hidden="1" customHeight="1">
      <c r="A242" s="263"/>
      <c r="B242" s="247"/>
      <c r="C242" s="247"/>
      <c r="D242" s="287"/>
      <c r="E242" s="247"/>
      <c r="F242" s="288"/>
      <c r="G242" s="247"/>
      <c r="H242" s="247"/>
      <c r="I242" s="247"/>
      <c r="J242" s="247"/>
      <c r="K242" s="247"/>
      <c r="L242" s="247"/>
      <c r="M242" s="247"/>
      <c r="N242" s="247"/>
      <c r="O242" s="247"/>
      <c r="P242" s="247"/>
      <c r="Q242" s="247"/>
      <c r="R242" s="247"/>
      <c r="S242" s="247"/>
      <c r="T242" s="247"/>
      <c r="U242" s="247"/>
    </row>
    <row r="243" spans="1:21" ht="13" hidden="1" customHeight="1">
      <c r="A243" s="263"/>
      <c r="B243" s="247"/>
      <c r="C243" s="247"/>
      <c r="D243" s="287"/>
      <c r="E243" s="247"/>
      <c r="F243" s="288"/>
      <c r="G243" s="247"/>
      <c r="H243" s="247"/>
      <c r="I243" s="247"/>
      <c r="J243" s="247"/>
      <c r="K243" s="247"/>
      <c r="L243" s="247"/>
      <c r="M243" s="247"/>
      <c r="N243" s="247"/>
      <c r="O243" s="247"/>
      <c r="P243" s="247"/>
      <c r="Q243" s="247"/>
      <c r="R243" s="247"/>
      <c r="S243" s="247"/>
      <c r="T243" s="247"/>
      <c r="U243" s="247"/>
    </row>
    <row r="244" spans="1:21" ht="13" hidden="1" customHeight="1">
      <c r="A244" s="263"/>
      <c r="B244" s="247"/>
      <c r="C244" s="247"/>
      <c r="D244" s="287"/>
      <c r="E244" s="247"/>
      <c r="F244" s="288"/>
      <c r="G244" s="247"/>
      <c r="H244" s="247"/>
      <c r="I244" s="247"/>
      <c r="J244" s="247"/>
      <c r="K244" s="247"/>
      <c r="L244" s="247"/>
      <c r="M244" s="247"/>
      <c r="N244" s="247"/>
      <c r="O244" s="247"/>
      <c r="P244" s="247"/>
      <c r="Q244" s="247"/>
      <c r="R244" s="247"/>
      <c r="S244" s="247"/>
      <c r="T244" s="247"/>
      <c r="U244" s="247"/>
    </row>
    <row r="245" spans="1:21" ht="13" hidden="1" customHeight="1">
      <c r="A245" s="263"/>
      <c r="B245" s="247"/>
      <c r="C245" s="247"/>
      <c r="D245" s="287"/>
      <c r="E245" s="247"/>
      <c r="F245" s="288"/>
      <c r="G245" s="247"/>
      <c r="H245" s="247"/>
      <c r="I245" s="247"/>
      <c r="J245" s="247"/>
      <c r="K245" s="247"/>
      <c r="L245" s="247"/>
      <c r="M245" s="247"/>
      <c r="N245" s="247"/>
      <c r="O245" s="247"/>
      <c r="P245" s="247"/>
      <c r="Q245" s="247"/>
      <c r="R245" s="247"/>
      <c r="S245" s="247"/>
      <c r="T245" s="247"/>
      <c r="U245" s="247"/>
    </row>
    <row r="246" spans="1:21" ht="13" hidden="1" customHeight="1">
      <c r="A246" s="263"/>
      <c r="B246" s="247"/>
      <c r="C246" s="247"/>
      <c r="D246" s="287"/>
      <c r="E246" s="247"/>
      <c r="F246" s="288"/>
      <c r="G246" s="247"/>
      <c r="H246" s="247"/>
      <c r="I246" s="247"/>
      <c r="J246" s="247"/>
      <c r="K246" s="247"/>
      <c r="L246" s="247"/>
      <c r="M246" s="247"/>
      <c r="N246" s="247"/>
      <c r="O246" s="247"/>
      <c r="P246" s="247"/>
      <c r="Q246" s="247"/>
      <c r="R246" s="247"/>
      <c r="S246" s="247"/>
      <c r="T246" s="247"/>
      <c r="U246" s="247"/>
    </row>
    <row r="247" spans="1:21" ht="13" hidden="1" customHeight="1">
      <c r="A247" s="263"/>
      <c r="B247" s="247"/>
      <c r="C247" s="247"/>
      <c r="D247" s="287"/>
      <c r="E247" s="247"/>
      <c r="F247" s="288"/>
      <c r="G247" s="247"/>
      <c r="H247" s="247"/>
      <c r="I247" s="247"/>
      <c r="J247" s="247"/>
      <c r="K247" s="247"/>
      <c r="L247" s="247"/>
      <c r="M247" s="247"/>
      <c r="N247" s="247"/>
      <c r="O247" s="247"/>
      <c r="P247" s="247"/>
      <c r="Q247" s="247"/>
      <c r="R247" s="247"/>
      <c r="S247" s="247"/>
      <c r="T247" s="247"/>
      <c r="U247" s="247"/>
    </row>
    <row r="248" spans="1:21" ht="13" hidden="1" customHeight="1">
      <c r="A248" s="263"/>
      <c r="B248" s="247"/>
      <c r="C248" s="247"/>
      <c r="D248" s="287"/>
      <c r="E248" s="247"/>
      <c r="F248" s="288"/>
      <c r="G248" s="247"/>
      <c r="H248" s="247"/>
      <c r="I248" s="247"/>
      <c r="J248" s="247"/>
      <c r="K248" s="247"/>
      <c r="L248" s="247"/>
      <c r="M248" s="247"/>
      <c r="N248" s="247"/>
      <c r="O248" s="247"/>
      <c r="P248" s="247"/>
      <c r="Q248" s="247"/>
      <c r="R248" s="247"/>
      <c r="S248" s="247"/>
      <c r="T248" s="247"/>
      <c r="U248" s="247"/>
    </row>
    <row r="249" spans="1:21" ht="13" hidden="1" customHeight="1">
      <c r="A249" s="263"/>
      <c r="B249" s="247"/>
      <c r="C249" s="247"/>
      <c r="D249" s="287"/>
      <c r="E249" s="247"/>
      <c r="F249" s="288"/>
      <c r="G249" s="247"/>
      <c r="H249" s="247"/>
      <c r="I249" s="247"/>
      <c r="J249" s="247"/>
      <c r="K249" s="247"/>
      <c r="L249" s="247"/>
      <c r="M249" s="247"/>
      <c r="N249" s="247"/>
      <c r="O249" s="247"/>
      <c r="P249" s="247"/>
      <c r="Q249" s="247"/>
      <c r="R249" s="247"/>
      <c r="S249" s="247"/>
      <c r="T249" s="247"/>
      <c r="U249" s="247"/>
    </row>
    <row r="250" spans="1:21" ht="13" hidden="1" customHeight="1">
      <c r="A250" s="263"/>
      <c r="B250" s="247"/>
      <c r="C250" s="247"/>
      <c r="D250" s="287"/>
      <c r="E250" s="247"/>
      <c r="F250" s="288"/>
      <c r="G250" s="247"/>
      <c r="H250" s="247"/>
      <c r="I250" s="247"/>
      <c r="J250" s="247"/>
      <c r="K250" s="247"/>
      <c r="L250" s="247"/>
      <c r="M250" s="247"/>
      <c r="N250" s="247"/>
      <c r="O250" s="247"/>
      <c r="P250" s="247"/>
      <c r="Q250" s="247"/>
      <c r="R250" s="247"/>
      <c r="S250" s="247"/>
      <c r="T250" s="247"/>
      <c r="U250" s="247"/>
    </row>
    <row r="251" spans="1:21" ht="13" hidden="1" customHeight="1">
      <c r="A251" s="263"/>
      <c r="B251" s="247"/>
      <c r="C251" s="247"/>
      <c r="D251" s="287"/>
      <c r="E251" s="247"/>
      <c r="F251" s="288"/>
      <c r="G251" s="247"/>
      <c r="H251" s="247"/>
      <c r="I251" s="247"/>
      <c r="J251" s="247"/>
      <c r="K251" s="247"/>
      <c r="L251" s="247"/>
      <c r="M251" s="247"/>
      <c r="N251" s="247"/>
      <c r="O251" s="247"/>
      <c r="P251" s="247"/>
      <c r="Q251" s="247"/>
      <c r="R251" s="247"/>
      <c r="S251" s="247"/>
      <c r="T251" s="247"/>
      <c r="U251" s="247"/>
    </row>
    <row r="252" spans="1:21" ht="13" hidden="1" customHeight="1">
      <c r="A252" s="263"/>
      <c r="B252" s="247"/>
      <c r="C252" s="247"/>
      <c r="D252" s="287"/>
      <c r="E252" s="247"/>
      <c r="F252" s="288"/>
      <c r="G252" s="247"/>
      <c r="H252" s="247"/>
      <c r="I252" s="247"/>
      <c r="J252" s="247"/>
      <c r="K252" s="247"/>
      <c r="L252" s="247"/>
      <c r="M252" s="247"/>
      <c r="N252" s="247"/>
      <c r="O252" s="247"/>
      <c r="P252" s="247"/>
      <c r="Q252" s="247"/>
      <c r="R252" s="247"/>
      <c r="S252" s="247"/>
      <c r="T252" s="247"/>
      <c r="U252" s="247"/>
    </row>
    <row r="253" spans="1:21" ht="13" hidden="1" customHeight="1">
      <c r="A253" s="263"/>
      <c r="B253" s="247"/>
      <c r="C253" s="247"/>
      <c r="D253" s="287"/>
      <c r="E253" s="247"/>
      <c r="F253" s="288"/>
      <c r="G253" s="247"/>
      <c r="H253" s="247"/>
      <c r="I253" s="247"/>
      <c r="J253" s="247"/>
      <c r="K253" s="247"/>
      <c r="L253" s="247"/>
      <c r="M253" s="247"/>
      <c r="N253" s="247"/>
      <c r="O253" s="247"/>
      <c r="P253" s="247"/>
      <c r="Q253" s="247"/>
      <c r="R253" s="247"/>
      <c r="S253" s="247"/>
      <c r="T253" s="247"/>
      <c r="U253" s="247"/>
    </row>
    <row r="254" spans="1:21" ht="13" hidden="1" customHeight="1">
      <c r="A254" s="263"/>
      <c r="B254" s="247"/>
      <c r="C254" s="247"/>
      <c r="D254" s="287"/>
      <c r="E254" s="247"/>
      <c r="F254" s="288"/>
      <c r="G254" s="247"/>
      <c r="H254" s="247"/>
      <c r="I254" s="247"/>
      <c r="J254" s="247"/>
      <c r="K254" s="247"/>
      <c r="L254" s="247"/>
      <c r="M254" s="247"/>
      <c r="N254" s="247"/>
      <c r="O254" s="247"/>
      <c r="P254" s="247"/>
      <c r="Q254" s="247"/>
      <c r="R254" s="247"/>
      <c r="S254" s="247"/>
      <c r="T254" s="247"/>
      <c r="U254" s="247"/>
    </row>
    <row r="255" spans="1:21" ht="13" hidden="1" customHeight="1">
      <c r="A255" s="263"/>
      <c r="B255" s="247"/>
      <c r="C255" s="247"/>
      <c r="D255" s="287"/>
      <c r="E255" s="247"/>
      <c r="F255" s="288"/>
      <c r="G255" s="247"/>
      <c r="H255" s="247"/>
      <c r="I255" s="247"/>
      <c r="J255" s="247"/>
      <c r="K255" s="247"/>
      <c r="L255" s="247"/>
      <c r="M255" s="247"/>
      <c r="N255" s="247"/>
      <c r="O255" s="247"/>
      <c r="P255" s="247"/>
      <c r="Q255" s="247"/>
      <c r="R255" s="247"/>
      <c r="S255" s="247"/>
      <c r="T255" s="247"/>
      <c r="U255" s="247"/>
    </row>
    <row r="256" spans="1:21" ht="13" hidden="1" customHeight="1">
      <c r="A256" s="263"/>
      <c r="B256" s="247"/>
      <c r="C256" s="247"/>
      <c r="D256" s="287"/>
      <c r="E256" s="247"/>
      <c r="F256" s="288"/>
      <c r="G256" s="247"/>
      <c r="H256" s="247"/>
      <c r="I256" s="247"/>
      <c r="J256" s="247"/>
      <c r="K256" s="247"/>
      <c r="L256" s="247"/>
      <c r="M256" s="247"/>
      <c r="N256" s="247"/>
      <c r="O256" s="247"/>
      <c r="P256" s="247"/>
      <c r="Q256" s="247"/>
      <c r="R256" s="247"/>
      <c r="S256" s="247"/>
      <c r="T256" s="247"/>
      <c r="U256" s="247"/>
    </row>
    <row r="257" spans="1:21" ht="13" hidden="1" customHeight="1">
      <c r="A257" s="263"/>
      <c r="B257" s="247"/>
      <c r="C257" s="247"/>
      <c r="D257" s="287"/>
      <c r="E257" s="247"/>
      <c r="F257" s="288"/>
      <c r="G257" s="247"/>
      <c r="H257" s="247"/>
      <c r="I257" s="247"/>
      <c r="J257" s="247"/>
      <c r="K257" s="247"/>
      <c r="L257" s="247"/>
      <c r="M257" s="247"/>
      <c r="N257" s="247"/>
      <c r="O257" s="247"/>
      <c r="P257" s="247"/>
      <c r="Q257" s="247"/>
      <c r="R257" s="247"/>
      <c r="S257" s="247"/>
      <c r="T257" s="247"/>
      <c r="U257" s="247"/>
    </row>
    <row r="258" spans="1:21" ht="13" hidden="1" customHeight="1">
      <c r="A258" s="263"/>
      <c r="B258" s="247"/>
      <c r="C258" s="247"/>
      <c r="D258" s="287"/>
      <c r="E258" s="247"/>
      <c r="F258" s="288"/>
      <c r="G258" s="247"/>
      <c r="H258" s="247"/>
      <c r="I258" s="247"/>
      <c r="J258" s="247"/>
      <c r="K258" s="247"/>
      <c r="L258" s="247"/>
      <c r="M258" s="247"/>
      <c r="N258" s="247"/>
      <c r="O258" s="247"/>
      <c r="P258" s="247"/>
      <c r="Q258" s="247"/>
      <c r="R258" s="247"/>
      <c r="S258" s="247"/>
      <c r="T258" s="247"/>
      <c r="U258" s="247"/>
    </row>
    <row r="259" spans="1:21" ht="13" hidden="1" customHeight="1">
      <c r="A259" s="263"/>
      <c r="B259" s="247"/>
      <c r="C259" s="247"/>
      <c r="D259" s="287"/>
      <c r="E259" s="247"/>
      <c r="F259" s="288"/>
      <c r="G259" s="247"/>
      <c r="H259" s="247"/>
      <c r="I259" s="247"/>
      <c r="J259" s="247"/>
      <c r="K259" s="247"/>
      <c r="L259" s="247"/>
      <c r="M259" s="247"/>
      <c r="N259" s="247"/>
      <c r="O259" s="247"/>
      <c r="P259" s="247"/>
      <c r="Q259" s="247"/>
      <c r="R259" s="247"/>
      <c r="S259" s="247"/>
      <c r="T259" s="247"/>
      <c r="U259" s="247"/>
    </row>
    <row r="260" spans="1:21" ht="13" hidden="1" customHeight="1">
      <c r="A260" s="263"/>
      <c r="B260" s="247"/>
      <c r="C260" s="247"/>
      <c r="D260" s="287"/>
      <c r="E260" s="247"/>
      <c r="F260" s="288"/>
      <c r="G260" s="247"/>
      <c r="H260" s="247"/>
      <c r="I260" s="247"/>
      <c r="J260" s="247"/>
      <c r="K260" s="247"/>
      <c r="L260" s="247"/>
      <c r="M260" s="247"/>
      <c r="N260" s="247"/>
      <c r="O260" s="247"/>
      <c r="P260" s="247"/>
      <c r="Q260" s="247"/>
      <c r="R260" s="247"/>
      <c r="S260" s="247"/>
      <c r="T260" s="247"/>
      <c r="U260" s="247"/>
    </row>
    <row r="261" spans="1:21" ht="13" hidden="1" customHeight="1">
      <c r="A261" s="263"/>
      <c r="B261" s="247"/>
      <c r="C261" s="247"/>
      <c r="D261" s="287"/>
      <c r="E261" s="247"/>
      <c r="F261" s="288"/>
      <c r="G261" s="247"/>
      <c r="H261" s="247"/>
      <c r="I261" s="247"/>
      <c r="J261" s="247"/>
      <c r="K261" s="247"/>
      <c r="L261" s="247"/>
      <c r="M261" s="247"/>
      <c r="N261" s="247"/>
      <c r="O261" s="247"/>
      <c r="P261" s="247"/>
      <c r="Q261" s="247"/>
      <c r="R261" s="247"/>
      <c r="S261" s="247"/>
      <c r="T261" s="247"/>
      <c r="U261" s="247"/>
    </row>
    <row r="262" spans="1:21" ht="13" hidden="1" customHeight="1">
      <c r="A262" s="263"/>
      <c r="B262" s="247"/>
      <c r="C262" s="247"/>
      <c r="D262" s="287"/>
      <c r="E262" s="247"/>
      <c r="F262" s="288"/>
      <c r="G262" s="247"/>
      <c r="H262" s="247"/>
      <c r="I262" s="247"/>
      <c r="J262" s="247"/>
      <c r="K262" s="247"/>
      <c r="L262" s="247"/>
      <c r="M262" s="247"/>
      <c r="N262" s="247"/>
      <c r="O262" s="247"/>
      <c r="P262" s="247"/>
      <c r="Q262" s="247"/>
      <c r="R262" s="247"/>
      <c r="S262" s="247"/>
      <c r="T262" s="247"/>
      <c r="U262" s="247"/>
    </row>
    <row r="263" spans="1:21" ht="13" hidden="1" customHeight="1">
      <c r="A263" s="263"/>
      <c r="B263" s="247"/>
      <c r="C263" s="247"/>
      <c r="D263" s="287"/>
      <c r="E263" s="247"/>
      <c r="F263" s="288"/>
      <c r="G263" s="247"/>
      <c r="H263" s="247"/>
      <c r="I263" s="247"/>
      <c r="J263" s="247"/>
      <c r="K263" s="247"/>
      <c r="L263" s="247"/>
      <c r="M263" s="247"/>
      <c r="N263" s="247"/>
      <c r="O263" s="247"/>
      <c r="P263" s="247"/>
      <c r="Q263" s="247"/>
      <c r="R263" s="247"/>
      <c r="S263" s="247"/>
      <c r="T263" s="247"/>
      <c r="U263" s="247"/>
    </row>
    <row r="264" spans="1:21" ht="13" hidden="1" customHeight="1">
      <c r="A264" s="263"/>
      <c r="B264" s="247"/>
      <c r="C264" s="247"/>
      <c r="D264" s="287"/>
      <c r="E264" s="247"/>
      <c r="F264" s="288"/>
      <c r="G264" s="247"/>
      <c r="H264" s="247"/>
      <c r="I264" s="247"/>
      <c r="J264" s="247"/>
      <c r="K264" s="247"/>
      <c r="L264" s="247"/>
      <c r="M264" s="247"/>
      <c r="N264" s="247"/>
      <c r="O264" s="247"/>
      <c r="P264" s="247"/>
      <c r="Q264" s="247"/>
      <c r="R264" s="247"/>
      <c r="S264" s="247"/>
      <c r="T264" s="247"/>
      <c r="U264" s="247"/>
    </row>
    <row r="265" spans="1:21" ht="13" hidden="1" customHeight="1">
      <c r="A265" s="263"/>
      <c r="B265" s="247"/>
      <c r="C265" s="247"/>
      <c r="D265" s="287"/>
      <c r="E265" s="247"/>
      <c r="F265" s="288"/>
      <c r="G265" s="247"/>
      <c r="H265" s="247"/>
      <c r="I265" s="247"/>
      <c r="J265" s="247"/>
      <c r="K265" s="247"/>
      <c r="L265" s="247"/>
      <c r="M265" s="247"/>
      <c r="N265" s="247"/>
      <c r="O265" s="247"/>
      <c r="P265" s="247"/>
      <c r="Q265" s="247"/>
      <c r="R265" s="247"/>
      <c r="S265" s="247"/>
      <c r="T265" s="247"/>
      <c r="U265" s="247"/>
    </row>
    <row r="266" spans="1:21" ht="13" hidden="1" customHeight="1">
      <c r="A266" s="263"/>
      <c r="B266" s="247"/>
      <c r="C266" s="247"/>
      <c r="D266" s="287"/>
      <c r="E266" s="247"/>
      <c r="F266" s="288"/>
      <c r="G266" s="247"/>
      <c r="H266" s="247"/>
      <c r="I266" s="247"/>
      <c r="J266" s="247"/>
      <c r="K266" s="247"/>
      <c r="L266" s="247"/>
      <c r="M266" s="247"/>
      <c r="N266" s="247"/>
      <c r="O266" s="247"/>
      <c r="P266" s="247"/>
      <c r="Q266" s="247"/>
      <c r="R266" s="247"/>
      <c r="S266" s="247"/>
      <c r="T266" s="247"/>
      <c r="U266" s="247"/>
    </row>
    <row r="267" spans="1:21" ht="13" hidden="1" customHeight="1">
      <c r="A267" s="263"/>
      <c r="B267" s="247"/>
      <c r="C267" s="247"/>
      <c r="D267" s="287"/>
      <c r="E267" s="247"/>
      <c r="F267" s="288"/>
      <c r="G267" s="247"/>
      <c r="H267" s="247"/>
      <c r="I267" s="247"/>
      <c r="J267" s="247"/>
      <c r="K267" s="247"/>
      <c r="L267" s="247"/>
      <c r="M267" s="247"/>
      <c r="N267" s="247"/>
      <c r="O267" s="247"/>
      <c r="P267" s="247"/>
      <c r="Q267" s="247"/>
      <c r="R267" s="247"/>
      <c r="S267" s="247"/>
      <c r="T267" s="247"/>
      <c r="U267" s="247"/>
    </row>
    <row r="268" spans="1:21" ht="13" hidden="1" customHeight="1">
      <c r="A268" s="263"/>
      <c r="B268" s="247"/>
      <c r="C268" s="247"/>
      <c r="D268" s="287"/>
      <c r="E268" s="247"/>
      <c r="F268" s="288"/>
      <c r="G268" s="247"/>
      <c r="H268" s="247"/>
      <c r="I268" s="247"/>
      <c r="J268" s="247"/>
      <c r="K268" s="247"/>
      <c r="L268" s="247"/>
      <c r="M268" s="247"/>
      <c r="N268" s="247"/>
      <c r="O268" s="247"/>
      <c r="P268" s="247"/>
      <c r="Q268" s="247"/>
      <c r="R268" s="247"/>
      <c r="S268" s="247"/>
      <c r="T268" s="247"/>
      <c r="U268" s="247"/>
    </row>
    <row r="269" spans="1:21" ht="13" hidden="1" customHeight="1">
      <c r="A269" s="263"/>
      <c r="B269" s="247"/>
      <c r="C269" s="247"/>
      <c r="D269" s="287"/>
      <c r="E269" s="247"/>
      <c r="F269" s="288"/>
      <c r="G269" s="247"/>
      <c r="H269" s="247"/>
      <c r="I269" s="247"/>
      <c r="J269" s="247"/>
      <c r="K269" s="247"/>
      <c r="L269" s="247"/>
      <c r="M269" s="247"/>
      <c r="N269" s="247"/>
      <c r="O269" s="247"/>
      <c r="P269" s="247"/>
      <c r="Q269" s="247"/>
      <c r="R269" s="247"/>
      <c r="S269" s="247"/>
      <c r="T269" s="247"/>
      <c r="U269" s="247"/>
    </row>
    <row r="270" spans="1:21" ht="13" hidden="1" customHeight="1">
      <c r="A270" s="263"/>
      <c r="B270" s="247"/>
      <c r="C270" s="247"/>
      <c r="D270" s="287"/>
      <c r="E270" s="247"/>
      <c r="F270" s="288"/>
      <c r="G270" s="247"/>
      <c r="H270" s="247"/>
      <c r="I270" s="247"/>
      <c r="J270" s="247"/>
      <c r="K270" s="247"/>
      <c r="L270" s="247"/>
      <c r="M270" s="247"/>
      <c r="N270" s="247"/>
      <c r="O270" s="247"/>
      <c r="P270" s="247"/>
      <c r="Q270" s="247"/>
      <c r="R270" s="247"/>
      <c r="S270" s="247"/>
      <c r="T270" s="247"/>
      <c r="U270" s="247"/>
    </row>
    <row r="271" spans="1:21" ht="13" hidden="1" customHeight="1">
      <c r="A271" s="263"/>
      <c r="B271" s="247"/>
      <c r="C271" s="247"/>
      <c r="D271" s="287"/>
      <c r="E271" s="247"/>
      <c r="F271" s="288"/>
      <c r="G271" s="247"/>
      <c r="H271" s="247"/>
      <c r="I271" s="247"/>
      <c r="J271" s="247"/>
      <c r="K271" s="247"/>
      <c r="L271" s="247"/>
      <c r="M271" s="247"/>
      <c r="N271" s="247"/>
      <c r="O271" s="247"/>
      <c r="P271" s="247"/>
      <c r="Q271" s="247"/>
      <c r="R271" s="247"/>
      <c r="S271" s="247"/>
      <c r="T271" s="247"/>
      <c r="U271" s="247"/>
    </row>
    <row r="272" spans="1:21" ht="13" hidden="1" customHeight="1">
      <c r="A272" s="263"/>
      <c r="B272" s="247"/>
      <c r="C272" s="247"/>
      <c r="D272" s="287"/>
      <c r="E272" s="247"/>
      <c r="F272" s="288"/>
      <c r="G272" s="247"/>
      <c r="H272" s="247"/>
      <c r="I272" s="247"/>
      <c r="J272" s="247"/>
      <c r="K272" s="247"/>
      <c r="L272" s="247"/>
      <c r="M272" s="247"/>
      <c r="N272" s="247"/>
      <c r="O272" s="247"/>
      <c r="P272" s="247"/>
      <c r="Q272" s="247"/>
      <c r="R272" s="247"/>
      <c r="S272" s="247"/>
      <c r="T272" s="247"/>
      <c r="U272" s="247"/>
    </row>
    <row r="273" spans="1:21" ht="13" hidden="1" customHeight="1">
      <c r="A273" s="263"/>
      <c r="B273" s="247"/>
      <c r="C273" s="247"/>
      <c r="D273" s="287"/>
      <c r="E273" s="247"/>
      <c r="F273" s="288"/>
      <c r="G273" s="247"/>
      <c r="H273" s="247"/>
      <c r="I273" s="247"/>
      <c r="J273" s="247"/>
      <c r="K273" s="247"/>
      <c r="L273" s="247"/>
      <c r="M273" s="247"/>
      <c r="N273" s="247"/>
      <c r="O273" s="247"/>
      <c r="P273" s="247"/>
      <c r="Q273" s="247"/>
      <c r="R273" s="247"/>
      <c r="S273" s="247"/>
      <c r="T273" s="247"/>
      <c r="U273" s="247"/>
    </row>
    <row r="274" spans="1:21" ht="13" hidden="1" customHeight="1">
      <c r="A274" s="263"/>
      <c r="B274" s="247"/>
      <c r="C274" s="247"/>
      <c r="D274" s="287"/>
      <c r="E274" s="247"/>
      <c r="F274" s="288"/>
      <c r="G274" s="247"/>
      <c r="H274" s="247"/>
      <c r="I274" s="247"/>
      <c r="J274" s="247"/>
      <c r="K274" s="247"/>
      <c r="L274" s="247"/>
      <c r="M274" s="247"/>
      <c r="N274" s="247"/>
      <c r="O274" s="247"/>
      <c r="P274" s="247"/>
      <c r="Q274" s="247"/>
      <c r="R274" s="247"/>
      <c r="S274" s="247"/>
      <c r="T274" s="247"/>
      <c r="U274" s="247"/>
    </row>
    <row r="275" spans="1:21" ht="13" hidden="1" customHeight="1">
      <c r="A275" s="263"/>
      <c r="B275" s="247"/>
      <c r="C275" s="247"/>
      <c r="D275" s="287"/>
      <c r="E275" s="247"/>
      <c r="F275" s="288"/>
      <c r="G275" s="247"/>
      <c r="H275" s="247"/>
      <c r="I275" s="247"/>
      <c r="J275" s="247"/>
      <c r="K275" s="247"/>
      <c r="L275" s="247"/>
      <c r="M275" s="247"/>
      <c r="N275" s="247"/>
      <c r="O275" s="247"/>
      <c r="P275" s="247"/>
      <c r="Q275" s="247"/>
      <c r="R275" s="247"/>
      <c r="S275" s="247"/>
      <c r="T275" s="247"/>
      <c r="U275" s="247"/>
    </row>
    <row r="276" spans="1:21" ht="13" hidden="1" customHeight="1">
      <c r="A276" s="263"/>
      <c r="B276" s="247"/>
      <c r="C276" s="247"/>
      <c r="D276" s="287"/>
      <c r="E276" s="247"/>
      <c r="F276" s="288"/>
      <c r="G276" s="247"/>
      <c r="H276" s="247"/>
      <c r="I276" s="247"/>
      <c r="J276" s="247"/>
      <c r="K276" s="247"/>
      <c r="L276" s="247"/>
      <c r="M276" s="247"/>
      <c r="N276" s="247"/>
      <c r="O276" s="247"/>
      <c r="P276" s="247"/>
      <c r="Q276" s="247"/>
      <c r="R276" s="247"/>
      <c r="S276" s="247"/>
      <c r="T276" s="247"/>
      <c r="U276" s="247"/>
    </row>
    <row r="277" spans="1:21" ht="13" hidden="1" customHeight="1">
      <c r="A277" s="263"/>
      <c r="B277" s="247"/>
      <c r="C277" s="247"/>
      <c r="D277" s="287"/>
      <c r="E277" s="247"/>
      <c r="F277" s="288"/>
      <c r="G277" s="247"/>
      <c r="H277" s="247"/>
      <c r="I277" s="247"/>
      <c r="J277" s="247"/>
      <c r="K277" s="247"/>
      <c r="L277" s="247"/>
      <c r="M277" s="247"/>
      <c r="N277" s="247"/>
      <c r="O277" s="247"/>
      <c r="P277" s="247"/>
      <c r="Q277" s="247"/>
      <c r="R277" s="247"/>
      <c r="S277" s="247"/>
      <c r="T277" s="247"/>
      <c r="U277" s="247"/>
    </row>
    <row r="278" spans="1:21" ht="13" hidden="1" customHeight="1">
      <c r="A278" s="263"/>
      <c r="B278" s="247"/>
      <c r="C278" s="247"/>
      <c r="D278" s="287"/>
      <c r="E278" s="247"/>
      <c r="F278" s="288"/>
      <c r="G278" s="247"/>
      <c r="H278" s="247"/>
      <c r="I278" s="247"/>
      <c r="J278" s="247"/>
      <c r="K278" s="247"/>
      <c r="L278" s="247"/>
      <c r="M278" s="247"/>
      <c r="N278" s="247"/>
      <c r="O278" s="247"/>
      <c r="P278" s="247"/>
      <c r="Q278" s="247"/>
      <c r="R278" s="247"/>
      <c r="S278" s="247"/>
      <c r="T278" s="247"/>
      <c r="U278" s="247"/>
    </row>
    <row r="279" spans="1:21" ht="13" hidden="1" customHeight="1">
      <c r="A279" s="263"/>
      <c r="B279" s="247"/>
      <c r="C279" s="247"/>
      <c r="D279" s="287"/>
      <c r="E279" s="247"/>
      <c r="F279" s="288"/>
      <c r="G279" s="247"/>
      <c r="H279" s="247"/>
      <c r="I279" s="247"/>
      <c r="J279" s="247"/>
      <c r="K279" s="247"/>
      <c r="L279" s="247"/>
      <c r="M279" s="247"/>
      <c r="N279" s="247"/>
      <c r="O279" s="247"/>
      <c r="P279" s="247"/>
      <c r="Q279" s="247"/>
      <c r="R279" s="247"/>
      <c r="S279" s="247"/>
      <c r="T279" s="247"/>
      <c r="U279" s="247"/>
    </row>
    <row r="280" spans="1:21" ht="13" hidden="1" customHeight="1">
      <c r="A280" s="263"/>
      <c r="B280" s="247"/>
      <c r="C280" s="247"/>
      <c r="D280" s="287"/>
      <c r="E280" s="247"/>
      <c r="F280" s="288"/>
      <c r="G280" s="247"/>
      <c r="H280" s="247"/>
      <c r="I280" s="247"/>
      <c r="J280" s="247"/>
      <c r="K280" s="247"/>
      <c r="L280" s="247"/>
      <c r="M280" s="247"/>
      <c r="N280" s="247"/>
      <c r="O280" s="247"/>
      <c r="P280" s="247"/>
      <c r="Q280" s="247"/>
      <c r="R280" s="247"/>
      <c r="S280" s="247"/>
      <c r="T280" s="247"/>
      <c r="U280" s="247"/>
    </row>
    <row r="281" spans="1:21" ht="13" hidden="1" customHeight="1">
      <c r="A281" s="263"/>
      <c r="B281" s="247"/>
      <c r="C281" s="247"/>
      <c r="D281" s="287"/>
      <c r="E281" s="247"/>
      <c r="F281" s="288"/>
      <c r="G281" s="247"/>
      <c r="H281" s="247"/>
      <c r="I281" s="247"/>
      <c r="J281" s="247"/>
      <c r="K281" s="247"/>
      <c r="L281" s="247"/>
      <c r="M281" s="247"/>
      <c r="N281" s="247"/>
      <c r="O281" s="247"/>
      <c r="P281" s="247"/>
      <c r="Q281" s="247"/>
      <c r="R281" s="247"/>
      <c r="S281" s="247"/>
      <c r="T281" s="247"/>
      <c r="U281" s="247"/>
    </row>
    <row r="282" spans="1:21" ht="13" hidden="1" customHeight="1">
      <c r="A282" s="263"/>
      <c r="B282" s="247"/>
      <c r="C282" s="247"/>
      <c r="D282" s="287"/>
      <c r="E282" s="247"/>
      <c r="F282" s="288"/>
      <c r="G282" s="247"/>
      <c r="H282" s="247"/>
      <c r="I282" s="247"/>
      <c r="J282" s="247"/>
      <c r="K282" s="247"/>
      <c r="L282" s="247"/>
      <c r="M282" s="247"/>
      <c r="N282" s="247"/>
      <c r="O282" s="247"/>
      <c r="P282" s="247"/>
      <c r="Q282" s="247"/>
      <c r="R282" s="247"/>
      <c r="S282" s="247"/>
      <c r="T282" s="247"/>
      <c r="U282" s="247"/>
    </row>
    <row r="283" spans="1:21" ht="13" hidden="1" customHeight="1">
      <c r="A283" s="263"/>
      <c r="B283" s="247"/>
      <c r="C283" s="247"/>
      <c r="D283" s="287"/>
      <c r="E283" s="247"/>
      <c r="F283" s="288"/>
      <c r="G283" s="247"/>
      <c r="H283" s="247"/>
      <c r="I283" s="247"/>
      <c r="J283" s="247"/>
      <c r="K283" s="247"/>
      <c r="L283" s="247"/>
      <c r="M283" s="247"/>
      <c r="N283" s="247"/>
      <c r="O283" s="247"/>
      <c r="P283" s="247"/>
      <c r="Q283" s="247"/>
      <c r="R283" s="247"/>
      <c r="S283" s="247"/>
      <c r="T283" s="247"/>
      <c r="U283" s="247"/>
    </row>
    <row r="284" spans="1:21" ht="13" hidden="1" customHeight="1">
      <c r="A284" s="263"/>
      <c r="B284" s="247"/>
      <c r="C284" s="247"/>
      <c r="D284" s="287"/>
      <c r="E284" s="247"/>
      <c r="F284" s="288"/>
      <c r="G284" s="247"/>
      <c r="H284" s="247"/>
      <c r="I284" s="247"/>
      <c r="J284" s="247"/>
      <c r="K284" s="247"/>
      <c r="L284" s="247"/>
      <c r="M284" s="247"/>
      <c r="N284" s="247"/>
      <c r="O284" s="247"/>
      <c r="P284" s="247"/>
      <c r="Q284" s="247"/>
      <c r="R284" s="247"/>
      <c r="S284" s="247"/>
      <c r="T284" s="247"/>
      <c r="U284" s="247"/>
    </row>
    <row r="285" spans="1:21" ht="13" hidden="1" customHeight="1">
      <c r="A285" s="263"/>
      <c r="B285" s="247"/>
      <c r="C285" s="247"/>
      <c r="D285" s="287"/>
      <c r="E285" s="247"/>
      <c r="F285" s="288"/>
      <c r="G285" s="247"/>
      <c r="H285" s="247"/>
      <c r="I285" s="247"/>
      <c r="J285" s="247"/>
      <c r="K285" s="247"/>
      <c r="L285" s="247"/>
      <c r="M285" s="247"/>
      <c r="N285" s="247"/>
      <c r="O285" s="247"/>
      <c r="P285" s="247"/>
      <c r="Q285" s="247"/>
      <c r="R285" s="247"/>
      <c r="S285" s="247"/>
      <c r="T285" s="247"/>
      <c r="U285" s="247"/>
    </row>
    <row r="286" spans="1:21" ht="13" hidden="1" customHeight="1">
      <c r="A286" s="263"/>
      <c r="B286" s="247"/>
      <c r="C286" s="247"/>
      <c r="D286" s="287"/>
      <c r="E286" s="247"/>
      <c r="F286" s="288"/>
      <c r="G286" s="247"/>
      <c r="H286" s="247"/>
      <c r="I286" s="247"/>
      <c r="J286" s="247"/>
      <c r="K286" s="247"/>
      <c r="L286" s="247"/>
      <c r="M286" s="247"/>
      <c r="N286" s="247"/>
      <c r="O286" s="247"/>
      <c r="P286" s="247"/>
      <c r="Q286" s="247"/>
      <c r="R286" s="247"/>
      <c r="S286" s="247"/>
      <c r="T286" s="247"/>
      <c r="U286" s="247"/>
    </row>
    <row r="287" spans="1:21" ht="13" hidden="1" customHeight="1">
      <c r="A287" s="263"/>
      <c r="B287" s="247"/>
      <c r="C287" s="247"/>
      <c r="D287" s="287"/>
      <c r="E287" s="247"/>
      <c r="F287" s="288"/>
      <c r="G287" s="247"/>
      <c r="H287" s="247"/>
      <c r="I287" s="247"/>
      <c r="J287" s="247"/>
      <c r="K287" s="247"/>
      <c r="L287" s="247"/>
      <c r="M287" s="247"/>
      <c r="N287" s="247"/>
      <c r="O287" s="247"/>
      <c r="P287" s="247"/>
      <c r="Q287" s="247"/>
      <c r="R287" s="247"/>
      <c r="S287" s="247"/>
      <c r="T287" s="247"/>
      <c r="U287" s="247"/>
    </row>
    <row r="288" spans="1:21" ht="13" hidden="1" customHeight="1">
      <c r="A288" s="263"/>
      <c r="B288" s="247"/>
      <c r="C288" s="247"/>
      <c r="D288" s="287"/>
      <c r="E288" s="247"/>
      <c r="F288" s="288"/>
      <c r="G288" s="247"/>
      <c r="H288" s="247"/>
      <c r="I288" s="247"/>
      <c r="J288" s="247"/>
      <c r="K288" s="247"/>
      <c r="L288" s="247"/>
      <c r="M288" s="247"/>
      <c r="N288" s="247"/>
      <c r="O288" s="247"/>
      <c r="P288" s="247"/>
      <c r="Q288" s="247"/>
      <c r="R288" s="247"/>
      <c r="S288" s="247"/>
      <c r="T288" s="247"/>
      <c r="U288" s="247"/>
    </row>
    <row r="289" spans="1:21" ht="13" hidden="1" customHeight="1">
      <c r="A289" s="263"/>
      <c r="B289" s="247"/>
      <c r="C289" s="247"/>
      <c r="D289" s="287"/>
      <c r="E289" s="247"/>
      <c r="F289" s="288"/>
      <c r="G289" s="247"/>
      <c r="H289" s="247"/>
      <c r="I289" s="247"/>
      <c r="J289" s="247"/>
      <c r="K289" s="247"/>
      <c r="L289" s="247"/>
      <c r="M289" s="247"/>
      <c r="N289" s="247"/>
      <c r="O289" s="247"/>
      <c r="P289" s="247"/>
      <c r="Q289" s="247"/>
      <c r="R289" s="247"/>
      <c r="S289" s="247"/>
      <c r="T289" s="247"/>
      <c r="U289" s="247"/>
    </row>
    <row r="290" spans="1:21" ht="13" hidden="1" customHeight="1">
      <c r="A290" s="263"/>
      <c r="B290" s="247"/>
      <c r="C290" s="247"/>
      <c r="D290" s="287"/>
      <c r="E290" s="247"/>
      <c r="F290" s="288"/>
      <c r="G290" s="247"/>
      <c r="H290" s="247"/>
      <c r="I290" s="247"/>
      <c r="J290" s="247"/>
      <c r="K290" s="247"/>
      <c r="L290" s="247"/>
      <c r="M290" s="247"/>
      <c r="N290" s="247"/>
      <c r="O290" s="247"/>
      <c r="P290" s="247"/>
      <c r="Q290" s="247"/>
      <c r="R290" s="247"/>
      <c r="S290" s="247"/>
      <c r="T290" s="247"/>
      <c r="U290" s="247"/>
    </row>
    <row r="291" spans="1:21" ht="13" hidden="1" customHeight="1">
      <c r="A291" s="263"/>
      <c r="B291" s="247"/>
      <c r="C291" s="247"/>
      <c r="D291" s="287"/>
      <c r="E291" s="247"/>
      <c r="F291" s="288"/>
      <c r="G291" s="247"/>
      <c r="H291" s="247"/>
      <c r="I291" s="247"/>
      <c r="J291" s="247"/>
      <c r="K291" s="247"/>
      <c r="L291" s="247"/>
      <c r="M291" s="247"/>
      <c r="N291" s="247"/>
      <c r="O291" s="247"/>
      <c r="P291" s="247"/>
      <c r="Q291" s="247"/>
      <c r="R291" s="247"/>
      <c r="S291" s="247"/>
      <c r="T291" s="247"/>
      <c r="U291" s="247"/>
    </row>
    <row r="292" spans="1:21" ht="13" hidden="1" customHeight="1">
      <c r="A292" s="263"/>
      <c r="B292" s="247"/>
      <c r="C292" s="247"/>
      <c r="D292" s="287"/>
      <c r="E292" s="247"/>
      <c r="F292" s="288"/>
      <c r="G292" s="247"/>
      <c r="H292" s="247"/>
      <c r="I292" s="247"/>
      <c r="J292" s="247"/>
      <c r="K292" s="247"/>
      <c r="L292" s="247"/>
      <c r="M292" s="247"/>
      <c r="N292" s="247"/>
      <c r="O292" s="247"/>
      <c r="P292" s="247"/>
      <c r="Q292" s="247"/>
      <c r="R292" s="247"/>
      <c r="S292" s="247"/>
      <c r="T292" s="247"/>
      <c r="U292" s="247"/>
    </row>
    <row r="293" spans="1:21" ht="13" hidden="1" customHeight="1">
      <c r="A293" s="263"/>
      <c r="B293" s="247"/>
      <c r="C293" s="247"/>
      <c r="D293" s="287"/>
      <c r="E293" s="247"/>
      <c r="F293" s="288"/>
      <c r="G293" s="247"/>
      <c r="H293" s="247"/>
      <c r="I293" s="247"/>
      <c r="J293" s="247"/>
      <c r="K293" s="247"/>
      <c r="L293" s="247"/>
      <c r="M293" s="247"/>
      <c r="N293" s="247"/>
      <c r="O293" s="247"/>
      <c r="P293" s="247"/>
      <c r="Q293" s="247"/>
      <c r="R293" s="247"/>
      <c r="S293" s="247"/>
      <c r="T293" s="247"/>
      <c r="U293" s="247"/>
    </row>
    <row r="294" spans="1:21" ht="13" hidden="1" customHeight="1">
      <c r="A294" s="263"/>
      <c r="B294" s="247"/>
      <c r="C294" s="247"/>
      <c r="D294" s="287"/>
      <c r="E294" s="247"/>
      <c r="F294" s="288"/>
      <c r="G294" s="247"/>
      <c r="H294" s="247"/>
      <c r="I294" s="247"/>
      <c r="J294" s="247"/>
      <c r="K294" s="247"/>
      <c r="L294" s="247"/>
      <c r="M294" s="247"/>
      <c r="N294" s="247"/>
      <c r="O294" s="247"/>
      <c r="P294" s="247"/>
      <c r="Q294" s="247"/>
      <c r="R294" s="247"/>
      <c r="S294" s="247"/>
      <c r="T294" s="247"/>
      <c r="U294" s="247"/>
    </row>
    <row r="295" spans="1:21" ht="13" hidden="1" customHeight="1">
      <c r="A295" s="263"/>
      <c r="B295" s="247"/>
      <c r="C295" s="247"/>
      <c r="D295" s="287"/>
      <c r="E295" s="247"/>
      <c r="F295" s="288"/>
      <c r="G295" s="247"/>
      <c r="H295" s="247"/>
      <c r="I295" s="247"/>
      <c r="J295" s="247"/>
      <c r="K295" s="247"/>
      <c r="L295" s="247"/>
      <c r="M295" s="247"/>
      <c r="N295" s="247"/>
      <c r="O295" s="247"/>
      <c r="P295" s="247"/>
      <c r="Q295" s="247"/>
      <c r="R295" s="247"/>
      <c r="S295" s="247"/>
      <c r="T295" s="247"/>
      <c r="U295" s="247"/>
    </row>
    <row r="296" spans="1:21" ht="13" hidden="1" customHeight="1">
      <c r="A296" s="263"/>
      <c r="B296" s="247"/>
      <c r="C296" s="247"/>
      <c r="D296" s="287"/>
      <c r="E296" s="247"/>
      <c r="F296" s="288"/>
      <c r="G296" s="247"/>
      <c r="H296" s="247"/>
      <c r="I296" s="247"/>
      <c r="J296" s="247"/>
      <c r="K296" s="247"/>
      <c r="L296" s="247"/>
      <c r="M296" s="247"/>
      <c r="N296" s="247"/>
      <c r="O296" s="247"/>
      <c r="P296" s="247"/>
      <c r="Q296" s="247"/>
      <c r="R296" s="247"/>
      <c r="S296" s="247"/>
      <c r="T296" s="247"/>
      <c r="U296" s="247"/>
    </row>
    <row r="297" spans="1:21" ht="13" hidden="1" customHeight="1">
      <c r="A297" s="263"/>
      <c r="B297" s="247"/>
      <c r="C297" s="247"/>
      <c r="D297" s="287"/>
      <c r="E297" s="247"/>
      <c r="F297" s="288"/>
      <c r="G297" s="247"/>
      <c r="H297" s="247"/>
      <c r="I297" s="247"/>
      <c r="J297" s="247"/>
      <c r="K297" s="247"/>
      <c r="L297" s="247"/>
      <c r="M297" s="247"/>
      <c r="N297" s="247"/>
      <c r="O297" s="247"/>
      <c r="P297" s="247"/>
      <c r="Q297" s="247"/>
      <c r="R297" s="247"/>
      <c r="S297" s="247"/>
      <c r="T297" s="247"/>
      <c r="U297" s="247"/>
    </row>
    <row r="298" spans="1:21" ht="13" hidden="1" customHeight="1">
      <c r="A298" s="263"/>
      <c r="B298" s="247"/>
      <c r="C298" s="247"/>
      <c r="D298" s="287"/>
      <c r="E298" s="247"/>
      <c r="F298" s="288"/>
      <c r="G298" s="247"/>
      <c r="H298" s="247"/>
      <c r="I298" s="247"/>
      <c r="J298" s="247"/>
      <c r="K298" s="247"/>
      <c r="L298" s="247"/>
      <c r="M298" s="247"/>
      <c r="N298" s="247"/>
      <c r="O298" s="247"/>
      <c r="P298" s="247"/>
      <c r="Q298" s="247"/>
      <c r="R298" s="247"/>
      <c r="S298" s="247"/>
      <c r="T298" s="247"/>
      <c r="U298" s="247"/>
    </row>
    <row r="299" spans="1:21" ht="13" hidden="1" customHeight="1">
      <c r="A299" s="263"/>
      <c r="B299" s="247"/>
      <c r="C299" s="247"/>
      <c r="D299" s="287"/>
      <c r="E299" s="247"/>
      <c r="F299" s="288"/>
      <c r="G299" s="247"/>
      <c r="H299" s="247"/>
      <c r="I299" s="247"/>
      <c r="J299" s="247"/>
      <c r="K299" s="247"/>
      <c r="L299" s="247"/>
      <c r="M299" s="247"/>
      <c r="N299" s="247"/>
      <c r="O299" s="247"/>
      <c r="P299" s="247"/>
      <c r="Q299" s="247"/>
      <c r="R299" s="247"/>
      <c r="S299" s="247"/>
      <c r="T299" s="247"/>
      <c r="U299" s="247"/>
    </row>
    <row r="300" spans="1:21" ht="13" hidden="1" customHeight="1">
      <c r="A300" s="263"/>
      <c r="B300" s="247"/>
      <c r="C300" s="247"/>
      <c r="D300" s="287"/>
      <c r="E300" s="247"/>
      <c r="F300" s="288"/>
      <c r="G300" s="247"/>
      <c r="H300" s="247"/>
      <c r="I300" s="247"/>
      <c r="J300" s="247"/>
      <c r="K300" s="247"/>
      <c r="L300" s="247"/>
      <c r="M300" s="247"/>
      <c r="N300" s="247"/>
      <c r="O300" s="247"/>
      <c r="P300" s="247"/>
      <c r="Q300" s="247"/>
      <c r="R300" s="247"/>
      <c r="S300" s="247"/>
      <c r="T300" s="247"/>
      <c r="U300" s="247"/>
    </row>
    <row r="301" spans="1:21" ht="13" hidden="1" customHeight="1">
      <c r="A301" s="263"/>
      <c r="B301" s="247"/>
      <c r="C301" s="247"/>
      <c r="D301" s="287"/>
      <c r="E301" s="247"/>
      <c r="F301" s="288"/>
      <c r="G301" s="247"/>
      <c r="H301" s="247"/>
      <c r="I301" s="247"/>
      <c r="J301" s="247"/>
      <c r="K301" s="247"/>
      <c r="L301" s="247"/>
      <c r="M301" s="247"/>
      <c r="N301" s="247"/>
      <c r="O301" s="247"/>
      <c r="P301" s="247"/>
      <c r="Q301" s="247"/>
      <c r="R301" s="247"/>
      <c r="S301" s="247"/>
      <c r="T301" s="247"/>
      <c r="U301" s="247"/>
    </row>
    <row r="302" spans="1:21" ht="13" hidden="1" customHeight="1">
      <c r="A302" s="263"/>
      <c r="B302" s="247"/>
      <c r="C302" s="247"/>
      <c r="D302" s="287"/>
      <c r="E302" s="247"/>
      <c r="F302" s="288"/>
      <c r="G302" s="247"/>
      <c r="H302" s="247"/>
      <c r="I302" s="247"/>
      <c r="J302" s="247"/>
      <c r="K302" s="247"/>
      <c r="L302" s="247"/>
      <c r="M302" s="247"/>
      <c r="N302" s="247"/>
      <c r="O302" s="247"/>
      <c r="P302" s="247"/>
      <c r="Q302" s="247"/>
      <c r="R302" s="247"/>
      <c r="S302" s="247"/>
      <c r="T302" s="247"/>
      <c r="U302" s="247"/>
    </row>
    <row r="303" spans="1:21" ht="13" hidden="1" customHeight="1">
      <c r="A303" s="263"/>
      <c r="B303" s="247"/>
      <c r="C303" s="247"/>
      <c r="D303" s="287"/>
      <c r="E303" s="247"/>
      <c r="F303" s="288"/>
      <c r="G303" s="247"/>
      <c r="H303" s="247"/>
      <c r="I303" s="247"/>
      <c r="J303" s="247"/>
      <c r="K303" s="247"/>
      <c r="L303" s="247"/>
      <c r="M303" s="247"/>
      <c r="N303" s="247"/>
      <c r="O303" s="247"/>
      <c r="P303" s="247"/>
      <c r="Q303" s="247"/>
      <c r="R303" s="247"/>
      <c r="S303" s="247"/>
      <c r="T303" s="247"/>
      <c r="U303" s="247"/>
    </row>
    <row r="304" spans="1:21" ht="13" hidden="1" customHeight="1">
      <c r="A304" s="263"/>
      <c r="B304" s="247"/>
      <c r="C304" s="247"/>
      <c r="D304" s="287"/>
      <c r="E304" s="247"/>
      <c r="F304" s="288"/>
      <c r="G304" s="247"/>
      <c r="H304" s="247"/>
      <c r="I304" s="247"/>
      <c r="J304" s="247"/>
      <c r="K304" s="247"/>
      <c r="L304" s="247"/>
      <c r="M304" s="247"/>
      <c r="N304" s="247"/>
      <c r="O304" s="247"/>
      <c r="P304" s="247"/>
      <c r="Q304" s="247"/>
      <c r="R304" s="247"/>
      <c r="S304" s="247"/>
      <c r="T304" s="247"/>
      <c r="U304" s="247"/>
    </row>
    <row r="305" spans="1:21" ht="13" hidden="1" customHeight="1">
      <c r="A305" s="263"/>
      <c r="B305" s="247"/>
      <c r="C305" s="247"/>
      <c r="D305" s="287"/>
      <c r="E305" s="247"/>
      <c r="F305" s="288"/>
      <c r="G305" s="247"/>
      <c r="H305" s="247"/>
      <c r="I305" s="247"/>
      <c r="J305" s="247"/>
      <c r="K305" s="247"/>
      <c r="L305" s="247"/>
      <c r="M305" s="247"/>
      <c r="N305" s="247"/>
      <c r="O305" s="247"/>
      <c r="P305" s="247"/>
      <c r="Q305" s="247"/>
      <c r="R305" s="247"/>
      <c r="S305" s="247"/>
      <c r="T305" s="247"/>
      <c r="U305" s="247"/>
    </row>
    <row r="306" spans="1:21" ht="13" hidden="1" customHeight="1">
      <c r="A306" s="263"/>
      <c r="B306" s="247"/>
      <c r="C306" s="247"/>
      <c r="D306" s="287"/>
      <c r="E306" s="247"/>
      <c r="F306" s="288"/>
      <c r="G306" s="247"/>
      <c r="H306" s="247"/>
      <c r="I306" s="247"/>
      <c r="J306" s="247"/>
      <c r="K306" s="247"/>
      <c r="L306" s="247"/>
      <c r="M306" s="247"/>
      <c r="N306" s="247"/>
      <c r="O306" s="247"/>
      <c r="P306" s="247"/>
      <c r="Q306" s="247"/>
      <c r="R306" s="247"/>
      <c r="S306" s="247"/>
      <c r="T306" s="247"/>
      <c r="U306" s="247"/>
    </row>
    <row r="307" spans="1:21" ht="13" hidden="1" customHeight="1">
      <c r="A307" s="263"/>
      <c r="B307" s="247"/>
      <c r="C307" s="247"/>
      <c r="D307" s="287"/>
      <c r="E307" s="247"/>
      <c r="F307" s="288"/>
      <c r="G307" s="247"/>
      <c r="H307" s="247"/>
      <c r="I307" s="247"/>
      <c r="J307" s="247"/>
      <c r="K307" s="247"/>
      <c r="L307" s="247"/>
      <c r="M307" s="247"/>
      <c r="N307" s="247"/>
      <c r="O307" s="247"/>
      <c r="P307" s="247"/>
      <c r="Q307" s="247"/>
      <c r="R307" s="247"/>
      <c r="S307" s="247"/>
      <c r="T307" s="247"/>
      <c r="U307" s="247"/>
    </row>
    <row r="308" spans="1:21" ht="13" hidden="1" customHeight="1">
      <c r="A308" s="263"/>
      <c r="B308" s="247"/>
      <c r="C308" s="247"/>
      <c r="D308" s="287"/>
      <c r="E308" s="247"/>
      <c r="F308" s="288"/>
      <c r="G308" s="247"/>
      <c r="H308" s="247"/>
      <c r="I308" s="247"/>
      <c r="J308" s="247"/>
      <c r="K308" s="247"/>
      <c r="L308" s="247"/>
      <c r="M308" s="247"/>
      <c r="N308" s="247"/>
      <c r="O308" s="247"/>
      <c r="P308" s="247"/>
      <c r="Q308" s="247"/>
      <c r="R308" s="247"/>
      <c r="S308" s="247"/>
      <c r="T308" s="247"/>
      <c r="U308" s="247"/>
    </row>
    <row r="309" spans="1:21" ht="13" hidden="1" customHeight="1">
      <c r="A309" s="263"/>
      <c r="B309" s="247"/>
      <c r="C309" s="247"/>
      <c r="D309" s="287"/>
      <c r="E309" s="247"/>
      <c r="F309" s="288"/>
      <c r="G309" s="247"/>
      <c r="H309" s="247"/>
      <c r="I309" s="247"/>
      <c r="J309" s="247"/>
      <c r="K309" s="247"/>
      <c r="L309" s="247"/>
      <c r="M309" s="247"/>
      <c r="N309" s="247"/>
      <c r="O309" s="247"/>
      <c r="P309" s="247"/>
      <c r="Q309" s="247"/>
      <c r="R309" s="247"/>
      <c r="S309" s="247"/>
      <c r="T309" s="247"/>
      <c r="U309" s="247"/>
    </row>
    <row r="310" spans="1:21" ht="13" hidden="1" customHeight="1">
      <c r="A310" s="263"/>
      <c r="B310" s="247"/>
      <c r="C310" s="247"/>
      <c r="D310" s="287"/>
      <c r="E310" s="247"/>
      <c r="F310" s="288"/>
      <c r="G310" s="247"/>
      <c r="H310" s="247"/>
      <c r="I310" s="247"/>
      <c r="J310" s="247"/>
      <c r="K310" s="247"/>
      <c r="L310" s="247"/>
      <c r="M310" s="247"/>
      <c r="N310" s="247"/>
      <c r="O310" s="247"/>
      <c r="P310" s="247"/>
      <c r="Q310" s="247"/>
      <c r="R310" s="247"/>
      <c r="S310" s="247"/>
      <c r="T310" s="247"/>
      <c r="U310" s="247"/>
    </row>
    <row r="311" spans="1:21" ht="13" hidden="1" customHeight="1">
      <c r="A311" s="263"/>
      <c r="B311" s="247"/>
      <c r="C311" s="247"/>
      <c r="D311" s="287"/>
      <c r="E311" s="247"/>
      <c r="F311" s="288"/>
      <c r="G311" s="247"/>
      <c r="H311" s="247"/>
      <c r="I311" s="247"/>
      <c r="J311" s="247"/>
      <c r="K311" s="247"/>
      <c r="L311" s="247"/>
      <c r="M311" s="247"/>
      <c r="N311" s="247"/>
      <c r="O311" s="247"/>
      <c r="P311" s="247"/>
      <c r="Q311" s="247"/>
      <c r="R311" s="247"/>
      <c r="S311" s="247"/>
      <c r="T311" s="247"/>
      <c r="U311" s="247"/>
    </row>
    <row r="312" spans="1:21" ht="13" hidden="1" customHeight="1">
      <c r="A312" s="263"/>
      <c r="B312" s="247"/>
      <c r="C312" s="247"/>
      <c r="D312" s="287"/>
      <c r="E312" s="247"/>
      <c r="F312" s="288"/>
      <c r="G312" s="247"/>
      <c r="H312" s="247"/>
      <c r="I312" s="247"/>
      <c r="J312" s="247"/>
      <c r="K312" s="247"/>
      <c r="L312" s="247"/>
      <c r="M312" s="247"/>
      <c r="N312" s="247"/>
      <c r="O312" s="247"/>
      <c r="P312" s="247"/>
      <c r="Q312" s="247"/>
      <c r="R312" s="247"/>
      <c r="S312" s="247"/>
      <c r="T312" s="247"/>
      <c r="U312" s="247"/>
    </row>
    <row r="313" spans="1:21" ht="13" hidden="1" customHeight="1">
      <c r="A313" s="263"/>
      <c r="B313" s="247"/>
      <c r="C313" s="247"/>
      <c r="D313" s="287"/>
      <c r="E313" s="247"/>
      <c r="F313" s="288"/>
      <c r="G313" s="247"/>
      <c r="H313" s="247"/>
      <c r="I313" s="247"/>
      <c r="J313" s="247"/>
      <c r="K313" s="247"/>
      <c r="L313" s="247"/>
      <c r="M313" s="247"/>
      <c r="N313" s="247"/>
      <c r="O313" s="247"/>
      <c r="P313" s="247"/>
      <c r="Q313" s="247"/>
      <c r="R313" s="247"/>
      <c r="S313" s="247"/>
      <c r="T313" s="247"/>
      <c r="U313" s="247"/>
    </row>
    <row r="314" spans="1:21" ht="13" hidden="1" customHeight="1">
      <c r="A314" s="263"/>
      <c r="B314" s="247"/>
      <c r="C314" s="247"/>
      <c r="D314" s="287"/>
      <c r="E314" s="247"/>
      <c r="F314" s="288"/>
      <c r="G314" s="247"/>
      <c r="H314" s="247"/>
      <c r="I314" s="247"/>
      <c r="J314" s="247"/>
      <c r="K314" s="247"/>
      <c r="L314" s="247"/>
      <c r="M314" s="247"/>
      <c r="N314" s="247"/>
      <c r="O314" s="247"/>
      <c r="P314" s="247"/>
      <c r="Q314" s="247"/>
      <c r="R314" s="247"/>
      <c r="S314" s="247"/>
      <c r="T314" s="247"/>
      <c r="U314" s="247"/>
    </row>
    <row r="315" spans="1:21" ht="13" hidden="1" customHeight="1">
      <c r="A315" s="263"/>
      <c r="B315" s="247"/>
      <c r="C315" s="247"/>
      <c r="D315" s="287"/>
      <c r="E315" s="247"/>
      <c r="F315" s="288"/>
      <c r="G315" s="247"/>
      <c r="H315" s="247"/>
      <c r="I315" s="247"/>
      <c r="J315" s="247"/>
      <c r="K315" s="247"/>
      <c r="L315" s="247"/>
      <c r="M315" s="247"/>
      <c r="N315" s="247"/>
      <c r="O315" s="247"/>
      <c r="P315" s="247"/>
      <c r="Q315" s="247"/>
      <c r="R315" s="247"/>
      <c r="S315" s="247"/>
      <c r="T315" s="247"/>
      <c r="U315" s="247"/>
    </row>
    <row r="316" spans="1:21" ht="13" hidden="1" customHeight="1">
      <c r="A316" s="263"/>
      <c r="B316" s="247"/>
      <c r="C316" s="247"/>
      <c r="D316" s="287"/>
      <c r="E316" s="247"/>
      <c r="F316" s="288"/>
      <c r="G316" s="247"/>
      <c r="H316" s="247"/>
      <c r="I316" s="247"/>
      <c r="J316" s="247"/>
      <c r="K316" s="247"/>
      <c r="L316" s="247"/>
      <c r="M316" s="247"/>
      <c r="N316" s="247"/>
      <c r="O316" s="247"/>
      <c r="P316" s="247"/>
      <c r="Q316" s="247"/>
      <c r="R316" s="247"/>
      <c r="S316" s="247"/>
      <c r="T316" s="247"/>
      <c r="U316" s="247"/>
    </row>
    <row r="317" spans="1:21" ht="13" hidden="1" customHeight="1">
      <c r="A317" s="263"/>
      <c r="B317" s="247"/>
      <c r="C317" s="247"/>
      <c r="D317" s="287"/>
      <c r="E317" s="247"/>
      <c r="F317" s="288"/>
      <c r="G317" s="247"/>
      <c r="H317" s="247"/>
      <c r="I317" s="247"/>
      <c r="J317" s="247"/>
      <c r="K317" s="247"/>
      <c r="L317" s="247"/>
      <c r="M317" s="247"/>
      <c r="N317" s="247"/>
      <c r="O317" s="247"/>
      <c r="P317" s="247"/>
      <c r="Q317" s="247"/>
      <c r="R317" s="247"/>
      <c r="S317" s="247"/>
      <c r="T317" s="247"/>
      <c r="U317" s="247"/>
    </row>
    <row r="318" spans="1:21" ht="13" hidden="1" customHeight="1">
      <c r="A318" s="263"/>
      <c r="B318" s="247"/>
      <c r="C318" s="247"/>
      <c r="D318" s="287"/>
      <c r="E318" s="247"/>
      <c r="F318" s="288"/>
      <c r="G318" s="247"/>
      <c r="H318" s="247"/>
      <c r="I318" s="247"/>
      <c r="J318" s="247"/>
      <c r="K318" s="247"/>
      <c r="L318" s="247"/>
      <c r="M318" s="247"/>
      <c r="N318" s="247"/>
      <c r="O318" s="247"/>
      <c r="P318" s="247"/>
      <c r="Q318" s="247"/>
      <c r="R318" s="247"/>
      <c r="S318" s="247"/>
      <c r="T318" s="247"/>
      <c r="U318" s="247"/>
    </row>
    <row r="319" spans="1:21" ht="13" hidden="1" customHeight="1">
      <c r="A319" s="263"/>
      <c r="B319" s="247"/>
      <c r="C319" s="247"/>
      <c r="D319" s="287"/>
      <c r="E319" s="247"/>
      <c r="F319" s="288"/>
      <c r="G319" s="247"/>
      <c r="H319" s="247"/>
      <c r="I319" s="247"/>
      <c r="J319" s="247"/>
      <c r="K319" s="247"/>
      <c r="L319" s="247"/>
      <c r="M319" s="247"/>
      <c r="N319" s="247"/>
      <c r="O319" s="247"/>
      <c r="P319" s="247"/>
      <c r="Q319" s="247"/>
      <c r="R319" s="247"/>
      <c r="S319" s="247"/>
      <c r="T319" s="247"/>
      <c r="U319" s="247"/>
    </row>
    <row r="320" spans="1:21" ht="13" hidden="1" customHeight="1">
      <c r="A320" s="263"/>
      <c r="B320" s="247"/>
      <c r="C320" s="247"/>
      <c r="D320" s="287"/>
      <c r="E320" s="247"/>
      <c r="F320" s="288"/>
      <c r="G320" s="247"/>
      <c r="H320" s="247"/>
      <c r="I320" s="247"/>
      <c r="J320" s="247"/>
      <c r="K320" s="247"/>
      <c r="L320" s="247"/>
      <c r="M320" s="247"/>
      <c r="N320" s="247"/>
      <c r="O320" s="247"/>
      <c r="P320" s="247"/>
      <c r="Q320" s="247"/>
      <c r="R320" s="247"/>
      <c r="S320" s="247"/>
      <c r="T320" s="247"/>
      <c r="U320" s="247"/>
    </row>
    <row r="321" spans="1:21" ht="13" hidden="1" customHeight="1">
      <c r="A321" s="263"/>
      <c r="B321" s="247"/>
      <c r="C321" s="247"/>
      <c r="D321" s="287"/>
      <c r="E321" s="247"/>
      <c r="F321" s="288"/>
      <c r="G321" s="247"/>
      <c r="H321" s="247"/>
      <c r="I321" s="247"/>
      <c r="J321" s="247"/>
      <c r="K321" s="247"/>
      <c r="L321" s="247"/>
      <c r="M321" s="247"/>
      <c r="N321" s="247"/>
      <c r="O321" s="247"/>
      <c r="P321" s="247"/>
      <c r="Q321" s="247"/>
      <c r="R321" s="247"/>
      <c r="S321" s="247"/>
      <c r="T321" s="247"/>
      <c r="U321" s="247"/>
    </row>
    <row r="322" spans="1:21" ht="13" hidden="1" customHeight="1">
      <c r="A322" s="263"/>
      <c r="B322" s="247"/>
      <c r="C322" s="247"/>
      <c r="D322" s="287"/>
      <c r="E322" s="247"/>
      <c r="F322" s="288"/>
      <c r="G322" s="247"/>
      <c r="H322" s="247"/>
      <c r="I322" s="247"/>
      <c r="J322" s="247"/>
      <c r="K322" s="247"/>
      <c r="L322" s="247"/>
      <c r="M322" s="247"/>
      <c r="N322" s="247"/>
      <c r="O322" s="247"/>
      <c r="P322" s="247"/>
      <c r="Q322" s="247"/>
      <c r="R322" s="247"/>
      <c r="S322" s="247"/>
      <c r="T322" s="247"/>
      <c r="U322" s="247"/>
    </row>
    <row r="323" spans="1:21" ht="13" hidden="1" customHeight="1">
      <c r="A323" s="263"/>
      <c r="B323" s="247"/>
      <c r="C323" s="247"/>
      <c r="D323" s="287"/>
      <c r="E323" s="247"/>
      <c r="F323" s="288"/>
      <c r="G323" s="247"/>
      <c r="H323" s="247"/>
      <c r="I323" s="247"/>
      <c r="J323" s="247"/>
      <c r="K323" s="247"/>
      <c r="L323" s="247"/>
      <c r="M323" s="247"/>
      <c r="N323" s="247"/>
      <c r="O323" s="247"/>
      <c r="P323" s="247"/>
      <c r="Q323" s="247"/>
      <c r="R323" s="247"/>
      <c r="S323" s="247"/>
      <c r="T323" s="247"/>
      <c r="U323" s="247"/>
    </row>
    <row r="324" spans="1:21" ht="13" hidden="1" customHeight="1">
      <c r="A324" s="263"/>
      <c r="B324" s="247"/>
      <c r="C324" s="247"/>
      <c r="D324" s="287"/>
      <c r="E324" s="247"/>
      <c r="F324" s="288"/>
      <c r="G324" s="247"/>
      <c r="H324" s="247"/>
      <c r="I324" s="247"/>
      <c r="J324" s="247"/>
      <c r="K324" s="247"/>
      <c r="L324" s="247"/>
      <c r="M324" s="247"/>
      <c r="N324" s="247"/>
      <c r="O324" s="247"/>
      <c r="P324" s="247"/>
      <c r="Q324" s="247"/>
      <c r="R324" s="247"/>
      <c r="S324" s="247"/>
      <c r="T324" s="247"/>
      <c r="U324" s="247"/>
    </row>
    <row r="325" spans="1:21" ht="13" hidden="1" customHeight="1">
      <c r="A325" s="263"/>
      <c r="B325" s="247"/>
      <c r="C325" s="247"/>
      <c r="D325" s="287"/>
      <c r="E325" s="247"/>
      <c r="F325" s="288"/>
      <c r="G325" s="247"/>
      <c r="H325" s="247"/>
      <c r="I325" s="247"/>
      <c r="J325" s="247"/>
      <c r="K325" s="247"/>
      <c r="L325" s="247"/>
      <c r="M325" s="247"/>
      <c r="N325" s="247"/>
      <c r="O325" s="247"/>
      <c r="P325" s="247"/>
      <c r="Q325" s="247"/>
      <c r="R325" s="247"/>
      <c r="S325" s="247"/>
      <c r="T325" s="247"/>
      <c r="U325" s="247"/>
    </row>
    <row r="326" spans="1:21" ht="13" hidden="1" customHeight="1">
      <c r="A326" s="263"/>
      <c r="B326" s="247"/>
      <c r="C326" s="247"/>
      <c r="D326" s="287"/>
      <c r="E326" s="247"/>
      <c r="F326" s="288"/>
      <c r="G326" s="247"/>
      <c r="H326" s="247"/>
      <c r="I326" s="247"/>
      <c r="J326" s="247"/>
      <c r="K326" s="247"/>
      <c r="L326" s="247"/>
      <c r="M326" s="247"/>
      <c r="N326" s="247"/>
      <c r="O326" s="247"/>
      <c r="P326" s="247"/>
      <c r="Q326" s="247"/>
      <c r="R326" s="247"/>
      <c r="S326" s="247"/>
      <c r="T326" s="247"/>
      <c r="U326" s="247"/>
    </row>
    <row r="327" spans="1:21" ht="13" hidden="1" customHeight="1">
      <c r="A327" s="263"/>
      <c r="B327" s="247"/>
      <c r="C327" s="247"/>
      <c r="D327" s="287"/>
      <c r="E327" s="247"/>
      <c r="F327" s="288"/>
      <c r="G327" s="247"/>
      <c r="H327" s="247"/>
      <c r="I327" s="247"/>
      <c r="J327" s="247"/>
      <c r="K327" s="247"/>
      <c r="L327" s="247"/>
      <c r="M327" s="247"/>
      <c r="N327" s="247"/>
      <c r="O327" s="247"/>
      <c r="P327" s="247"/>
      <c r="Q327" s="247"/>
      <c r="R327" s="247"/>
      <c r="S327" s="247"/>
      <c r="T327" s="247"/>
      <c r="U327" s="247"/>
    </row>
    <row r="328" spans="1:21" ht="13" hidden="1" customHeight="1">
      <c r="A328" s="263"/>
      <c r="B328" s="247"/>
      <c r="C328" s="247"/>
      <c r="D328" s="287"/>
      <c r="E328" s="247"/>
      <c r="F328" s="288"/>
      <c r="G328" s="247"/>
      <c r="H328" s="247"/>
      <c r="I328" s="247"/>
      <c r="J328" s="247"/>
      <c r="K328" s="247"/>
      <c r="L328" s="247"/>
      <c r="M328" s="247"/>
      <c r="N328" s="247"/>
      <c r="O328" s="247"/>
      <c r="P328" s="247"/>
      <c r="Q328" s="247"/>
      <c r="R328" s="247"/>
      <c r="S328" s="247"/>
      <c r="T328" s="247"/>
      <c r="U328" s="247"/>
    </row>
    <row r="329" spans="1:21" ht="13" hidden="1" customHeight="1">
      <c r="A329" s="263"/>
      <c r="B329" s="247"/>
      <c r="C329" s="247"/>
      <c r="D329" s="287"/>
      <c r="E329" s="247"/>
      <c r="F329" s="288"/>
      <c r="G329" s="247"/>
      <c r="H329" s="247"/>
      <c r="I329" s="247"/>
      <c r="J329" s="247"/>
      <c r="K329" s="247"/>
      <c r="L329" s="247"/>
      <c r="M329" s="247"/>
      <c r="N329" s="247"/>
      <c r="O329" s="247"/>
      <c r="P329" s="247"/>
      <c r="Q329" s="247"/>
      <c r="R329" s="247"/>
      <c r="S329" s="247"/>
      <c r="T329" s="247"/>
      <c r="U329" s="247"/>
    </row>
    <row r="330" spans="1:21" ht="13" hidden="1" customHeight="1">
      <c r="A330" s="263"/>
      <c r="B330" s="247"/>
      <c r="C330" s="247"/>
      <c r="D330" s="287"/>
      <c r="E330" s="247"/>
      <c r="F330" s="288"/>
      <c r="G330" s="247"/>
      <c r="H330" s="247"/>
      <c r="I330" s="247"/>
      <c r="J330" s="247"/>
      <c r="K330" s="247"/>
      <c r="L330" s="247"/>
      <c r="M330" s="247"/>
      <c r="N330" s="247"/>
      <c r="O330" s="247"/>
      <c r="P330" s="247"/>
      <c r="Q330" s="247"/>
      <c r="R330" s="247"/>
      <c r="S330" s="247"/>
      <c r="T330" s="247"/>
      <c r="U330" s="247"/>
    </row>
    <row r="331" spans="1:21" ht="13" hidden="1" customHeight="1">
      <c r="A331" s="263"/>
      <c r="B331" s="247"/>
      <c r="C331" s="247"/>
      <c r="D331" s="287"/>
      <c r="E331" s="247"/>
      <c r="F331" s="288"/>
      <c r="G331" s="247"/>
      <c r="H331" s="247"/>
      <c r="I331" s="247"/>
      <c r="J331" s="247"/>
      <c r="K331" s="247"/>
      <c r="L331" s="247"/>
      <c r="M331" s="247"/>
      <c r="N331" s="247"/>
      <c r="O331" s="247"/>
      <c r="P331" s="247"/>
      <c r="Q331" s="247"/>
      <c r="R331" s="247"/>
      <c r="S331" s="247"/>
      <c r="T331" s="247"/>
      <c r="U331" s="247"/>
    </row>
    <row r="332" spans="1:21" ht="13" hidden="1" customHeight="1">
      <c r="A332" s="263"/>
      <c r="B332" s="247"/>
      <c r="C332" s="247"/>
      <c r="D332" s="287"/>
      <c r="E332" s="247"/>
      <c r="F332" s="288"/>
      <c r="G332" s="247"/>
      <c r="H332" s="247"/>
      <c r="I332" s="247"/>
      <c r="J332" s="247"/>
      <c r="K332" s="247"/>
      <c r="L332" s="247"/>
      <c r="M332" s="247"/>
      <c r="N332" s="247"/>
      <c r="O332" s="247"/>
      <c r="P332" s="247"/>
      <c r="Q332" s="247"/>
      <c r="R332" s="247"/>
      <c r="S332" s="247"/>
      <c r="T332" s="247"/>
      <c r="U332" s="247"/>
    </row>
    <row r="333" spans="1:21" ht="13" hidden="1" customHeight="1">
      <c r="A333" s="263"/>
      <c r="B333" s="247"/>
      <c r="C333" s="247"/>
      <c r="D333" s="287"/>
      <c r="E333" s="247"/>
      <c r="F333" s="288"/>
      <c r="G333" s="247"/>
      <c r="H333" s="247"/>
      <c r="I333" s="247"/>
      <c r="J333" s="247"/>
      <c r="K333" s="247"/>
      <c r="L333" s="247"/>
      <c r="M333" s="247"/>
      <c r="N333" s="247"/>
      <c r="O333" s="247"/>
      <c r="P333" s="247"/>
      <c r="Q333" s="247"/>
      <c r="R333" s="247"/>
      <c r="S333" s="247"/>
      <c r="T333" s="247"/>
      <c r="U333" s="247"/>
    </row>
    <row r="334" spans="1:21" ht="13" hidden="1" customHeight="1">
      <c r="A334" s="263"/>
      <c r="B334" s="247"/>
      <c r="C334" s="247"/>
      <c r="D334" s="287"/>
      <c r="E334" s="247"/>
      <c r="F334" s="288"/>
      <c r="G334" s="247"/>
      <c r="H334" s="247"/>
      <c r="I334" s="247"/>
      <c r="J334" s="247"/>
      <c r="K334" s="247"/>
      <c r="L334" s="247"/>
      <c r="M334" s="247"/>
      <c r="N334" s="247"/>
      <c r="O334" s="247"/>
      <c r="P334" s="247"/>
      <c r="Q334" s="247"/>
      <c r="R334" s="247"/>
      <c r="S334" s="247"/>
      <c r="T334" s="247"/>
      <c r="U334" s="247"/>
    </row>
    <row r="335" spans="1:21" ht="13" hidden="1" customHeight="1">
      <c r="A335" s="263"/>
      <c r="B335" s="247"/>
      <c r="C335" s="247"/>
      <c r="D335" s="287"/>
      <c r="E335" s="247"/>
      <c r="F335" s="288"/>
      <c r="G335" s="247"/>
      <c r="H335" s="247"/>
      <c r="I335" s="247"/>
      <c r="J335" s="247"/>
      <c r="K335" s="247"/>
      <c r="L335" s="247"/>
      <c r="M335" s="247"/>
      <c r="N335" s="247"/>
      <c r="O335" s="247"/>
      <c r="P335" s="247"/>
      <c r="Q335" s="247"/>
      <c r="R335" s="247"/>
      <c r="S335" s="247"/>
      <c r="T335" s="247"/>
      <c r="U335" s="247"/>
    </row>
    <row r="336" spans="1:21" ht="13" hidden="1" customHeight="1">
      <c r="A336" s="263"/>
      <c r="B336" s="247"/>
      <c r="C336" s="247"/>
      <c r="D336" s="287"/>
      <c r="E336" s="247"/>
      <c r="F336" s="288"/>
      <c r="G336" s="247"/>
      <c r="H336" s="247"/>
      <c r="I336" s="247"/>
      <c r="J336" s="247"/>
      <c r="K336" s="247"/>
      <c r="L336" s="247"/>
      <c r="M336" s="247"/>
      <c r="N336" s="247"/>
      <c r="O336" s="247"/>
      <c r="P336" s="247"/>
      <c r="Q336" s="247"/>
      <c r="R336" s="247"/>
      <c r="S336" s="247"/>
      <c r="T336" s="247"/>
      <c r="U336" s="247"/>
    </row>
    <row r="337" spans="1:21" ht="13" hidden="1" customHeight="1">
      <c r="A337" s="263"/>
      <c r="B337" s="247"/>
      <c r="C337" s="247"/>
      <c r="D337" s="287"/>
      <c r="E337" s="247"/>
      <c r="F337" s="288"/>
      <c r="G337" s="247"/>
      <c r="H337" s="247"/>
      <c r="I337" s="247"/>
      <c r="J337" s="247"/>
      <c r="K337" s="247"/>
      <c r="L337" s="247"/>
      <c r="M337" s="247"/>
      <c r="N337" s="247"/>
      <c r="O337" s="247"/>
      <c r="P337" s="247"/>
      <c r="Q337" s="247"/>
      <c r="R337" s="247"/>
      <c r="S337" s="247"/>
      <c r="T337" s="247"/>
      <c r="U337" s="247"/>
    </row>
    <row r="338" spans="1:21" ht="13" hidden="1" customHeight="1">
      <c r="A338" s="263"/>
      <c r="B338" s="247"/>
      <c r="C338" s="247"/>
      <c r="D338" s="287"/>
      <c r="E338" s="247"/>
      <c r="F338" s="288"/>
      <c r="G338" s="247"/>
      <c r="H338" s="247"/>
      <c r="I338" s="247"/>
      <c r="J338" s="247"/>
      <c r="K338" s="247"/>
      <c r="L338" s="247"/>
      <c r="M338" s="247"/>
      <c r="N338" s="247"/>
      <c r="O338" s="247"/>
      <c r="P338" s="247"/>
      <c r="Q338" s="247"/>
      <c r="R338" s="247"/>
      <c r="S338" s="247"/>
      <c r="T338" s="247"/>
      <c r="U338" s="247"/>
    </row>
    <row r="339" spans="1:21" ht="13" hidden="1" customHeight="1">
      <c r="A339" s="263"/>
      <c r="B339" s="247"/>
      <c r="C339" s="247"/>
      <c r="D339" s="287"/>
      <c r="E339" s="247"/>
      <c r="F339" s="288"/>
      <c r="G339" s="247"/>
      <c r="H339" s="247"/>
      <c r="I339" s="247"/>
      <c r="J339" s="247"/>
      <c r="K339" s="247"/>
      <c r="L339" s="247"/>
      <c r="M339" s="247"/>
      <c r="N339" s="247"/>
      <c r="O339" s="247"/>
      <c r="P339" s="247"/>
      <c r="Q339" s="247"/>
      <c r="R339" s="247"/>
      <c r="S339" s="247"/>
      <c r="T339" s="247"/>
      <c r="U339" s="247"/>
    </row>
    <row r="340" spans="1:21" ht="13" hidden="1" customHeight="1">
      <c r="A340" s="263"/>
      <c r="B340" s="247"/>
      <c r="C340" s="247"/>
      <c r="D340" s="287"/>
      <c r="E340" s="247"/>
      <c r="F340" s="288"/>
      <c r="G340" s="247"/>
      <c r="H340" s="247"/>
      <c r="I340" s="247"/>
      <c r="J340" s="247"/>
      <c r="K340" s="247"/>
      <c r="L340" s="247"/>
      <c r="M340" s="247"/>
      <c r="N340" s="247"/>
      <c r="O340" s="247"/>
      <c r="P340" s="247"/>
      <c r="Q340" s="247"/>
      <c r="R340" s="247"/>
      <c r="S340" s="247"/>
      <c r="T340" s="247"/>
      <c r="U340" s="247"/>
    </row>
    <row r="341" spans="1:21" ht="13" hidden="1" customHeight="1">
      <c r="A341" s="263"/>
      <c r="B341" s="247"/>
      <c r="C341" s="247"/>
      <c r="D341" s="287"/>
      <c r="E341" s="247"/>
      <c r="F341" s="288"/>
      <c r="G341" s="247"/>
      <c r="H341" s="247"/>
      <c r="I341" s="247"/>
      <c r="J341" s="247"/>
      <c r="K341" s="247"/>
      <c r="L341" s="247"/>
      <c r="M341" s="247"/>
      <c r="N341" s="247"/>
      <c r="O341" s="247"/>
      <c r="P341" s="247"/>
      <c r="Q341" s="247"/>
      <c r="R341" s="247"/>
      <c r="S341" s="247"/>
      <c r="T341" s="247"/>
      <c r="U341" s="247"/>
    </row>
    <row r="342" spans="1:21" ht="13" hidden="1" customHeight="1">
      <c r="A342" s="263"/>
      <c r="B342" s="247"/>
      <c r="C342" s="247"/>
      <c r="D342" s="287"/>
      <c r="E342" s="247"/>
      <c r="F342" s="288"/>
      <c r="G342" s="247"/>
      <c r="H342" s="247"/>
      <c r="I342" s="247"/>
      <c r="J342" s="247"/>
      <c r="K342" s="247"/>
      <c r="L342" s="247"/>
      <c r="M342" s="247"/>
      <c r="N342" s="247"/>
      <c r="O342" s="247"/>
      <c r="P342" s="247"/>
      <c r="Q342" s="247"/>
      <c r="R342" s="247"/>
      <c r="S342" s="247"/>
      <c r="T342" s="247"/>
      <c r="U342" s="247"/>
    </row>
    <row r="343" spans="1:21" ht="13" hidden="1" customHeight="1">
      <c r="A343" s="263"/>
      <c r="B343" s="247"/>
      <c r="C343" s="247"/>
      <c r="D343" s="287"/>
      <c r="E343" s="247"/>
      <c r="F343" s="288"/>
      <c r="G343" s="247"/>
      <c r="H343" s="247"/>
      <c r="I343" s="247"/>
      <c r="J343" s="247"/>
      <c r="K343" s="247"/>
      <c r="L343" s="247"/>
      <c r="M343" s="247"/>
      <c r="N343" s="247"/>
      <c r="O343" s="247"/>
      <c r="P343" s="247"/>
      <c r="Q343" s="247"/>
      <c r="R343" s="247"/>
      <c r="S343" s="247"/>
      <c r="T343" s="247"/>
      <c r="U343" s="247"/>
    </row>
    <row r="344" spans="1:21" ht="13" hidden="1" customHeight="1">
      <c r="A344" s="263"/>
      <c r="B344" s="247"/>
      <c r="C344" s="247"/>
      <c r="D344" s="287"/>
      <c r="E344" s="247"/>
      <c r="F344" s="288"/>
      <c r="G344" s="247"/>
      <c r="H344" s="247"/>
      <c r="I344" s="247"/>
      <c r="J344" s="247"/>
      <c r="K344" s="247"/>
      <c r="L344" s="247"/>
      <c r="M344" s="247"/>
      <c r="N344" s="247"/>
      <c r="O344" s="247"/>
      <c r="P344" s="247"/>
      <c r="Q344" s="247"/>
      <c r="R344" s="247"/>
      <c r="S344" s="247"/>
      <c r="T344" s="247"/>
      <c r="U344" s="247"/>
    </row>
    <row r="345" spans="1:21" ht="13" hidden="1" customHeight="1">
      <c r="A345" s="263"/>
      <c r="B345" s="247"/>
      <c r="C345" s="247"/>
      <c r="D345" s="287"/>
      <c r="E345" s="247"/>
      <c r="F345" s="288"/>
      <c r="G345" s="247"/>
      <c r="H345" s="247"/>
      <c r="I345" s="247"/>
      <c r="J345" s="247"/>
      <c r="K345" s="247"/>
      <c r="L345" s="247"/>
      <c r="M345" s="247"/>
      <c r="N345" s="247"/>
      <c r="O345" s="247"/>
      <c r="P345" s="247"/>
      <c r="Q345" s="247"/>
      <c r="R345" s="247"/>
      <c r="S345" s="247"/>
      <c r="T345" s="247"/>
      <c r="U345" s="247"/>
    </row>
    <row r="346" spans="1:21" ht="13" hidden="1" customHeight="1">
      <c r="A346" s="263"/>
      <c r="B346" s="247"/>
      <c r="C346" s="247"/>
      <c r="D346" s="287"/>
      <c r="E346" s="247"/>
      <c r="F346" s="288"/>
      <c r="G346" s="247"/>
      <c r="H346" s="247"/>
      <c r="I346" s="247"/>
      <c r="J346" s="247"/>
      <c r="K346" s="247"/>
      <c r="L346" s="247"/>
      <c r="M346" s="247"/>
      <c r="N346" s="247"/>
      <c r="O346" s="247"/>
      <c r="P346" s="247"/>
      <c r="Q346" s="247"/>
      <c r="R346" s="247"/>
      <c r="S346" s="247"/>
      <c r="T346" s="247"/>
      <c r="U346" s="247"/>
    </row>
    <row r="347" spans="1:21" ht="13" hidden="1" customHeight="1">
      <c r="A347" s="263"/>
      <c r="B347" s="247"/>
      <c r="C347" s="247"/>
      <c r="D347" s="287"/>
      <c r="E347" s="247"/>
      <c r="F347" s="288"/>
      <c r="G347" s="247"/>
      <c r="H347" s="247"/>
      <c r="I347" s="247"/>
      <c r="J347" s="247"/>
      <c r="K347" s="247"/>
      <c r="L347" s="247"/>
      <c r="M347" s="247"/>
      <c r="N347" s="247"/>
      <c r="O347" s="247"/>
      <c r="P347" s="247"/>
      <c r="Q347" s="247"/>
      <c r="R347" s="247"/>
      <c r="S347" s="247"/>
      <c r="T347" s="247"/>
      <c r="U347" s="247"/>
    </row>
    <row r="348" spans="1:21" ht="13" hidden="1" customHeight="1">
      <c r="A348" s="263"/>
      <c r="B348" s="247"/>
      <c r="C348" s="247"/>
      <c r="D348" s="287"/>
      <c r="E348" s="247"/>
      <c r="F348" s="288"/>
      <c r="G348" s="247"/>
      <c r="H348" s="247"/>
      <c r="I348" s="247"/>
      <c r="J348" s="247"/>
      <c r="K348" s="247"/>
      <c r="L348" s="247"/>
      <c r="M348" s="247"/>
      <c r="N348" s="247"/>
      <c r="O348" s="247"/>
      <c r="P348" s="247"/>
      <c r="Q348" s="247"/>
      <c r="R348" s="247"/>
      <c r="S348" s="247"/>
      <c r="T348" s="247"/>
      <c r="U348" s="247"/>
    </row>
    <row r="349" spans="1:21" ht="13" hidden="1" customHeight="1">
      <c r="A349" s="263"/>
      <c r="B349" s="247"/>
      <c r="C349" s="247"/>
      <c r="D349" s="287"/>
      <c r="E349" s="247"/>
      <c r="F349" s="288"/>
      <c r="G349" s="247"/>
      <c r="H349" s="247"/>
      <c r="I349" s="247"/>
      <c r="J349" s="247"/>
      <c r="K349" s="247"/>
      <c r="L349" s="247"/>
      <c r="M349" s="247"/>
      <c r="N349" s="247"/>
      <c r="O349" s="247"/>
      <c r="P349" s="247"/>
      <c r="Q349" s="247"/>
      <c r="R349" s="247"/>
      <c r="S349" s="247"/>
      <c r="T349" s="247"/>
      <c r="U349" s="247"/>
    </row>
    <row r="350" spans="1:21" ht="13" hidden="1" customHeight="1">
      <c r="A350" s="263"/>
      <c r="B350" s="247"/>
      <c r="C350" s="247"/>
      <c r="D350" s="287"/>
      <c r="E350" s="247"/>
      <c r="F350" s="288"/>
      <c r="G350" s="247"/>
      <c r="H350" s="247"/>
      <c r="I350" s="247"/>
      <c r="J350" s="247"/>
      <c r="K350" s="247"/>
      <c r="L350" s="247"/>
      <c r="M350" s="247"/>
      <c r="N350" s="247"/>
      <c r="O350" s="247"/>
      <c r="P350" s="247"/>
      <c r="Q350" s="247"/>
      <c r="R350" s="247"/>
      <c r="S350" s="247"/>
      <c r="T350" s="247"/>
      <c r="U350" s="247"/>
    </row>
    <row r="351" spans="1:21" ht="13" hidden="1" customHeight="1">
      <c r="A351" s="263"/>
      <c r="B351" s="247"/>
      <c r="C351" s="247"/>
      <c r="D351" s="287"/>
      <c r="E351" s="247"/>
      <c r="F351" s="288"/>
      <c r="G351" s="247"/>
      <c r="H351" s="247"/>
      <c r="I351" s="247"/>
      <c r="J351" s="247"/>
      <c r="K351" s="247"/>
      <c r="L351" s="247"/>
      <c r="M351" s="247"/>
      <c r="N351" s="247"/>
      <c r="O351" s="247"/>
      <c r="P351" s="247"/>
      <c r="Q351" s="247"/>
      <c r="R351" s="247"/>
      <c r="S351" s="247"/>
      <c r="T351" s="247"/>
      <c r="U351" s="247"/>
    </row>
    <row r="352" spans="1:21" ht="13" hidden="1" customHeight="1">
      <c r="A352" s="263"/>
      <c r="B352" s="247"/>
      <c r="C352" s="247"/>
      <c r="D352" s="287"/>
      <c r="E352" s="247"/>
      <c r="F352" s="288"/>
      <c r="G352" s="247"/>
      <c r="H352" s="247"/>
      <c r="I352" s="247"/>
      <c r="J352" s="247"/>
      <c r="K352" s="247"/>
      <c r="L352" s="247"/>
      <c r="M352" s="247"/>
      <c r="N352" s="247"/>
      <c r="O352" s="247"/>
      <c r="P352" s="247"/>
      <c r="Q352" s="247"/>
      <c r="R352" s="247"/>
      <c r="S352" s="247"/>
      <c r="T352" s="247"/>
      <c r="U352" s="247"/>
    </row>
    <row r="353" spans="1:21" ht="13" hidden="1" customHeight="1">
      <c r="A353" s="263"/>
      <c r="B353" s="247"/>
      <c r="C353" s="247"/>
      <c r="D353" s="287"/>
      <c r="E353" s="247"/>
      <c r="F353" s="288"/>
      <c r="G353" s="247"/>
      <c r="H353" s="247"/>
      <c r="I353" s="247"/>
      <c r="J353" s="247"/>
      <c r="K353" s="247"/>
      <c r="L353" s="247"/>
      <c r="M353" s="247"/>
      <c r="N353" s="247"/>
      <c r="O353" s="247"/>
      <c r="P353" s="247"/>
      <c r="Q353" s="247"/>
      <c r="R353" s="247"/>
      <c r="S353" s="247"/>
      <c r="T353" s="247"/>
      <c r="U353" s="247"/>
    </row>
    <row r="354" spans="1:21" ht="13" hidden="1" customHeight="1">
      <c r="A354" s="263"/>
      <c r="B354" s="247"/>
      <c r="C354" s="247"/>
      <c r="D354" s="287"/>
      <c r="E354" s="247"/>
      <c r="F354" s="288"/>
      <c r="G354" s="247"/>
      <c r="H354" s="247"/>
      <c r="I354" s="247"/>
      <c r="J354" s="247"/>
      <c r="K354" s="247"/>
      <c r="L354" s="247"/>
      <c r="M354" s="247"/>
      <c r="N354" s="247"/>
      <c r="O354" s="247"/>
      <c r="P354" s="247"/>
      <c r="Q354" s="247"/>
      <c r="R354" s="247"/>
      <c r="S354" s="247"/>
      <c r="T354" s="247"/>
      <c r="U354" s="247"/>
    </row>
    <row r="355" spans="1:21" ht="13" hidden="1" customHeight="1">
      <c r="A355" s="263"/>
      <c r="B355" s="247"/>
      <c r="C355" s="247"/>
      <c r="D355" s="287"/>
      <c r="E355" s="247"/>
      <c r="F355" s="288"/>
      <c r="G355" s="247"/>
      <c r="H355" s="247"/>
      <c r="I355" s="247"/>
      <c r="J355" s="247"/>
      <c r="K355" s="247"/>
      <c r="L355" s="247"/>
      <c r="M355" s="247"/>
      <c r="N355" s="247"/>
      <c r="O355" s="247"/>
      <c r="P355" s="247"/>
      <c r="Q355" s="247"/>
      <c r="R355" s="247"/>
      <c r="S355" s="247"/>
      <c r="T355" s="247"/>
      <c r="U355" s="247"/>
    </row>
    <row r="356" spans="1:21" ht="13" hidden="1" customHeight="1">
      <c r="A356" s="263"/>
      <c r="B356" s="247"/>
      <c r="C356" s="247"/>
      <c r="D356" s="287"/>
      <c r="E356" s="247"/>
      <c r="F356" s="288"/>
      <c r="G356" s="247"/>
      <c r="H356" s="247"/>
      <c r="I356" s="247"/>
      <c r="J356" s="247"/>
      <c r="K356" s="247"/>
      <c r="L356" s="247"/>
      <c r="M356" s="247"/>
      <c r="N356" s="247"/>
      <c r="O356" s="247"/>
      <c r="P356" s="247"/>
      <c r="Q356" s="247"/>
      <c r="R356" s="247"/>
      <c r="S356" s="247"/>
      <c r="T356" s="247"/>
      <c r="U356" s="247"/>
    </row>
    <row r="357" spans="1:21" ht="13" hidden="1" customHeight="1">
      <c r="A357" s="263"/>
      <c r="B357" s="247"/>
      <c r="C357" s="247"/>
      <c r="D357" s="287"/>
      <c r="E357" s="247"/>
      <c r="F357" s="288"/>
      <c r="G357" s="247"/>
      <c r="H357" s="247"/>
      <c r="I357" s="247"/>
      <c r="J357" s="247"/>
      <c r="K357" s="247"/>
      <c r="L357" s="247"/>
      <c r="M357" s="247"/>
      <c r="N357" s="247"/>
      <c r="O357" s="247"/>
      <c r="P357" s="247"/>
      <c r="Q357" s="247"/>
      <c r="R357" s="247"/>
      <c r="S357" s="247"/>
      <c r="T357" s="247"/>
      <c r="U357" s="247"/>
    </row>
    <row r="358" spans="1:21" ht="13" hidden="1" customHeight="1">
      <c r="A358" s="263"/>
      <c r="B358" s="247"/>
      <c r="C358" s="247"/>
      <c r="D358" s="287"/>
      <c r="E358" s="247"/>
      <c r="F358" s="288"/>
      <c r="G358" s="247"/>
      <c r="H358" s="247"/>
      <c r="I358" s="247"/>
      <c r="J358" s="247"/>
      <c r="K358" s="247"/>
      <c r="L358" s="247"/>
      <c r="M358" s="247"/>
      <c r="N358" s="247"/>
      <c r="O358" s="247"/>
      <c r="P358" s="247"/>
      <c r="Q358" s="247"/>
      <c r="R358" s="247"/>
      <c r="S358" s="247"/>
      <c r="T358" s="247"/>
      <c r="U358" s="247"/>
    </row>
    <row r="359" spans="1:21" ht="13" hidden="1" customHeight="1">
      <c r="A359" s="263"/>
      <c r="B359" s="247"/>
      <c r="C359" s="247"/>
      <c r="D359" s="287"/>
      <c r="E359" s="247"/>
      <c r="F359" s="288"/>
      <c r="G359" s="247"/>
      <c r="H359" s="247"/>
      <c r="I359" s="247"/>
      <c r="J359" s="247"/>
      <c r="K359" s="247"/>
      <c r="L359" s="247"/>
      <c r="M359" s="247"/>
      <c r="N359" s="247"/>
      <c r="O359" s="247"/>
      <c r="P359" s="247"/>
      <c r="Q359" s="247"/>
      <c r="R359" s="247"/>
      <c r="S359" s="247"/>
      <c r="T359" s="247"/>
      <c r="U359" s="247"/>
    </row>
    <row r="360" spans="1:21" ht="13" hidden="1" customHeight="1">
      <c r="A360" s="263"/>
      <c r="B360" s="247"/>
      <c r="C360" s="247"/>
      <c r="D360" s="287"/>
      <c r="E360" s="247"/>
      <c r="F360" s="288"/>
      <c r="G360" s="247"/>
      <c r="H360" s="247"/>
      <c r="I360" s="247"/>
      <c r="J360" s="247"/>
      <c r="K360" s="247"/>
      <c r="L360" s="247"/>
      <c r="M360" s="247"/>
      <c r="N360" s="247"/>
      <c r="O360" s="247"/>
      <c r="P360" s="247"/>
      <c r="Q360" s="247"/>
      <c r="R360" s="247"/>
      <c r="S360" s="247"/>
      <c r="T360" s="247"/>
      <c r="U360" s="247"/>
    </row>
    <row r="361" spans="1:21" ht="13" hidden="1" customHeight="1">
      <c r="A361" s="263"/>
      <c r="B361" s="247"/>
      <c r="C361" s="247"/>
      <c r="D361" s="287"/>
      <c r="E361" s="247"/>
      <c r="F361" s="288"/>
      <c r="G361" s="247"/>
      <c r="H361" s="247"/>
      <c r="I361" s="247"/>
      <c r="J361" s="247"/>
      <c r="K361" s="247"/>
      <c r="L361" s="247"/>
      <c r="M361" s="247"/>
      <c r="N361" s="247"/>
      <c r="O361" s="247"/>
      <c r="P361" s="247"/>
      <c r="Q361" s="247"/>
      <c r="R361" s="247"/>
      <c r="S361" s="247"/>
      <c r="T361" s="247"/>
      <c r="U361" s="247"/>
    </row>
    <row r="362" spans="1:21" ht="13" hidden="1" customHeight="1">
      <c r="A362" s="263"/>
      <c r="B362" s="247"/>
      <c r="C362" s="247"/>
      <c r="D362" s="287"/>
      <c r="E362" s="247"/>
      <c r="F362" s="288"/>
      <c r="G362" s="247"/>
      <c r="H362" s="247"/>
      <c r="I362" s="247"/>
      <c r="J362" s="247"/>
      <c r="K362" s="247"/>
      <c r="L362" s="247"/>
      <c r="M362" s="247"/>
      <c r="N362" s="247"/>
      <c r="O362" s="247"/>
      <c r="P362" s="247"/>
      <c r="Q362" s="247"/>
      <c r="R362" s="247"/>
      <c r="S362" s="247"/>
      <c r="T362" s="247"/>
      <c r="U362" s="247"/>
    </row>
    <row r="363" spans="1:21" ht="13" hidden="1" customHeight="1">
      <c r="A363" s="263"/>
      <c r="B363" s="247"/>
      <c r="C363" s="247"/>
      <c r="D363" s="287"/>
      <c r="E363" s="247"/>
      <c r="F363" s="288"/>
      <c r="G363" s="247"/>
      <c r="H363" s="247"/>
      <c r="I363" s="247"/>
      <c r="J363" s="247"/>
      <c r="K363" s="247"/>
      <c r="L363" s="247"/>
      <c r="M363" s="247"/>
      <c r="N363" s="247"/>
      <c r="O363" s="247"/>
      <c r="P363" s="247"/>
      <c r="Q363" s="247"/>
      <c r="R363" s="247"/>
      <c r="S363" s="247"/>
      <c r="T363" s="247"/>
      <c r="U363" s="247"/>
    </row>
    <row r="364" spans="1:21" ht="13" hidden="1" customHeight="1">
      <c r="A364" s="263"/>
      <c r="B364" s="247"/>
      <c r="C364" s="247"/>
      <c r="D364" s="287"/>
      <c r="E364" s="247"/>
      <c r="F364" s="288"/>
      <c r="G364" s="247"/>
      <c r="H364" s="247"/>
      <c r="I364" s="247"/>
      <c r="J364" s="247"/>
      <c r="K364" s="247"/>
      <c r="L364" s="247"/>
      <c r="M364" s="247"/>
      <c r="N364" s="247"/>
      <c r="O364" s="247"/>
      <c r="P364" s="247"/>
      <c r="Q364" s="247"/>
      <c r="R364" s="247"/>
      <c r="S364" s="247"/>
      <c r="T364" s="247"/>
      <c r="U364" s="247"/>
    </row>
    <row r="365" spans="1:21" ht="13" hidden="1" customHeight="1">
      <c r="A365" s="263"/>
      <c r="B365" s="247"/>
      <c r="C365" s="247"/>
      <c r="D365" s="287"/>
      <c r="E365" s="247"/>
      <c r="F365" s="288"/>
      <c r="G365" s="247"/>
      <c r="H365" s="247"/>
      <c r="I365" s="247"/>
      <c r="J365" s="247"/>
      <c r="K365" s="247"/>
      <c r="L365" s="247"/>
      <c r="M365" s="247"/>
      <c r="N365" s="247"/>
      <c r="O365" s="247"/>
      <c r="P365" s="247"/>
      <c r="Q365" s="247"/>
      <c r="R365" s="247"/>
      <c r="S365" s="247"/>
      <c r="T365" s="247"/>
      <c r="U365" s="247"/>
    </row>
    <row r="366" spans="1:21" ht="13" hidden="1" customHeight="1">
      <c r="A366" s="263"/>
      <c r="B366" s="247"/>
      <c r="C366" s="247"/>
      <c r="D366" s="287"/>
      <c r="E366" s="247"/>
      <c r="F366" s="288"/>
      <c r="G366" s="247"/>
      <c r="H366" s="247"/>
      <c r="I366" s="247"/>
      <c r="J366" s="247"/>
      <c r="K366" s="247"/>
      <c r="L366" s="247"/>
      <c r="M366" s="247"/>
      <c r="N366" s="247"/>
      <c r="O366" s="247"/>
      <c r="P366" s="247"/>
      <c r="Q366" s="247"/>
      <c r="R366" s="247"/>
      <c r="S366" s="247"/>
      <c r="T366" s="247"/>
      <c r="U366" s="247"/>
    </row>
    <row r="367" spans="1:21" ht="13" hidden="1" customHeight="1">
      <c r="A367" s="263"/>
      <c r="B367" s="247"/>
      <c r="C367" s="247"/>
      <c r="D367" s="287"/>
      <c r="E367" s="247"/>
      <c r="F367" s="288"/>
      <c r="G367" s="247"/>
      <c r="H367" s="247"/>
      <c r="I367" s="247"/>
      <c r="J367" s="247"/>
      <c r="K367" s="247"/>
      <c r="L367" s="247"/>
      <c r="M367" s="247"/>
      <c r="N367" s="247"/>
      <c r="O367" s="247"/>
      <c r="P367" s="247"/>
      <c r="Q367" s="247"/>
      <c r="R367" s="247"/>
      <c r="S367" s="247"/>
      <c r="T367" s="247"/>
      <c r="U367" s="247"/>
    </row>
    <row r="368" spans="1:21" ht="13" hidden="1" customHeight="1">
      <c r="A368" s="263"/>
      <c r="B368" s="247"/>
      <c r="C368" s="247"/>
      <c r="D368" s="287"/>
      <c r="E368" s="247"/>
      <c r="F368" s="288"/>
      <c r="G368" s="247"/>
      <c r="H368" s="247"/>
      <c r="I368" s="247"/>
      <c r="J368" s="247"/>
      <c r="K368" s="247"/>
      <c r="L368" s="247"/>
      <c r="M368" s="247"/>
      <c r="N368" s="247"/>
      <c r="O368" s="247"/>
      <c r="P368" s="247"/>
      <c r="Q368" s="247"/>
      <c r="R368" s="247"/>
      <c r="S368" s="247"/>
      <c r="T368" s="247"/>
      <c r="U368" s="247"/>
    </row>
    <row r="369" spans="1:21" ht="13" hidden="1" customHeight="1">
      <c r="A369" s="263"/>
      <c r="B369" s="247"/>
      <c r="C369" s="247"/>
      <c r="D369" s="287"/>
      <c r="E369" s="247"/>
      <c r="F369" s="288"/>
      <c r="G369" s="247"/>
      <c r="H369" s="247"/>
      <c r="I369" s="247"/>
      <c r="J369" s="247"/>
      <c r="K369" s="247"/>
      <c r="L369" s="247"/>
      <c r="M369" s="247"/>
      <c r="N369" s="247"/>
      <c r="O369" s="247"/>
      <c r="P369" s="247"/>
      <c r="Q369" s="247"/>
      <c r="R369" s="247"/>
      <c r="S369" s="247"/>
      <c r="T369" s="247"/>
      <c r="U369" s="247"/>
    </row>
    <row r="370" spans="1:21" ht="13" hidden="1" customHeight="1">
      <c r="A370" s="263"/>
      <c r="B370" s="247"/>
      <c r="C370" s="247"/>
      <c r="D370" s="287"/>
      <c r="E370" s="247"/>
      <c r="F370" s="288"/>
      <c r="G370" s="247"/>
      <c r="H370" s="247"/>
      <c r="I370" s="247"/>
      <c r="J370" s="247"/>
      <c r="K370" s="247"/>
      <c r="L370" s="247"/>
      <c r="M370" s="247"/>
      <c r="N370" s="247"/>
      <c r="O370" s="247"/>
      <c r="P370" s="247"/>
      <c r="Q370" s="247"/>
      <c r="R370" s="247"/>
      <c r="S370" s="247"/>
      <c r="T370" s="247"/>
      <c r="U370" s="247"/>
    </row>
    <row r="371" spans="1:21" ht="13" hidden="1" customHeight="1">
      <c r="A371" s="263"/>
      <c r="B371" s="247"/>
      <c r="C371" s="247"/>
      <c r="D371" s="287"/>
      <c r="E371" s="247"/>
      <c r="F371" s="288"/>
      <c r="G371" s="247"/>
      <c r="H371" s="247"/>
      <c r="I371" s="247"/>
      <c r="J371" s="247"/>
      <c r="K371" s="247"/>
      <c r="L371" s="247"/>
      <c r="M371" s="247"/>
      <c r="N371" s="247"/>
      <c r="O371" s="247"/>
      <c r="P371" s="247"/>
      <c r="Q371" s="247"/>
      <c r="R371" s="247"/>
      <c r="S371" s="247"/>
      <c r="T371" s="247"/>
      <c r="U371" s="247"/>
    </row>
    <row r="372" spans="1:21" ht="13" hidden="1" customHeight="1">
      <c r="A372" s="263"/>
      <c r="B372" s="247"/>
      <c r="C372" s="247"/>
      <c r="D372" s="287"/>
      <c r="E372" s="247"/>
      <c r="F372" s="288"/>
      <c r="G372" s="247"/>
      <c r="H372" s="247"/>
      <c r="I372" s="247"/>
      <c r="J372" s="247"/>
      <c r="K372" s="247"/>
      <c r="L372" s="247"/>
      <c r="M372" s="247"/>
      <c r="N372" s="247"/>
      <c r="O372" s="247"/>
      <c r="P372" s="247"/>
      <c r="Q372" s="247"/>
      <c r="R372" s="247"/>
      <c r="S372" s="247"/>
      <c r="T372" s="247"/>
      <c r="U372" s="247"/>
    </row>
    <row r="373" spans="1:21" ht="13" hidden="1" customHeight="1">
      <c r="A373" s="263"/>
      <c r="B373" s="247"/>
      <c r="C373" s="247"/>
      <c r="D373" s="287"/>
      <c r="E373" s="247"/>
      <c r="F373" s="288"/>
      <c r="G373" s="247"/>
      <c r="H373" s="247"/>
      <c r="I373" s="247"/>
      <c r="J373" s="247"/>
      <c r="K373" s="247"/>
      <c r="L373" s="247"/>
      <c r="M373" s="247"/>
      <c r="N373" s="247"/>
      <c r="O373" s="247"/>
      <c r="P373" s="247"/>
      <c r="Q373" s="247"/>
      <c r="R373" s="247"/>
      <c r="S373" s="247"/>
      <c r="T373" s="247"/>
      <c r="U373" s="247"/>
    </row>
    <row r="374" spans="1:21" ht="13" hidden="1" customHeight="1">
      <c r="A374" s="263"/>
      <c r="B374" s="247"/>
      <c r="C374" s="247"/>
      <c r="D374" s="287"/>
      <c r="E374" s="247"/>
      <c r="F374" s="288"/>
      <c r="G374" s="247"/>
      <c r="H374" s="247"/>
      <c r="I374" s="247"/>
      <c r="J374" s="247"/>
      <c r="K374" s="247"/>
      <c r="L374" s="247"/>
      <c r="M374" s="247"/>
      <c r="N374" s="247"/>
      <c r="O374" s="247"/>
      <c r="P374" s="247"/>
      <c r="Q374" s="247"/>
      <c r="R374" s="247"/>
      <c r="S374" s="247"/>
      <c r="T374" s="247"/>
      <c r="U374" s="247"/>
    </row>
    <row r="375" spans="1:21" ht="13" hidden="1" customHeight="1">
      <c r="A375" s="263"/>
      <c r="B375" s="247"/>
      <c r="C375" s="247"/>
      <c r="D375" s="287"/>
      <c r="E375" s="247"/>
      <c r="F375" s="288"/>
      <c r="G375" s="247"/>
      <c r="H375" s="247"/>
      <c r="I375" s="247"/>
      <c r="J375" s="247"/>
      <c r="K375" s="247"/>
      <c r="L375" s="247"/>
      <c r="M375" s="247"/>
      <c r="N375" s="247"/>
      <c r="O375" s="247"/>
      <c r="P375" s="247"/>
      <c r="Q375" s="247"/>
      <c r="R375" s="247"/>
      <c r="S375" s="247"/>
      <c r="T375" s="247"/>
      <c r="U375" s="247"/>
    </row>
    <row r="376" spans="1:21" ht="13" hidden="1" customHeight="1">
      <c r="A376" s="263"/>
      <c r="B376" s="247"/>
      <c r="C376" s="247"/>
      <c r="D376" s="287"/>
      <c r="E376" s="247"/>
      <c r="F376" s="288"/>
      <c r="G376" s="247"/>
      <c r="H376" s="247"/>
      <c r="I376" s="247"/>
      <c r="J376" s="247"/>
      <c r="K376" s="247"/>
      <c r="L376" s="247"/>
      <c r="M376" s="247"/>
      <c r="N376" s="247"/>
      <c r="O376" s="247"/>
      <c r="P376" s="247"/>
      <c r="Q376" s="247"/>
      <c r="R376" s="247"/>
      <c r="S376" s="247"/>
      <c r="T376" s="247"/>
      <c r="U376" s="247"/>
    </row>
    <row r="377" spans="1:21" ht="13" hidden="1" customHeight="1">
      <c r="A377" s="263"/>
      <c r="B377" s="247"/>
      <c r="C377" s="247"/>
      <c r="D377" s="287"/>
      <c r="E377" s="247"/>
      <c r="F377" s="288"/>
      <c r="G377" s="247"/>
      <c r="H377" s="247"/>
      <c r="I377" s="247"/>
      <c r="J377" s="247"/>
      <c r="K377" s="247"/>
      <c r="L377" s="247"/>
      <c r="M377" s="247"/>
      <c r="N377" s="247"/>
      <c r="O377" s="247"/>
      <c r="P377" s="247"/>
      <c r="Q377" s="247"/>
      <c r="R377" s="247"/>
      <c r="S377" s="247"/>
      <c r="T377" s="247"/>
      <c r="U377" s="247"/>
    </row>
    <row r="378" spans="1:21" ht="13" hidden="1" customHeight="1">
      <c r="A378" s="263"/>
      <c r="B378" s="247"/>
      <c r="C378" s="247"/>
      <c r="D378" s="287"/>
      <c r="E378" s="247"/>
      <c r="F378" s="288"/>
      <c r="G378" s="247"/>
      <c r="H378" s="247"/>
      <c r="I378" s="247"/>
      <c r="J378" s="247"/>
      <c r="K378" s="247"/>
      <c r="L378" s="247"/>
      <c r="M378" s="247"/>
      <c r="N378" s="247"/>
      <c r="O378" s="247"/>
      <c r="P378" s="247"/>
      <c r="Q378" s="247"/>
      <c r="R378" s="247"/>
      <c r="S378" s="247"/>
      <c r="T378" s="247"/>
      <c r="U378" s="247"/>
    </row>
    <row r="379" spans="1:21" ht="13" hidden="1" customHeight="1">
      <c r="A379" s="263"/>
      <c r="B379" s="247"/>
      <c r="C379" s="247"/>
      <c r="D379" s="287"/>
      <c r="E379" s="247"/>
      <c r="F379" s="288"/>
      <c r="G379" s="247"/>
      <c r="H379" s="247"/>
      <c r="I379" s="247"/>
      <c r="J379" s="247"/>
      <c r="K379" s="247"/>
      <c r="L379" s="247"/>
      <c r="M379" s="247"/>
      <c r="N379" s="247"/>
      <c r="O379" s="247"/>
      <c r="P379" s="247"/>
      <c r="Q379" s="247"/>
      <c r="R379" s="247"/>
      <c r="S379" s="247"/>
      <c r="T379" s="247"/>
      <c r="U379" s="247"/>
    </row>
    <row r="380" spans="1:21" ht="13" hidden="1" customHeight="1">
      <c r="A380" s="263"/>
      <c r="B380" s="247"/>
      <c r="C380" s="247"/>
      <c r="D380" s="287"/>
      <c r="E380" s="247"/>
      <c r="F380" s="288"/>
      <c r="G380" s="247"/>
      <c r="H380" s="247"/>
      <c r="I380" s="247"/>
      <c r="J380" s="247"/>
      <c r="K380" s="247"/>
      <c r="L380" s="247"/>
      <c r="M380" s="247"/>
      <c r="N380" s="247"/>
      <c r="O380" s="247"/>
      <c r="P380" s="247"/>
      <c r="Q380" s="247"/>
      <c r="R380" s="247"/>
      <c r="S380" s="247"/>
      <c r="T380" s="247"/>
      <c r="U380" s="247"/>
    </row>
    <row r="381" spans="1:21" ht="13" hidden="1" customHeight="1">
      <c r="A381" s="263"/>
      <c r="B381" s="247"/>
      <c r="C381" s="247"/>
      <c r="D381" s="287"/>
      <c r="E381" s="247"/>
      <c r="F381" s="288"/>
      <c r="G381" s="247"/>
      <c r="H381" s="247"/>
      <c r="I381" s="247"/>
      <c r="J381" s="247"/>
      <c r="K381" s="247"/>
      <c r="L381" s="247"/>
      <c r="M381" s="247"/>
      <c r="N381" s="247"/>
      <c r="O381" s="247"/>
      <c r="P381" s="247"/>
      <c r="Q381" s="247"/>
      <c r="R381" s="247"/>
      <c r="S381" s="247"/>
      <c r="T381" s="247"/>
      <c r="U381" s="247"/>
    </row>
    <row r="382" spans="1:21" ht="13" hidden="1" customHeight="1">
      <c r="A382" s="263"/>
      <c r="B382" s="247"/>
      <c r="C382" s="247"/>
      <c r="D382" s="287"/>
      <c r="E382" s="247"/>
      <c r="F382" s="288"/>
      <c r="G382" s="247"/>
      <c r="H382" s="247"/>
      <c r="I382" s="247"/>
      <c r="J382" s="247"/>
      <c r="K382" s="247"/>
      <c r="L382" s="247"/>
      <c r="M382" s="247"/>
      <c r="N382" s="247"/>
      <c r="O382" s="247"/>
      <c r="P382" s="247"/>
      <c r="Q382" s="247"/>
      <c r="R382" s="247"/>
      <c r="S382" s="247"/>
      <c r="T382" s="247"/>
      <c r="U382" s="247"/>
    </row>
    <row r="383" spans="1:21" ht="13" hidden="1" customHeight="1">
      <c r="A383" s="263"/>
      <c r="B383" s="247"/>
      <c r="C383" s="247"/>
      <c r="D383" s="287"/>
      <c r="E383" s="247"/>
      <c r="F383" s="288"/>
      <c r="G383" s="247"/>
      <c r="H383" s="247"/>
      <c r="I383" s="247"/>
      <c r="J383" s="247"/>
      <c r="K383" s="247"/>
      <c r="L383" s="247"/>
      <c r="M383" s="247"/>
      <c r="N383" s="247"/>
      <c r="O383" s="247"/>
      <c r="P383" s="247"/>
      <c r="Q383" s="247"/>
      <c r="R383" s="247"/>
      <c r="S383" s="247"/>
      <c r="T383" s="247"/>
      <c r="U383" s="247"/>
    </row>
    <row r="384" spans="1:21" ht="13" hidden="1" customHeight="1">
      <c r="A384" s="263"/>
      <c r="B384" s="247"/>
      <c r="C384" s="247"/>
      <c r="D384" s="287"/>
      <c r="E384" s="247"/>
      <c r="F384" s="288"/>
      <c r="G384" s="247"/>
      <c r="H384" s="247"/>
      <c r="I384" s="247"/>
      <c r="J384" s="247"/>
      <c r="K384" s="247"/>
      <c r="L384" s="247"/>
      <c r="M384" s="247"/>
      <c r="N384" s="247"/>
      <c r="O384" s="247"/>
      <c r="P384" s="247"/>
      <c r="Q384" s="247"/>
      <c r="R384" s="247"/>
      <c r="S384" s="247"/>
      <c r="T384" s="247"/>
      <c r="U384" s="247"/>
    </row>
    <row r="385" spans="1:21" ht="13" hidden="1" customHeight="1">
      <c r="A385" s="263"/>
      <c r="B385" s="247"/>
      <c r="C385" s="247"/>
      <c r="D385" s="287"/>
      <c r="E385" s="247"/>
      <c r="F385" s="288"/>
      <c r="G385" s="247"/>
      <c r="H385" s="247"/>
      <c r="I385" s="247"/>
      <c r="J385" s="247"/>
      <c r="K385" s="247"/>
      <c r="L385" s="247"/>
      <c r="M385" s="247"/>
      <c r="N385" s="247"/>
      <c r="O385" s="247"/>
      <c r="P385" s="247"/>
      <c r="Q385" s="247"/>
      <c r="R385" s="247"/>
      <c r="S385" s="247"/>
      <c r="T385" s="247"/>
      <c r="U385" s="247"/>
    </row>
    <row r="386" spans="1:21" ht="13" hidden="1" customHeight="1">
      <c r="A386" s="263"/>
      <c r="B386" s="247"/>
      <c r="C386" s="247"/>
      <c r="D386" s="287"/>
      <c r="E386" s="247"/>
      <c r="F386" s="288"/>
      <c r="G386" s="247"/>
      <c r="H386" s="247"/>
      <c r="I386" s="247"/>
      <c r="J386" s="247"/>
      <c r="K386" s="247"/>
      <c r="L386" s="247"/>
      <c r="M386" s="247"/>
      <c r="N386" s="247"/>
      <c r="O386" s="247"/>
      <c r="P386" s="247"/>
      <c r="Q386" s="247"/>
      <c r="R386" s="247"/>
      <c r="S386" s="247"/>
      <c r="T386" s="247"/>
      <c r="U386" s="247"/>
    </row>
    <row r="387" spans="1:21" ht="13" hidden="1" customHeight="1">
      <c r="A387" s="263"/>
      <c r="B387" s="247"/>
      <c r="C387" s="247"/>
      <c r="D387" s="287"/>
      <c r="E387" s="247"/>
      <c r="F387" s="288"/>
      <c r="G387" s="247"/>
      <c r="H387" s="247"/>
      <c r="I387" s="247"/>
      <c r="J387" s="247"/>
      <c r="K387" s="247"/>
      <c r="L387" s="247"/>
      <c r="M387" s="247"/>
      <c r="N387" s="247"/>
      <c r="O387" s="247"/>
      <c r="P387" s="247"/>
      <c r="Q387" s="247"/>
      <c r="R387" s="247"/>
      <c r="S387" s="247"/>
      <c r="T387" s="247"/>
      <c r="U387" s="247"/>
    </row>
    <row r="388" spans="1:21" ht="13" hidden="1" customHeight="1">
      <c r="A388" s="263"/>
      <c r="B388" s="247"/>
      <c r="C388" s="247"/>
      <c r="D388" s="287"/>
      <c r="E388" s="247"/>
      <c r="F388" s="288"/>
      <c r="G388" s="247"/>
      <c r="H388" s="247"/>
      <c r="I388" s="247"/>
      <c r="J388" s="247"/>
      <c r="K388" s="247"/>
      <c r="L388" s="247"/>
      <c r="M388" s="247"/>
      <c r="N388" s="247"/>
      <c r="O388" s="247"/>
      <c r="P388" s="247"/>
      <c r="Q388" s="247"/>
      <c r="R388" s="247"/>
      <c r="S388" s="247"/>
      <c r="T388" s="247"/>
      <c r="U388" s="247"/>
    </row>
    <row r="389" spans="1:21" ht="13" hidden="1" customHeight="1">
      <c r="A389" s="263"/>
      <c r="B389" s="247"/>
      <c r="C389" s="247"/>
      <c r="D389" s="287"/>
      <c r="E389" s="247"/>
      <c r="F389" s="288"/>
      <c r="G389" s="247"/>
      <c r="H389" s="247"/>
      <c r="I389" s="247"/>
      <c r="J389" s="247"/>
      <c r="K389" s="247"/>
      <c r="L389" s="247"/>
      <c r="M389" s="247"/>
      <c r="N389" s="247"/>
      <c r="O389" s="247"/>
      <c r="P389" s="247"/>
      <c r="Q389" s="247"/>
      <c r="R389" s="247"/>
      <c r="S389" s="247"/>
      <c r="T389" s="247"/>
      <c r="U389" s="247"/>
    </row>
    <row r="390" spans="1:21" ht="13" hidden="1" customHeight="1">
      <c r="A390" s="263"/>
      <c r="B390" s="247"/>
      <c r="C390" s="247"/>
      <c r="D390" s="287"/>
      <c r="E390" s="247"/>
      <c r="F390" s="288"/>
      <c r="G390" s="247"/>
      <c r="H390" s="247"/>
      <c r="I390" s="247"/>
      <c r="J390" s="247"/>
      <c r="K390" s="247"/>
      <c r="L390" s="247"/>
      <c r="M390" s="247"/>
      <c r="N390" s="247"/>
      <c r="O390" s="247"/>
      <c r="P390" s="247"/>
      <c r="Q390" s="247"/>
      <c r="R390" s="247"/>
      <c r="S390" s="247"/>
      <c r="T390" s="247"/>
      <c r="U390" s="247"/>
    </row>
    <row r="391" spans="1:21" ht="13" hidden="1" customHeight="1">
      <c r="A391" s="263"/>
      <c r="B391" s="247"/>
      <c r="C391" s="247"/>
      <c r="D391" s="287"/>
      <c r="E391" s="247"/>
      <c r="F391" s="288"/>
      <c r="G391" s="247"/>
      <c r="H391" s="247"/>
      <c r="I391" s="247"/>
      <c r="J391" s="247"/>
      <c r="K391" s="247"/>
      <c r="L391" s="247"/>
      <c r="M391" s="247"/>
      <c r="N391" s="247"/>
      <c r="O391" s="247"/>
      <c r="P391" s="247"/>
      <c r="Q391" s="247"/>
      <c r="R391" s="247"/>
      <c r="S391" s="247"/>
      <c r="T391" s="247"/>
      <c r="U391" s="247"/>
    </row>
    <row r="392" spans="1:21" ht="13" hidden="1" customHeight="1">
      <c r="A392" s="263"/>
      <c r="B392" s="247"/>
      <c r="C392" s="247"/>
      <c r="D392" s="287"/>
      <c r="E392" s="247"/>
      <c r="F392" s="288"/>
      <c r="G392" s="247"/>
      <c r="H392" s="247"/>
      <c r="I392" s="247"/>
      <c r="J392" s="247"/>
      <c r="K392" s="247"/>
      <c r="L392" s="247"/>
      <c r="M392" s="247"/>
      <c r="N392" s="247"/>
      <c r="O392" s="247"/>
      <c r="P392" s="247"/>
      <c r="Q392" s="247"/>
      <c r="R392" s="247"/>
      <c r="S392" s="247"/>
      <c r="T392" s="247"/>
      <c r="U392" s="247"/>
    </row>
    <row r="393" spans="1:21" ht="13" hidden="1" customHeight="1">
      <c r="A393" s="263"/>
      <c r="B393" s="247"/>
      <c r="C393" s="247"/>
      <c r="D393" s="287"/>
      <c r="E393" s="247"/>
      <c r="F393" s="288"/>
      <c r="G393" s="247"/>
      <c r="H393" s="247"/>
      <c r="I393" s="247"/>
      <c r="J393" s="247"/>
      <c r="K393" s="247"/>
      <c r="L393" s="247"/>
      <c r="M393" s="247"/>
      <c r="N393" s="247"/>
      <c r="O393" s="247"/>
      <c r="P393" s="247"/>
      <c r="Q393" s="247"/>
      <c r="R393" s="247"/>
      <c r="S393" s="247"/>
      <c r="T393" s="247"/>
      <c r="U393" s="247"/>
    </row>
    <row r="394" spans="1:21" ht="13" hidden="1" customHeight="1">
      <c r="A394" s="263"/>
      <c r="B394" s="247"/>
      <c r="C394" s="247"/>
      <c r="D394" s="287"/>
      <c r="E394" s="247"/>
      <c r="F394" s="288"/>
      <c r="G394" s="247"/>
      <c r="H394" s="247"/>
      <c r="I394" s="247"/>
      <c r="J394" s="247"/>
      <c r="K394" s="247"/>
      <c r="L394" s="247"/>
      <c r="M394" s="247"/>
      <c r="N394" s="247"/>
      <c r="O394" s="247"/>
      <c r="P394" s="247"/>
      <c r="Q394" s="247"/>
      <c r="R394" s="247"/>
      <c r="S394" s="247"/>
      <c r="T394" s="247"/>
      <c r="U394" s="247"/>
    </row>
    <row r="395" spans="1:21" ht="13" hidden="1" customHeight="1">
      <c r="A395" s="263"/>
      <c r="B395" s="247"/>
      <c r="C395" s="247"/>
      <c r="D395" s="287"/>
      <c r="E395" s="247"/>
      <c r="F395" s="288"/>
      <c r="G395" s="247"/>
      <c r="H395" s="247"/>
      <c r="I395" s="247"/>
      <c r="J395" s="247"/>
      <c r="K395" s="247"/>
      <c r="L395" s="247"/>
      <c r="M395" s="247"/>
      <c r="N395" s="247"/>
      <c r="O395" s="247"/>
      <c r="P395" s="247"/>
      <c r="Q395" s="247"/>
      <c r="R395" s="247"/>
      <c r="S395" s="247"/>
      <c r="T395" s="247"/>
      <c r="U395" s="247"/>
    </row>
    <row r="396" spans="1:21" ht="13" hidden="1" customHeight="1">
      <c r="A396" s="263"/>
      <c r="B396" s="247"/>
      <c r="C396" s="247"/>
      <c r="D396" s="287"/>
      <c r="E396" s="247"/>
      <c r="F396" s="288"/>
      <c r="G396" s="247"/>
      <c r="H396" s="247"/>
      <c r="I396" s="247"/>
      <c r="J396" s="247"/>
      <c r="K396" s="247"/>
      <c r="L396" s="247"/>
      <c r="M396" s="247"/>
      <c r="N396" s="247"/>
      <c r="O396" s="247"/>
      <c r="P396" s="247"/>
      <c r="Q396" s="247"/>
      <c r="R396" s="247"/>
      <c r="S396" s="247"/>
      <c r="T396" s="247"/>
      <c r="U396" s="247"/>
    </row>
    <row r="397" spans="1:21" ht="13" hidden="1" customHeight="1">
      <c r="A397" s="263"/>
      <c r="B397" s="247"/>
      <c r="C397" s="247"/>
      <c r="D397" s="287"/>
      <c r="E397" s="247"/>
      <c r="F397" s="288"/>
      <c r="G397" s="247"/>
      <c r="H397" s="247"/>
      <c r="I397" s="247"/>
      <c r="J397" s="247"/>
      <c r="K397" s="247"/>
      <c r="L397" s="247"/>
      <c r="M397" s="247"/>
      <c r="N397" s="247"/>
      <c r="O397" s="247"/>
      <c r="P397" s="247"/>
      <c r="Q397" s="247"/>
      <c r="R397" s="247"/>
      <c r="S397" s="247"/>
      <c r="T397" s="247"/>
      <c r="U397" s="247"/>
    </row>
    <row r="398" spans="1:21" ht="13" hidden="1" customHeight="1">
      <c r="A398" s="263"/>
      <c r="B398" s="247"/>
      <c r="C398" s="247"/>
      <c r="D398" s="287"/>
      <c r="E398" s="247"/>
      <c r="F398" s="288"/>
      <c r="G398" s="247"/>
      <c r="H398" s="247"/>
      <c r="I398" s="247"/>
      <c r="J398" s="247"/>
      <c r="K398" s="247"/>
      <c r="L398" s="247"/>
      <c r="M398" s="247"/>
      <c r="N398" s="247"/>
      <c r="O398" s="247"/>
      <c r="P398" s="247"/>
      <c r="Q398" s="247"/>
      <c r="R398" s="247"/>
      <c r="S398" s="247"/>
      <c r="T398" s="247"/>
      <c r="U398" s="247"/>
    </row>
    <row r="399" spans="1:21" ht="13" hidden="1" customHeight="1">
      <c r="A399" s="263"/>
      <c r="B399" s="247"/>
      <c r="C399" s="247"/>
      <c r="D399" s="287"/>
      <c r="E399" s="247"/>
      <c r="F399" s="288"/>
      <c r="G399" s="247"/>
      <c r="H399" s="247"/>
      <c r="I399" s="247"/>
      <c r="J399" s="247"/>
      <c r="K399" s="247"/>
      <c r="L399" s="247"/>
      <c r="M399" s="247"/>
      <c r="N399" s="247"/>
      <c r="O399" s="247"/>
      <c r="P399" s="247"/>
      <c r="Q399" s="247"/>
      <c r="R399" s="247"/>
      <c r="S399" s="247"/>
      <c r="T399" s="247"/>
      <c r="U399" s="247"/>
    </row>
    <row r="400" spans="1:21" ht="13" hidden="1" customHeight="1">
      <c r="A400" s="263"/>
      <c r="B400" s="247"/>
      <c r="C400" s="247"/>
      <c r="D400" s="287"/>
      <c r="E400" s="247"/>
      <c r="F400" s="288"/>
      <c r="G400" s="247"/>
      <c r="H400" s="247"/>
      <c r="I400" s="247"/>
      <c r="J400" s="247"/>
      <c r="K400" s="247"/>
      <c r="L400" s="247"/>
      <c r="M400" s="247"/>
      <c r="N400" s="247"/>
      <c r="O400" s="247"/>
      <c r="P400" s="247"/>
      <c r="Q400" s="247"/>
      <c r="R400" s="247"/>
      <c r="S400" s="247"/>
      <c r="T400" s="247"/>
      <c r="U400" s="247"/>
    </row>
    <row r="401" spans="1:21" ht="13" hidden="1" customHeight="1">
      <c r="A401" s="263"/>
      <c r="B401" s="247"/>
      <c r="C401" s="247"/>
      <c r="D401" s="287"/>
      <c r="E401" s="247"/>
      <c r="F401" s="288"/>
      <c r="G401" s="247"/>
      <c r="H401" s="247"/>
      <c r="I401" s="247"/>
      <c r="J401" s="247"/>
      <c r="K401" s="247"/>
      <c r="L401" s="247"/>
      <c r="M401" s="247"/>
      <c r="N401" s="247"/>
      <c r="O401" s="247"/>
      <c r="P401" s="247"/>
      <c r="Q401" s="247"/>
      <c r="R401" s="247"/>
      <c r="S401" s="247"/>
      <c r="T401" s="247"/>
      <c r="U401" s="247"/>
    </row>
    <row r="402" spans="1:21" ht="13" hidden="1" customHeight="1">
      <c r="A402" s="263"/>
      <c r="B402" s="247"/>
      <c r="C402" s="247"/>
      <c r="D402" s="287"/>
      <c r="E402" s="247"/>
      <c r="F402" s="288"/>
      <c r="G402" s="247"/>
      <c r="H402" s="247"/>
      <c r="I402" s="247"/>
      <c r="J402" s="247"/>
      <c r="K402" s="247"/>
      <c r="L402" s="247"/>
      <c r="M402" s="247"/>
      <c r="N402" s="247"/>
      <c r="O402" s="247"/>
      <c r="P402" s="247"/>
      <c r="Q402" s="247"/>
      <c r="R402" s="247"/>
      <c r="S402" s="247"/>
      <c r="T402" s="247"/>
      <c r="U402" s="247"/>
    </row>
    <row r="403" spans="1:21" ht="13" hidden="1" customHeight="1">
      <c r="A403" s="263"/>
      <c r="B403" s="247"/>
      <c r="C403" s="247"/>
      <c r="D403" s="287"/>
      <c r="E403" s="247"/>
      <c r="F403" s="288"/>
      <c r="G403" s="247"/>
      <c r="H403" s="247"/>
      <c r="I403" s="247"/>
      <c r="J403" s="247"/>
      <c r="K403" s="247"/>
      <c r="L403" s="247"/>
      <c r="M403" s="247"/>
      <c r="N403" s="247"/>
      <c r="O403" s="247"/>
      <c r="P403" s="247"/>
      <c r="Q403" s="247"/>
      <c r="R403" s="247"/>
      <c r="S403" s="247"/>
      <c r="T403" s="247"/>
      <c r="U403" s="247"/>
    </row>
    <row r="404" spans="1:21" ht="13" hidden="1" customHeight="1">
      <c r="A404" s="263"/>
      <c r="B404" s="247"/>
      <c r="C404" s="247"/>
      <c r="D404" s="287"/>
      <c r="E404" s="247"/>
      <c r="F404" s="288"/>
      <c r="G404" s="247"/>
      <c r="H404" s="247"/>
      <c r="I404" s="247"/>
      <c r="J404" s="247"/>
      <c r="K404" s="247"/>
      <c r="L404" s="247"/>
      <c r="M404" s="247"/>
      <c r="N404" s="247"/>
      <c r="O404" s="247"/>
      <c r="P404" s="247"/>
      <c r="Q404" s="247"/>
      <c r="R404" s="247"/>
      <c r="S404" s="247"/>
      <c r="T404" s="247"/>
      <c r="U404" s="247"/>
    </row>
    <row r="405" spans="1:21" ht="13" hidden="1" customHeight="1">
      <c r="A405" s="263"/>
      <c r="B405" s="247"/>
      <c r="C405" s="247"/>
      <c r="D405" s="287"/>
      <c r="E405" s="247"/>
      <c r="F405" s="288"/>
      <c r="G405" s="247"/>
      <c r="H405" s="247"/>
      <c r="I405" s="247"/>
      <c r="J405" s="247"/>
      <c r="K405" s="247"/>
      <c r="L405" s="247"/>
      <c r="M405" s="247"/>
      <c r="N405" s="247"/>
      <c r="O405" s="247"/>
      <c r="P405" s="247"/>
      <c r="Q405" s="247"/>
      <c r="R405" s="247"/>
      <c r="S405" s="247"/>
      <c r="T405" s="247"/>
      <c r="U405" s="247"/>
    </row>
    <row r="406" spans="1:21" ht="13" hidden="1" customHeight="1">
      <c r="A406" s="263"/>
      <c r="B406" s="247"/>
      <c r="C406" s="247"/>
      <c r="D406" s="287"/>
      <c r="E406" s="247"/>
      <c r="F406" s="288"/>
      <c r="G406" s="247"/>
      <c r="H406" s="247"/>
      <c r="I406" s="247"/>
      <c r="J406" s="247"/>
      <c r="K406" s="247"/>
      <c r="L406" s="247"/>
      <c r="M406" s="247"/>
      <c r="N406" s="247"/>
      <c r="O406" s="247"/>
      <c r="P406" s="247"/>
      <c r="Q406" s="247"/>
      <c r="R406" s="247"/>
      <c r="S406" s="247"/>
      <c r="T406" s="247"/>
      <c r="U406" s="247"/>
    </row>
    <row r="407" spans="1:21" ht="13" hidden="1" customHeight="1">
      <c r="A407" s="263"/>
      <c r="B407" s="247"/>
      <c r="C407" s="247"/>
      <c r="D407" s="287"/>
      <c r="E407" s="247"/>
      <c r="F407" s="288"/>
      <c r="G407" s="247"/>
      <c r="H407" s="247"/>
      <c r="I407" s="247"/>
      <c r="J407" s="247"/>
      <c r="K407" s="247"/>
      <c r="L407" s="247"/>
      <c r="M407" s="247"/>
      <c r="N407" s="247"/>
      <c r="O407" s="247"/>
      <c r="P407" s="247"/>
      <c r="Q407" s="247"/>
      <c r="R407" s="247"/>
      <c r="S407" s="247"/>
      <c r="T407" s="247"/>
      <c r="U407" s="247"/>
    </row>
    <row r="408" spans="1:21" ht="13" hidden="1" customHeight="1">
      <c r="A408" s="263"/>
      <c r="B408" s="247"/>
      <c r="C408" s="247"/>
      <c r="D408" s="287"/>
      <c r="E408" s="247"/>
      <c r="F408" s="288"/>
      <c r="G408" s="247"/>
      <c r="H408" s="247"/>
      <c r="I408" s="247"/>
      <c r="J408" s="247"/>
      <c r="K408" s="247"/>
      <c r="L408" s="247"/>
      <c r="M408" s="247"/>
      <c r="N408" s="247"/>
      <c r="O408" s="247"/>
      <c r="P408" s="247"/>
      <c r="Q408" s="247"/>
      <c r="R408" s="247"/>
      <c r="S408" s="247"/>
      <c r="T408" s="247"/>
      <c r="U408" s="247"/>
    </row>
    <row r="409" spans="1:21" ht="13" hidden="1" customHeight="1">
      <c r="A409" s="263"/>
      <c r="B409" s="247"/>
      <c r="C409" s="247"/>
      <c r="D409" s="287"/>
      <c r="E409" s="247"/>
      <c r="F409" s="288"/>
      <c r="G409" s="247"/>
      <c r="H409" s="247"/>
      <c r="I409" s="247"/>
      <c r="J409" s="247"/>
      <c r="K409" s="247"/>
      <c r="L409" s="247"/>
      <c r="M409" s="247"/>
      <c r="N409" s="247"/>
      <c r="O409" s="247"/>
      <c r="P409" s="247"/>
      <c r="Q409" s="247"/>
      <c r="R409" s="247"/>
      <c r="S409" s="247"/>
      <c r="T409" s="247"/>
      <c r="U409" s="247"/>
    </row>
    <row r="410" spans="1:21" ht="13" hidden="1" customHeight="1">
      <c r="A410" s="263"/>
      <c r="B410" s="247"/>
      <c r="C410" s="247"/>
      <c r="D410" s="287"/>
      <c r="E410" s="247"/>
      <c r="F410" s="288"/>
      <c r="G410" s="247"/>
      <c r="H410" s="247"/>
      <c r="I410" s="247"/>
      <c r="J410" s="247"/>
      <c r="K410" s="247"/>
      <c r="L410" s="247"/>
      <c r="M410" s="247"/>
      <c r="N410" s="247"/>
      <c r="O410" s="247"/>
      <c r="P410" s="247"/>
      <c r="Q410" s="247"/>
      <c r="R410" s="247"/>
      <c r="S410" s="247"/>
      <c r="T410" s="247"/>
      <c r="U410" s="247"/>
    </row>
    <row r="411" spans="1:21" ht="13" hidden="1" customHeight="1">
      <c r="A411" s="263"/>
      <c r="B411" s="247"/>
      <c r="C411" s="247"/>
      <c r="D411" s="287"/>
      <c r="E411" s="247"/>
      <c r="F411" s="288"/>
      <c r="G411" s="247"/>
      <c r="H411" s="247"/>
      <c r="I411" s="247"/>
      <c r="J411" s="247"/>
      <c r="K411" s="247"/>
      <c r="L411" s="247"/>
      <c r="M411" s="247"/>
      <c r="N411" s="247"/>
      <c r="O411" s="247"/>
      <c r="P411" s="247"/>
      <c r="Q411" s="247"/>
      <c r="R411" s="247"/>
      <c r="S411" s="247"/>
      <c r="T411" s="247"/>
      <c r="U411" s="247"/>
    </row>
    <row r="412" spans="1:21" ht="13" hidden="1" customHeight="1">
      <c r="A412" s="263"/>
      <c r="B412" s="247"/>
      <c r="C412" s="247"/>
      <c r="D412" s="287"/>
      <c r="E412" s="247"/>
      <c r="F412" s="288"/>
      <c r="G412" s="247"/>
      <c r="H412" s="247"/>
      <c r="I412" s="247"/>
      <c r="J412" s="247"/>
      <c r="K412" s="247"/>
      <c r="L412" s="247"/>
      <c r="M412" s="247"/>
      <c r="N412" s="247"/>
      <c r="O412" s="247"/>
      <c r="P412" s="247"/>
      <c r="Q412" s="247"/>
      <c r="R412" s="247"/>
      <c r="S412" s="247"/>
      <c r="T412" s="247"/>
      <c r="U412" s="247"/>
    </row>
    <row r="413" spans="1:21" ht="13" hidden="1" customHeight="1">
      <c r="A413" s="263"/>
      <c r="B413" s="247"/>
      <c r="C413" s="247"/>
      <c r="D413" s="287"/>
      <c r="E413" s="247"/>
      <c r="F413" s="288"/>
      <c r="G413" s="247"/>
      <c r="H413" s="247"/>
      <c r="I413" s="247"/>
      <c r="J413" s="247"/>
      <c r="K413" s="247"/>
      <c r="L413" s="247"/>
      <c r="M413" s="247"/>
      <c r="N413" s="247"/>
      <c r="O413" s="247"/>
      <c r="P413" s="247"/>
      <c r="Q413" s="247"/>
      <c r="R413" s="247"/>
      <c r="S413" s="247"/>
      <c r="T413" s="247"/>
      <c r="U413" s="247"/>
    </row>
    <row r="414" spans="1:21" ht="13" hidden="1" customHeight="1">
      <c r="A414" s="263"/>
      <c r="B414" s="247"/>
      <c r="C414" s="247"/>
      <c r="D414" s="287"/>
      <c r="E414" s="247"/>
      <c r="F414" s="288"/>
      <c r="G414" s="247"/>
      <c r="H414" s="247"/>
      <c r="I414" s="247"/>
      <c r="J414" s="247"/>
      <c r="K414" s="247"/>
      <c r="L414" s="247"/>
      <c r="M414" s="247"/>
      <c r="N414" s="247"/>
      <c r="O414" s="247"/>
      <c r="P414" s="247"/>
      <c r="Q414" s="247"/>
      <c r="R414" s="247"/>
      <c r="S414" s="247"/>
      <c r="T414" s="247"/>
      <c r="U414" s="247"/>
    </row>
    <row r="415" spans="1:21" ht="13" hidden="1" customHeight="1">
      <c r="A415" s="263"/>
      <c r="B415" s="247"/>
      <c r="C415" s="247"/>
      <c r="D415" s="287"/>
      <c r="E415" s="247"/>
      <c r="F415" s="288"/>
      <c r="G415" s="247"/>
      <c r="H415" s="247"/>
      <c r="I415" s="247"/>
      <c r="J415" s="247"/>
      <c r="K415" s="247"/>
      <c r="L415" s="247"/>
      <c r="M415" s="247"/>
      <c r="N415" s="247"/>
      <c r="O415" s="247"/>
      <c r="P415" s="247"/>
      <c r="Q415" s="247"/>
      <c r="R415" s="247"/>
      <c r="S415" s="247"/>
      <c r="T415" s="247"/>
      <c r="U415" s="247"/>
    </row>
    <row r="416" spans="1:21" ht="13" hidden="1" customHeight="1">
      <c r="A416" s="263"/>
      <c r="B416" s="247"/>
      <c r="C416" s="247"/>
      <c r="D416" s="287"/>
      <c r="E416" s="247"/>
      <c r="F416" s="288"/>
      <c r="G416" s="247"/>
      <c r="H416" s="247"/>
      <c r="I416" s="247"/>
      <c r="J416" s="247"/>
      <c r="K416" s="247"/>
      <c r="L416" s="247"/>
      <c r="M416" s="247"/>
      <c r="N416" s="247"/>
      <c r="O416" s="247"/>
      <c r="P416" s="247"/>
      <c r="Q416" s="247"/>
      <c r="R416" s="247"/>
      <c r="S416" s="247"/>
      <c r="T416" s="247"/>
      <c r="U416" s="247"/>
    </row>
    <row r="417" spans="1:21" ht="13" hidden="1" customHeight="1">
      <c r="A417" s="263"/>
      <c r="B417" s="247"/>
      <c r="C417" s="247"/>
      <c r="D417" s="287"/>
      <c r="E417" s="247"/>
      <c r="F417" s="288"/>
      <c r="G417" s="247"/>
      <c r="H417" s="247"/>
      <c r="I417" s="247"/>
      <c r="J417" s="247"/>
      <c r="K417" s="247"/>
      <c r="L417" s="247"/>
      <c r="M417" s="247"/>
      <c r="N417" s="247"/>
      <c r="O417" s="247"/>
      <c r="P417" s="247"/>
      <c r="Q417" s="247"/>
      <c r="R417" s="247"/>
      <c r="S417" s="247"/>
      <c r="T417" s="247"/>
      <c r="U417" s="247"/>
    </row>
    <row r="418" spans="1:21" ht="13" hidden="1" customHeight="1">
      <c r="A418" s="263"/>
      <c r="B418" s="247"/>
      <c r="C418" s="247"/>
      <c r="D418" s="287"/>
      <c r="E418" s="247"/>
      <c r="F418" s="288"/>
      <c r="G418" s="247"/>
      <c r="H418" s="247"/>
      <c r="I418" s="247"/>
      <c r="J418" s="247"/>
      <c r="K418" s="247"/>
      <c r="L418" s="247"/>
      <c r="M418" s="247"/>
      <c r="N418" s="247"/>
      <c r="O418" s="247"/>
      <c r="P418" s="247"/>
      <c r="Q418" s="247"/>
      <c r="R418" s="247"/>
      <c r="S418" s="247"/>
      <c r="T418" s="247"/>
      <c r="U418" s="247"/>
    </row>
    <row r="419" spans="1:21" ht="13" hidden="1" customHeight="1">
      <c r="A419" s="263"/>
      <c r="B419" s="247"/>
      <c r="C419" s="247"/>
      <c r="D419" s="287"/>
      <c r="E419" s="247"/>
      <c r="F419" s="288"/>
      <c r="G419" s="247"/>
      <c r="H419" s="247"/>
      <c r="I419" s="247"/>
      <c r="J419" s="247"/>
      <c r="K419" s="247"/>
      <c r="L419" s="247"/>
      <c r="M419" s="247"/>
      <c r="N419" s="247"/>
      <c r="O419" s="247"/>
      <c r="P419" s="247"/>
      <c r="Q419" s="247"/>
      <c r="R419" s="247"/>
      <c r="S419" s="247"/>
      <c r="T419" s="247"/>
      <c r="U419" s="247"/>
    </row>
    <row r="420" spans="1:21" ht="13" hidden="1" customHeight="1">
      <c r="A420" s="263"/>
      <c r="B420" s="247"/>
      <c r="C420" s="247"/>
      <c r="D420" s="287"/>
      <c r="E420" s="247"/>
      <c r="F420" s="288"/>
      <c r="G420" s="247"/>
      <c r="H420" s="247"/>
      <c r="I420" s="247"/>
      <c r="J420" s="247"/>
      <c r="K420" s="247"/>
      <c r="L420" s="247"/>
      <c r="M420" s="247"/>
      <c r="N420" s="247"/>
      <c r="O420" s="247"/>
      <c r="P420" s="247"/>
      <c r="Q420" s="247"/>
      <c r="R420" s="247"/>
      <c r="S420" s="247"/>
      <c r="T420" s="247"/>
      <c r="U420" s="247"/>
    </row>
    <row r="421" spans="1:21" ht="13" hidden="1" customHeight="1">
      <c r="A421" s="263"/>
      <c r="B421" s="247"/>
      <c r="C421" s="247"/>
      <c r="D421" s="287"/>
      <c r="E421" s="247"/>
      <c r="F421" s="288"/>
      <c r="G421" s="247"/>
      <c r="H421" s="247"/>
      <c r="I421" s="247"/>
      <c r="J421" s="247"/>
      <c r="K421" s="247"/>
      <c r="L421" s="247"/>
      <c r="M421" s="247"/>
      <c r="N421" s="247"/>
      <c r="O421" s="247"/>
      <c r="P421" s="247"/>
      <c r="Q421" s="247"/>
      <c r="R421" s="247"/>
      <c r="S421" s="247"/>
      <c r="T421" s="247"/>
      <c r="U421" s="247"/>
    </row>
    <row r="422" spans="1:21" ht="13" hidden="1" customHeight="1">
      <c r="A422" s="263"/>
      <c r="B422" s="247"/>
      <c r="C422" s="247"/>
      <c r="D422" s="287"/>
      <c r="E422" s="247"/>
      <c r="F422" s="288"/>
      <c r="G422" s="247"/>
      <c r="H422" s="247"/>
      <c r="I422" s="247"/>
      <c r="J422" s="247"/>
      <c r="K422" s="247"/>
      <c r="L422" s="247"/>
      <c r="M422" s="247"/>
      <c r="N422" s="247"/>
      <c r="O422" s="247"/>
      <c r="P422" s="247"/>
      <c r="Q422" s="247"/>
      <c r="R422" s="247"/>
      <c r="S422" s="247"/>
      <c r="T422" s="247"/>
      <c r="U422" s="247"/>
    </row>
    <row r="423" spans="1:21" ht="13" hidden="1" customHeight="1">
      <c r="A423" s="263"/>
      <c r="B423" s="247"/>
      <c r="C423" s="247"/>
      <c r="D423" s="287"/>
      <c r="E423" s="247"/>
      <c r="F423" s="288"/>
      <c r="G423" s="247"/>
      <c r="H423" s="247"/>
      <c r="I423" s="247"/>
      <c r="J423" s="247"/>
      <c r="K423" s="247"/>
      <c r="L423" s="247"/>
      <c r="M423" s="247"/>
      <c r="N423" s="247"/>
      <c r="O423" s="247"/>
      <c r="P423" s="247"/>
      <c r="Q423" s="247"/>
      <c r="R423" s="247"/>
      <c r="S423" s="247"/>
      <c r="T423" s="247"/>
      <c r="U423" s="247"/>
    </row>
    <row r="424" spans="1:21" ht="13" hidden="1" customHeight="1">
      <c r="A424" s="263"/>
      <c r="B424" s="247"/>
      <c r="C424" s="247"/>
      <c r="D424" s="287"/>
      <c r="E424" s="247"/>
      <c r="F424" s="288"/>
      <c r="G424" s="247"/>
      <c r="H424" s="247"/>
      <c r="I424" s="247"/>
      <c r="J424" s="247"/>
      <c r="K424" s="247"/>
      <c r="L424" s="247"/>
      <c r="M424" s="247"/>
      <c r="N424" s="247"/>
      <c r="O424" s="247"/>
      <c r="P424" s="247"/>
      <c r="Q424" s="247"/>
      <c r="R424" s="247"/>
      <c r="S424" s="247"/>
      <c r="T424" s="247"/>
      <c r="U424" s="247"/>
    </row>
    <row r="425" spans="1:21" ht="13" hidden="1" customHeight="1">
      <c r="A425" s="263"/>
      <c r="B425" s="247"/>
      <c r="C425" s="247"/>
      <c r="D425" s="287"/>
      <c r="E425" s="247"/>
      <c r="F425" s="288"/>
      <c r="G425" s="247"/>
      <c r="H425" s="247"/>
      <c r="I425" s="247"/>
      <c r="J425" s="247"/>
      <c r="K425" s="247"/>
      <c r="L425" s="247"/>
      <c r="M425" s="247"/>
      <c r="N425" s="247"/>
      <c r="O425" s="247"/>
      <c r="P425" s="247"/>
      <c r="Q425" s="247"/>
      <c r="R425" s="247"/>
      <c r="S425" s="247"/>
      <c r="T425" s="247"/>
      <c r="U425" s="247"/>
    </row>
    <row r="426" spans="1:21" ht="13" hidden="1" customHeight="1">
      <c r="A426" s="263"/>
      <c r="B426" s="247"/>
      <c r="C426" s="247"/>
      <c r="D426" s="287"/>
      <c r="E426" s="247"/>
      <c r="F426" s="288"/>
      <c r="G426" s="247"/>
      <c r="H426" s="247"/>
      <c r="I426" s="247"/>
      <c r="J426" s="247"/>
      <c r="K426" s="247"/>
      <c r="L426" s="247"/>
      <c r="M426" s="247"/>
      <c r="N426" s="247"/>
      <c r="O426" s="247"/>
      <c r="P426" s="247"/>
      <c r="Q426" s="247"/>
      <c r="R426" s="247"/>
      <c r="S426" s="247"/>
      <c r="T426" s="247"/>
      <c r="U426" s="247"/>
    </row>
    <row r="427" spans="1:21" ht="13" hidden="1" customHeight="1">
      <c r="A427" s="263"/>
      <c r="B427" s="247"/>
      <c r="C427" s="247"/>
      <c r="D427" s="287"/>
      <c r="E427" s="247"/>
      <c r="F427" s="288"/>
      <c r="G427" s="247"/>
      <c r="H427" s="247"/>
      <c r="I427" s="247"/>
      <c r="J427" s="247"/>
      <c r="K427" s="247"/>
      <c r="L427" s="247"/>
      <c r="M427" s="247"/>
      <c r="N427" s="247"/>
      <c r="O427" s="247"/>
      <c r="P427" s="247"/>
      <c r="Q427" s="247"/>
      <c r="R427" s="247"/>
      <c r="S427" s="247"/>
      <c r="T427" s="247"/>
      <c r="U427" s="247"/>
    </row>
    <row r="428" spans="1:21" ht="13" hidden="1" customHeight="1">
      <c r="A428" s="263"/>
      <c r="B428" s="247"/>
      <c r="C428" s="247"/>
      <c r="D428" s="287"/>
      <c r="E428" s="247"/>
      <c r="F428" s="288"/>
      <c r="G428" s="247"/>
      <c r="H428" s="247"/>
      <c r="I428" s="247"/>
      <c r="J428" s="247"/>
      <c r="K428" s="247"/>
      <c r="L428" s="247"/>
      <c r="M428" s="247"/>
      <c r="N428" s="247"/>
      <c r="O428" s="247"/>
      <c r="P428" s="247"/>
      <c r="Q428" s="247"/>
      <c r="R428" s="247"/>
      <c r="S428" s="247"/>
      <c r="T428" s="247"/>
      <c r="U428" s="247"/>
    </row>
    <row r="429" spans="1:21" ht="13" hidden="1" customHeight="1">
      <c r="A429" s="263"/>
      <c r="B429" s="247"/>
      <c r="C429" s="247"/>
      <c r="D429" s="287"/>
      <c r="E429" s="247"/>
      <c r="F429" s="288"/>
      <c r="G429" s="247"/>
      <c r="H429" s="247"/>
      <c r="I429" s="247"/>
      <c r="J429" s="247"/>
      <c r="K429" s="247"/>
      <c r="L429" s="247"/>
      <c r="M429" s="247"/>
      <c r="N429" s="247"/>
      <c r="O429" s="247"/>
      <c r="P429" s="247"/>
      <c r="Q429" s="247"/>
      <c r="R429" s="247"/>
      <c r="S429" s="247"/>
      <c r="T429" s="247"/>
      <c r="U429" s="247"/>
    </row>
    <row r="430" spans="1:21" ht="13" hidden="1" customHeight="1">
      <c r="A430" s="263"/>
      <c r="B430" s="247"/>
      <c r="C430" s="247"/>
      <c r="D430" s="287"/>
      <c r="E430" s="247"/>
      <c r="F430" s="288"/>
      <c r="G430" s="247"/>
      <c r="H430" s="247"/>
      <c r="I430" s="247"/>
      <c r="J430" s="247"/>
      <c r="K430" s="247"/>
      <c r="L430" s="247"/>
      <c r="M430" s="247"/>
      <c r="N430" s="247"/>
      <c r="O430" s="247"/>
      <c r="P430" s="247"/>
      <c r="Q430" s="247"/>
      <c r="R430" s="247"/>
      <c r="S430" s="247"/>
      <c r="T430" s="247"/>
      <c r="U430" s="247"/>
    </row>
    <row r="431" spans="1:21" ht="13" hidden="1" customHeight="1">
      <c r="A431" s="263"/>
      <c r="B431" s="247"/>
      <c r="C431" s="247"/>
      <c r="D431" s="287"/>
      <c r="E431" s="247"/>
      <c r="F431" s="288"/>
      <c r="G431" s="247"/>
      <c r="H431" s="247"/>
      <c r="I431" s="247"/>
      <c r="J431" s="247"/>
      <c r="K431" s="247"/>
      <c r="L431" s="247"/>
      <c r="M431" s="247"/>
      <c r="N431" s="247"/>
      <c r="O431" s="247"/>
      <c r="P431" s="247"/>
      <c r="Q431" s="247"/>
      <c r="R431" s="247"/>
      <c r="S431" s="247"/>
      <c r="T431" s="247"/>
      <c r="U431" s="247"/>
    </row>
    <row r="432" spans="1:21" ht="13" hidden="1" customHeight="1">
      <c r="A432" s="263"/>
      <c r="B432" s="247"/>
      <c r="C432" s="247"/>
      <c r="D432" s="287"/>
      <c r="E432" s="247"/>
      <c r="F432" s="288"/>
      <c r="G432" s="247"/>
      <c r="H432" s="247"/>
      <c r="I432" s="247"/>
      <c r="J432" s="247"/>
      <c r="K432" s="247"/>
      <c r="L432" s="247"/>
      <c r="M432" s="247"/>
      <c r="N432" s="247"/>
      <c r="O432" s="247"/>
      <c r="P432" s="247"/>
      <c r="Q432" s="247"/>
      <c r="R432" s="247"/>
      <c r="S432" s="247"/>
      <c r="T432" s="247"/>
      <c r="U432" s="247"/>
    </row>
    <row r="433" spans="1:21" ht="13" hidden="1" customHeight="1">
      <c r="A433" s="263"/>
      <c r="B433" s="247"/>
      <c r="C433" s="247"/>
      <c r="D433" s="287"/>
      <c r="E433" s="247"/>
      <c r="F433" s="288"/>
      <c r="G433" s="247"/>
      <c r="H433" s="247"/>
      <c r="I433" s="247"/>
      <c r="J433" s="247"/>
      <c r="K433" s="247"/>
      <c r="L433" s="247"/>
      <c r="M433" s="247"/>
      <c r="N433" s="247"/>
      <c r="O433" s="247"/>
      <c r="P433" s="247"/>
      <c r="Q433" s="247"/>
      <c r="R433" s="247"/>
      <c r="S433" s="247"/>
      <c r="T433" s="247"/>
      <c r="U433" s="247"/>
    </row>
    <row r="434" spans="1:21" ht="13" hidden="1" customHeight="1">
      <c r="A434" s="263"/>
      <c r="B434" s="247"/>
      <c r="C434" s="247"/>
      <c r="D434" s="287"/>
      <c r="E434" s="247"/>
      <c r="F434" s="288"/>
      <c r="G434" s="247"/>
      <c r="H434" s="247"/>
      <c r="I434" s="247"/>
      <c r="J434" s="247"/>
      <c r="K434" s="247"/>
      <c r="L434" s="247"/>
      <c r="M434" s="247"/>
      <c r="N434" s="247"/>
      <c r="O434" s="247"/>
      <c r="P434" s="247"/>
      <c r="Q434" s="247"/>
      <c r="R434" s="247"/>
      <c r="S434" s="247"/>
      <c r="T434" s="247"/>
      <c r="U434" s="247"/>
    </row>
    <row r="435" spans="1:21" ht="13" hidden="1" customHeight="1">
      <c r="A435" s="263"/>
      <c r="B435" s="247"/>
      <c r="C435" s="247"/>
      <c r="D435" s="287"/>
      <c r="E435" s="247"/>
      <c r="F435" s="288"/>
      <c r="G435" s="247"/>
      <c r="H435" s="247"/>
      <c r="I435" s="247"/>
      <c r="J435" s="247"/>
      <c r="K435" s="247"/>
      <c r="L435" s="247"/>
      <c r="M435" s="247"/>
      <c r="N435" s="247"/>
      <c r="O435" s="247"/>
      <c r="P435" s="247"/>
      <c r="Q435" s="247"/>
      <c r="R435" s="247"/>
      <c r="S435" s="247"/>
      <c r="T435" s="247"/>
      <c r="U435" s="247"/>
    </row>
    <row r="436" spans="1:21" ht="13" hidden="1" customHeight="1">
      <c r="A436" s="263"/>
      <c r="B436" s="247"/>
      <c r="C436" s="247"/>
      <c r="D436" s="287"/>
      <c r="E436" s="247"/>
      <c r="F436" s="288"/>
      <c r="G436" s="247"/>
      <c r="H436" s="247"/>
      <c r="I436" s="247"/>
      <c r="J436" s="247"/>
      <c r="K436" s="247"/>
      <c r="L436" s="247"/>
      <c r="M436" s="247"/>
      <c r="N436" s="247"/>
      <c r="O436" s="247"/>
      <c r="P436" s="247"/>
      <c r="Q436" s="247"/>
      <c r="R436" s="247"/>
      <c r="S436" s="247"/>
      <c r="T436" s="247"/>
      <c r="U436" s="247"/>
    </row>
    <row r="437" spans="1:21" ht="13" hidden="1" customHeight="1">
      <c r="A437" s="263"/>
      <c r="B437" s="247"/>
      <c r="C437" s="247"/>
      <c r="D437" s="287"/>
      <c r="E437" s="247"/>
      <c r="F437" s="288"/>
      <c r="G437" s="247"/>
      <c r="H437" s="247"/>
      <c r="I437" s="247"/>
      <c r="J437" s="247"/>
      <c r="K437" s="247"/>
      <c r="L437" s="247"/>
      <c r="M437" s="247"/>
      <c r="N437" s="247"/>
      <c r="O437" s="247"/>
      <c r="P437" s="247"/>
      <c r="Q437" s="247"/>
      <c r="R437" s="247"/>
      <c r="S437" s="247"/>
      <c r="T437" s="247"/>
      <c r="U437" s="247"/>
    </row>
    <row r="438" spans="1:21" ht="13" hidden="1" customHeight="1">
      <c r="A438" s="263"/>
      <c r="B438" s="247"/>
      <c r="C438" s="247"/>
      <c r="D438" s="287"/>
      <c r="E438" s="247"/>
      <c r="F438" s="288"/>
      <c r="G438" s="247"/>
      <c r="H438" s="247"/>
      <c r="I438" s="247"/>
      <c r="J438" s="247"/>
      <c r="K438" s="247"/>
      <c r="L438" s="247"/>
      <c r="M438" s="247"/>
      <c r="N438" s="247"/>
      <c r="O438" s="247"/>
      <c r="P438" s="247"/>
      <c r="Q438" s="247"/>
      <c r="R438" s="247"/>
      <c r="S438" s="247"/>
      <c r="T438" s="247"/>
      <c r="U438" s="247"/>
    </row>
    <row r="439" spans="1:21" ht="13" hidden="1" customHeight="1">
      <c r="A439" s="263"/>
      <c r="B439" s="247"/>
      <c r="C439" s="247"/>
      <c r="D439" s="287"/>
      <c r="E439" s="247"/>
      <c r="F439" s="288"/>
      <c r="G439" s="247"/>
      <c r="H439" s="247"/>
      <c r="I439" s="247"/>
      <c r="J439" s="247"/>
      <c r="K439" s="247"/>
      <c r="L439" s="247"/>
      <c r="M439" s="247"/>
      <c r="N439" s="247"/>
      <c r="O439" s="247"/>
      <c r="P439" s="247"/>
      <c r="Q439" s="247"/>
      <c r="R439" s="247"/>
      <c r="S439" s="247"/>
      <c r="T439" s="247"/>
      <c r="U439" s="247"/>
    </row>
    <row r="440" spans="1:21" ht="13" hidden="1" customHeight="1">
      <c r="A440" s="263"/>
      <c r="B440" s="247"/>
      <c r="C440" s="247"/>
      <c r="D440" s="287"/>
      <c r="E440" s="247"/>
      <c r="F440" s="288"/>
      <c r="G440" s="247"/>
      <c r="H440" s="247"/>
      <c r="I440" s="247"/>
      <c r="J440" s="247"/>
      <c r="K440" s="247"/>
      <c r="L440" s="247"/>
      <c r="M440" s="247"/>
      <c r="N440" s="247"/>
      <c r="O440" s="247"/>
      <c r="P440" s="247"/>
      <c r="Q440" s="247"/>
      <c r="R440" s="247"/>
      <c r="S440" s="247"/>
      <c r="T440" s="247"/>
      <c r="U440" s="247"/>
    </row>
    <row r="441" spans="1:21" ht="13" hidden="1" customHeight="1">
      <c r="A441" s="263"/>
      <c r="B441" s="247"/>
      <c r="C441" s="247"/>
      <c r="D441" s="287"/>
      <c r="E441" s="247"/>
      <c r="F441" s="288"/>
      <c r="G441" s="247"/>
      <c r="H441" s="247"/>
      <c r="I441" s="247"/>
      <c r="J441" s="247"/>
      <c r="K441" s="247"/>
      <c r="L441" s="247"/>
      <c r="M441" s="247"/>
      <c r="N441" s="247"/>
      <c r="O441" s="247"/>
      <c r="P441" s="247"/>
      <c r="Q441" s="247"/>
      <c r="R441" s="247"/>
      <c r="S441" s="247"/>
      <c r="T441" s="247"/>
      <c r="U441" s="247"/>
    </row>
    <row r="442" spans="1:21" ht="13" hidden="1" customHeight="1">
      <c r="A442" s="263"/>
      <c r="B442" s="247"/>
      <c r="C442" s="247"/>
      <c r="D442" s="287"/>
      <c r="E442" s="247"/>
      <c r="F442" s="288"/>
      <c r="G442" s="247"/>
      <c r="H442" s="247"/>
      <c r="I442" s="247"/>
      <c r="J442" s="247"/>
      <c r="K442" s="247"/>
      <c r="L442" s="247"/>
      <c r="M442" s="247"/>
      <c r="N442" s="247"/>
      <c r="O442" s="247"/>
      <c r="P442" s="247"/>
      <c r="Q442" s="247"/>
      <c r="R442" s="247"/>
      <c r="S442" s="247"/>
      <c r="T442" s="247"/>
      <c r="U442" s="247"/>
    </row>
    <row r="443" spans="1:21" ht="13" hidden="1" customHeight="1">
      <c r="A443" s="263"/>
      <c r="B443" s="247"/>
      <c r="C443" s="247"/>
      <c r="D443" s="287"/>
      <c r="E443" s="247"/>
      <c r="F443" s="288"/>
      <c r="G443" s="247"/>
      <c r="H443" s="247"/>
      <c r="I443" s="247"/>
      <c r="J443" s="247"/>
      <c r="K443" s="247"/>
      <c r="L443" s="247"/>
      <c r="M443" s="247"/>
      <c r="N443" s="247"/>
      <c r="O443" s="247"/>
      <c r="P443" s="247"/>
      <c r="Q443" s="247"/>
      <c r="R443" s="247"/>
      <c r="S443" s="247"/>
      <c r="T443" s="247"/>
      <c r="U443" s="247"/>
    </row>
    <row r="444" spans="1:21" ht="13" hidden="1" customHeight="1">
      <c r="A444" s="263"/>
      <c r="B444" s="247"/>
      <c r="C444" s="247"/>
      <c r="D444" s="287"/>
      <c r="E444" s="247"/>
      <c r="F444" s="288"/>
      <c r="G444" s="247"/>
      <c r="H444" s="247"/>
      <c r="I444" s="247"/>
      <c r="J444" s="247"/>
      <c r="K444" s="247"/>
      <c r="L444" s="247"/>
      <c r="M444" s="247"/>
      <c r="N444" s="247"/>
      <c r="O444" s="247"/>
      <c r="P444" s="247"/>
      <c r="Q444" s="247"/>
      <c r="R444" s="247"/>
      <c r="S444" s="247"/>
      <c r="T444" s="247"/>
      <c r="U444" s="247"/>
    </row>
    <row r="445" spans="1:21" ht="13" hidden="1" customHeight="1">
      <c r="A445" s="263"/>
      <c r="B445" s="247"/>
      <c r="C445" s="247"/>
      <c r="D445" s="287"/>
      <c r="E445" s="247"/>
      <c r="F445" s="288"/>
      <c r="G445" s="247"/>
      <c r="H445" s="247"/>
      <c r="I445" s="247"/>
      <c r="J445" s="247"/>
      <c r="K445" s="247"/>
      <c r="L445" s="247"/>
      <c r="M445" s="247"/>
      <c r="N445" s="247"/>
      <c r="O445" s="247"/>
      <c r="P445" s="247"/>
      <c r="Q445" s="247"/>
      <c r="R445" s="247"/>
      <c r="S445" s="247"/>
      <c r="T445" s="247"/>
      <c r="U445" s="247"/>
    </row>
    <row r="446" spans="1:21" ht="13" hidden="1" customHeight="1">
      <c r="A446" s="263"/>
      <c r="B446" s="247"/>
      <c r="C446" s="247"/>
      <c r="D446" s="287"/>
      <c r="E446" s="247"/>
      <c r="F446" s="288"/>
      <c r="G446" s="247"/>
      <c r="H446" s="247"/>
      <c r="I446" s="247"/>
      <c r="J446" s="247"/>
      <c r="K446" s="247"/>
      <c r="L446" s="247"/>
      <c r="M446" s="247"/>
      <c r="N446" s="247"/>
      <c r="O446" s="247"/>
      <c r="P446" s="247"/>
      <c r="Q446" s="247"/>
      <c r="R446" s="247"/>
      <c r="S446" s="247"/>
      <c r="T446" s="247"/>
      <c r="U446" s="247"/>
    </row>
    <row r="447" spans="1:21" ht="13" hidden="1" customHeight="1">
      <c r="A447" s="263"/>
      <c r="B447" s="247"/>
      <c r="C447" s="247"/>
      <c r="D447" s="287"/>
      <c r="E447" s="247"/>
      <c r="F447" s="288"/>
      <c r="G447" s="247"/>
      <c r="H447" s="247"/>
      <c r="I447" s="247"/>
      <c r="J447" s="247"/>
      <c r="K447" s="247"/>
      <c r="L447" s="247"/>
      <c r="M447" s="247"/>
      <c r="N447" s="247"/>
      <c r="O447" s="247"/>
      <c r="P447" s="247"/>
      <c r="Q447" s="247"/>
      <c r="R447" s="247"/>
      <c r="S447" s="247"/>
      <c r="T447" s="247"/>
      <c r="U447" s="247"/>
    </row>
    <row r="448" spans="1:21" ht="13" hidden="1" customHeight="1">
      <c r="A448" s="263"/>
      <c r="B448" s="247"/>
      <c r="C448" s="247"/>
      <c r="D448" s="287"/>
      <c r="E448" s="247"/>
      <c r="F448" s="288"/>
      <c r="G448" s="247"/>
      <c r="H448" s="247"/>
      <c r="I448" s="247"/>
      <c r="J448" s="247"/>
      <c r="K448" s="247"/>
      <c r="L448" s="247"/>
      <c r="M448" s="247"/>
      <c r="N448" s="247"/>
      <c r="O448" s="247"/>
      <c r="P448" s="247"/>
      <c r="Q448" s="247"/>
      <c r="R448" s="247"/>
      <c r="S448" s="247"/>
      <c r="T448" s="247"/>
      <c r="U448" s="247"/>
    </row>
    <row r="449" spans="1:21" ht="13" hidden="1" customHeight="1">
      <c r="A449" s="263"/>
      <c r="B449" s="247"/>
      <c r="C449" s="247"/>
      <c r="D449" s="287"/>
      <c r="E449" s="247"/>
      <c r="F449" s="288"/>
      <c r="G449" s="247"/>
      <c r="H449" s="247"/>
      <c r="I449" s="247"/>
      <c r="J449" s="247"/>
      <c r="K449" s="247"/>
      <c r="L449" s="247"/>
      <c r="M449" s="247"/>
      <c r="N449" s="247"/>
      <c r="O449" s="247"/>
      <c r="P449" s="247"/>
      <c r="Q449" s="247"/>
      <c r="R449" s="247"/>
      <c r="S449" s="247"/>
      <c r="T449" s="247"/>
      <c r="U449" s="247"/>
    </row>
    <row r="450" spans="1:21" ht="13" hidden="1" customHeight="1">
      <c r="A450" s="263"/>
      <c r="B450" s="247"/>
      <c r="C450" s="247"/>
      <c r="D450" s="287"/>
      <c r="E450" s="247"/>
      <c r="F450" s="288"/>
      <c r="G450" s="247"/>
      <c r="H450" s="247"/>
      <c r="I450" s="247"/>
      <c r="J450" s="247"/>
      <c r="K450" s="247"/>
      <c r="L450" s="247"/>
      <c r="M450" s="247"/>
      <c r="N450" s="247"/>
      <c r="O450" s="247"/>
      <c r="P450" s="247"/>
      <c r="Q450" s="247"/>
      <c r="R450" s="247"/>
      <c r="S450" s="247"/>
      <c r="T450" s="247"/>
      <c r="U450" s="247"/>
    </row>
    <row r="451" spans="1:21" ht="13" hidden="1" customHeight="1">
      <c r="A451" s="263"/>
      <c r="B451" s="247"/>
      <c r="C451" s="247"/>
      <c r="D451" s="287"/>
      <c r="E451" s="247"/>
      <c r="F451" s="288"/>
      <c r="G451" s="247"/>
      <c r="H451" s="247"/>
      <c r="I451" s="247"/>
      <c r="J451" s="247"/>
      <c r="K451" s="247"/>
      <c r="L451" s="247"/>
      <c r="M451" s="247"/>
      <c r="N451" s="247"/>
      <c r="O451" s="247"/>
      <c r="P451" s="247"/>
      <c r="Q451" s="247"/>
      <c r="R451" s="247"/>
      <c r="S451" s="247"/>
      <c r="T451" s="247"/>
      <c r="U451" s="247"/>
    </row>
    <row r="452" spans="1:21" ht="13" hidden="1" customHeight="1">
      <c r="A452" s="263"/>
      <c r="B452" s="247"/>
      <c r="C452" s="247"/>
      <c r="D452" s="287"/>
      <c r="E452" s="247"/>
      <c r="F452" s="288"/>
      <c r="G452" s="247"/>
      <c r="H452" s="247"/>
      <c r="I452" s="247"/>
      <c r="J452" s="247"/>
      <c r="K452" s="247"/>
      <c r="L452" s="247"/>
      <c r="M452" s="247"/>
      <c r="N452" s="247"/>
      <c r="O452" s="247"/>
      <c r="P452" s="247"/>
      <c r="Q452" s="247"/>
      <c r="R452" s="247"/>
      <c r="S452" s="247"/>
      <c r="T452" s="247"/>
      <c r="U452" s="247"/>
    </row>
    <row r="453" spans="1:21" ht="13" hidden="1" customHeight="1">
      <c r="A453" s="263"/>
      <c r="B453" s="247"/>
      <c r="C453" s="247"/>
      <c r="D453" s="287"/>
      <c r="E453" s="247"/>
      <c r="F453" s="288"/>
      <c r="G453" s="247"/>
      <c r="H453" s="247"/>
      <c r="I453" s="247"/>
      <c r="J453" s="247"/>
      <c r="K453" s="247"/>
      <c r="L453" s="247"/>
      <c r="M453" s="247"/>
      <c r="N453" s="247"/>
      <c r="O453" s="247"/>
      <c r="P453" s="247"/>
      <c r="Q453" s="247"/>
      <c r="R453" s="247"/>
      <c r="S453" s="247"/>
      <c r="T453" s="247"/>
      <c r="U453" s="247"/>
    </row>
    <row r="454" spans="1:21" ht="13" hidden="1" customHeight="1">
      <c r="A454" s="263"/>
      <c r="B454" s="247"/>
      <c r="C454" s="247"/>
      <c r="D454" s="287"/>
      <c r="E454" s="247"/>
      <c r="F454" s="288"/>
      <c r="G454" s="247"/>
      <c r="H454" s="247"/>
      <c r="I454" s="247"/>
      <c r="J454" s="247"/>
      <c r="K454" s="247"/>
      <c r="L454" s="247"/>
      <c r="M454" s="247"/>
      <c r="N454" s="247"/>
      <c r="O454" s="247"/>
      <c r="P454" s="247"/>
      <c r="Q454" s="247"/>
      <c r="R454" s="247"/>
      <c r="S454" s="247"/>
      <c r="T454" s="247"/>
      <c r="U454" s="247"/>
    </row>
    <row r="455" spans="1:21" ht="13" hidden="1" customHeight="1">
      <c r="A455" s="263"/>
      <c r="B455" s="247"/>
      <c r="C455" s="247"/>
      <c r="D455" s="287"/>
      <c r="E455" s="247"/>
      <c r="F455" s="288"/>
      <c r="G455" s="247"/>
      <c r="H455" s="247"/>
      <c r="I455" s="247"/>
      <c r="J455" s="247"/>
      <c r="K455" s="247"/>
      <c r="L455" s="247"/>
      <c r="M455" s="247"/>
      <c r="N455" s="247"/>
      <c r="O455" s="247"/>
      <c r="P455" s="247"/>
      <c r="Q455" s="247"/>
      <c r="R455" s="247"/>
      <c r="S455" s="247"/>
      <c r="T455" s="247"/>
      <c r="U455" s="247"/>
    </row>
    <row r="456" spans="1:21" ht="13" hidden="1" customHeight="1">
      <c r="A456" s="263"/>
      <c r="B456" s="247"/>
      <c r="C456" s="247"/>
      <c r="D456" s="287"/>
      <c r="E456" s="247"/>
      <c r="F456" s="288"/>
      <c r="G456" s="247"/>
      <c r="H456" s="247"/>
      <c r="I456" s="247"/>
      <c r="J456" s="247"/>
      <c r="K456" s="247"/>
      <c r="L456" s="247"/>
      <c r="M456" s="247"/>
      <c r="N456" s="247"/>
      <c r="O456" s="247"/>
      <c r="P456" s="247"/>
      <c r="Q456" s="247"/>
      <c r="R456" s="247"/>
      <c r="S456" s="247"/>
      <c r="T456" s="247"/>
      <c r="U456" s="247"/>
    </row>
    <row r="457" spans="1:21" ht="13" hidden="1" customHeight="1">
      <c r="A457" s="263"/>
      <c r="B457" s="247"/>
      <c r="C457" s="247"/>
      <c r="D457" s="287"/>
      <c r="E457" s="247"/>
      <c r="F457" s="288"/>
      <c r="G457" s="247"/>
      <c r="H457" s="247"/>
      <c r="I457" s="247"/>
      <c r="J457" s="247"/>
      <c r="K457" s="247"/>
      <c r="L457" s="247"/>
      <c r="M457" s="247"/>
      <c r="N457" s="247"/>
      <c r="O457" s="247"/>
      <c r="P457" s="247"/>
      <c r="Q457" s="247"/>
      <c r="R457" s="247"/>
      <c r="S457" s="247"/>
      <c r="T457" s="247"/>
      <c r="U457" s="247"/>
    </row>
    <row r="458" spans="1:21" ht="13" hidden="1" customHeight="1">
      <c r="A458" s="263"/>
      <c r="B458" s="247"/>
      <c r="C458" s="247"/>
      <c r="D458" s="287"/>
      <c r="E458" s="247"/>
      <c r="F458" s="288"/>
      <c r="G458" s="247"/>
      <c r="H458" s="247"/>
      <c r="I458" s="247"/>
      <c r="J458" s="247"/>
      <c r="K458" s="247"/>
      <c r="L458" s="247"/>
      <c r="M458" s="247"/>
      <c r="N458" s="247"/>
      <c r="O458" s="247"/>
      <c r="P458" s="247"/>
      <c r="Q458" s="247"/>
      <c r="R458" s="247"/>
      <c r="S458" s="247"/>
      <c r="T458" s="247"/>
      <c r="U458" s="247"/>
    </row>
    <row r="459" spans="1:21" ht="13" hidden="1" customHeight="1">
      <c r="A459" s="263"/>
      <c r="B459" s="247"/>
      <c r="C459" s="247"/>
      <c r="D459" s="287"/>
      <c r="E459" s="247"/>
      <c r="F459" s="288"/>
      <c r="G459" s="247"/>
      <c r="H459" s="247"/>
      <c r="I459" s="247"/>
      <c r="J459" s="247"/>
      <c r="K459" s="247"/>
      <c r="L459" s="247"/>
      <c r="M459" s="247"/>
      <c r="N459" s="247"/>
      <c r="O459" s="247"/>
      <c r="P459" s="247"/>
      <c r="Q459" s="247"/>
      <c r="R459" s="247"/>
      <c r="S459" s="247"/>
      <c r="T459" s="247"/>
      <c r="U459" s="247"/>
    </row>
    <row r="460" spans="1:21" ht="13" hidden="1" customHeight="1">
      <c r="A460" s="263"/>
      <c r="B460" s="247"/>
      <c r="C460" s="247"/>
      <c r="D460" s="287"/>
      <c r="E460" s="247"/>
      <c r="F460" s="288"/>
      <c r="G460" s="247"/>
      <c r="H460" s="247"/>
      <c r="I460" s="247"/>
      <c r="J460" s="247"/>
      <c r="K460" s="247"/>
      <c r="L460" s="247"/>
      <c r="M460" s="247"/>
      <c r="N460" s="247"/>
      <c r="O460" s="247"/>
      <c r="P460" s="247"/>
      <c r="Q460" s="247"/>
      <c r="R460" s="247"/>
      <c r="S460" s="247"/>
      <c r="T460" s="247"/>
      <c r="U460" s="247"/>
    </row>
    <row r="461" spans="1:21" ht="13" hidden="1" customHeight="1">
      <c r="A461" s="263"/>
      <c r="B461" s="247"/>
      <c r="C461" s="247"/>
      <c r="D461" s="287"/>
      <c r="E461" s="247"/>
      <c r="F461" s="288"/>
      <c r="G461" s="247"/>
      <c r="H461" s="247"/>
      <c r="I461" s="247"/>
      <c r="J461" s="247"/>
      <c r="K461" s="247"/>
      <c r="L461" s="247"/>
      <c r="M461" s="247"/>
      <c r="N461" s="247"/>
      <c r="O461" s="247"/>
      <c r="P461" s="247"/>
      <c r="Q461" s="247"/>
      <c r="R461" s="247"/>
      <c r="S461" s="247"/>
      <c r="T461" s="247"/>
      <c r="U461" s="247"/>
    </row>
    <row r="462" spans="1:21" ht="13" hidden="1" customHeight="1">
      <c r="A462" s="263"/>
      <c r="B462" s="247"/>
      <c r="C462" s="247"/>
      <c r="D462" s="287"/>
      <c r="E462" s="247"/>
      <c r="F462" s="288"/>
      <c r="G462" s="247"/>
      <c r="H462" s="247"/>
      <c r="I462" s="247"/>
      <c r="J462" s="247"/>
      <c r="K462" s="247"/>
      <c r="L462" s="247"/>
      <c r="M462" s="247"/>
      <c r="N462" s="247"/>
      <c r="O462" s="247"/>
      <c r="P462" s="247"/>
      <c r="Q462" s="247"/>
      <c r="R462" s="247"/>
      <c r="S462" s="247"/>
      <c r="T462" s="247"/>
      <c r="U462" s="247"/>
    </row>
    <row r="463" spans="1:21" ht="13" hidden="1" customHeight="1">
      <c r="A463" s="263"/>
      <c r="B463" s="247"/>
      <c r="C463" s="247"/>
      <c r="D463" s="287"/>
      <c r="E463" s="247"/>
      <c r="F463" s="288"/>
      <c r="G463" s="247"/>
      <c r="H463" s="247"/>
      <c r="I463" s="247"/>
      <c r="J463" s="247"/>
      <c r="K463" s="247"/>
      <c r="L463" s="247"/>
      <c r="M463" s="247"/>
      <c r="N463" s="247"/>
      <c r="O463" s="247"/>
      <c r="P463" s="247"/>
      <c r="Q463" s="247"/>
      <c r="R463" s="247"/>
      <c r="S463" s="247"/>
      <c r="T463" s="247"/>
      <c r="U463" s="247"/>
    </row>
    <row r="464" spans="1:21" ht="13" hidden="1" customHeight="1">
      <c r="A464" s="263"/>
      <c r="B464" s="247"/>
      <c r="C464" s="247"/>
      <c r="D464" s="287"/>
      <c r="E464" s="247"/>
      <c r="F464" s="288"/>
      <c r="G464" s="247"/>
      <c r="H464" s="247"/>
      <c r="I464" s="247"/>
      <c r="J464" s="247"/>
      <c r="K464" s="247"/>
      <c r="L464" s="247"/>
      <c r="M464" s="247"/>
      <c r="N464" s="247"/>
      <c r="O464" s="247"/>
      <c r="P464" s="247"/>
      <c r="Q464" s="247"/>
      <c r="R464" s="247"/>
      <c r="S464" s="247"/>
      <c r="T464" s="247"/>
      <c r="U464" s="247"/>
    </row>
    <row r="465" spans="1:21" ht="13" hidden="1" customHeight="1">
      <c r="A465" s="263"/>
      <c r="B465" s="247"/>
      <c r="C465" s="247"/>
      <c r="D465" s="287"/>
      <c r="E465" s="247"/>
      <c r="F465" s="288"/>
      <c r="G465" s="247"/>
      <c r="H465" s="247"/>
      <c r="I465" s="247"/>
      <c r="J465" s="247"/>
      <c r="K465" s="247"/>
      <c r="L465" s="247"/>
      <c r="M465" s="247"/>
      <c r="N465" s="247"/>
      <c r="O465" s="247"/>
      <c r="P465" s="247"/>
      <c r="Q465" s="247"/>
      <c r="R465" s="247"/>
      <c r="S465" s="247"/>
      <c r="T465" s="247"/>
      <c r="U465" s="247"/>
    </row>
    <row r="466" spans="1:21" ht="13" hidden="1" customHeight="1">
      <c r="A466" s="263"/>
      <c r="B466" s="247"/>
      <c r="C466" s="247"/>
      <c r="D466" s="287"/>
      <c r="E466" s="247"/>
      <c r="F466" s="288"/>
      <c r="G466" s="247"/>
      <c r="H466" s="247"/>
      <c r="I466" s="247"/>
      <c r="J466" s="247"/>
      <c r="K466" s="247"/>
      <c r="L466" s="247"/>
      <c r="M466" s="247"/>
      <c r="N466" s="247"/>
      <c r="O466" s="247"/>
      <c r="P466" s="247"/>
      <c r="Q466" s="247"/>
      <c r="R466" s="247"/>
      <c r="S466" s="247"/>
      <c r="T466" s="247"/>
      <c r="U466" s="247"/>
    </row>
    <row r="467" spans="1:21" ht="13" hidden="1" customHeight="1">
      <c r="A467" s="263"/>
      <c r="B467" s="247"/>
      <c r="C467" s="247"/>
      <c r="D467" s="287"/>
      <c r="E467" s="247"/>
      <c r="F467" s="288"/>
      <c r="G467" s="247"/>
      <c r="H467" s="247"/>
      <c r="I467" s="247"/>
      <c r="J467" s="247"/>
      <c r="K467" s="247"/>
      <c r="L467" s="247"/>
      <c r="M467" s="247"/>
      <c r="N467" s="247"/>
      <c r="O467" s="247"/>
      <c r="P467" s="247"/>
      <c r="Q467" s="247"/>
      <c r="R467" s="247"/>
      <c r="S467" s="247"/>
      <c r="T467" s="247"/>
      <c r="U467" s="247"/>
    </row>
    <row r="468" spans="1:21" ht="13" hidden="1" customHeight="1">
      <c r="A468" s="263"/>
      <c r="B468" s="247"/>
      <c r="C468" s="247"/>
      <c r="D468" s="287"/>
      <c r="E468" s="247"/>
      <c r="F468" s="288"/>
      <c r="G468" s="247"/>
      <c r="H468" s="247"/>
      <c r="I468" s="247"/>
      <c r="J468" s="247"/>
      <c r="K468" s="247"/>
      <c r="L468" s="247"/>
      <c r="M468" s="247"/>
      <c r="N468" s="247"/>
      <c r="O468" s="247"/>
      <c r="P468" s="247"/>
      <c r="Q468" s="247"/>
      <c r="R468" s="247"/>
      <c r="S468" s="247"/>
      <c r="T468" s="247"/>
      <c r="U468" s="247"/>
    </row>
    <row r="469" spans="1:21" ht="13" hidden="1" customHeight="1">
      <c r="A469" s="263"/>
      <c r="B469" s="247"/>
      <c r="C469" s="247"/>
      <c r="D469" s="287"/>
      <c r="E469" s="247"/>
      <c r="F469" s="288"/>
      <c r="G469" s="247"/>
      <c r="H469" s="247"/>
      <c r="I469" s="247"/>
      <c r="J469" s="247"/>
      <c r="K469" s="247"/>
      <c r="L469" s="247"/>
      <c r="M469" s="247"/>
      <c r="N469" s="247"/>
      <c r="O469" s="247"/>
      <c r="P469" s="247"/>
      <c r="Q469" s="247"/>
      <c r="R469" s="247"/>
      <c r="S469" s="247"/>
      <c r="T469" s="247"/>
      <c r="U469" s="247"/>
    </row>
    <row r="470" spans="1:21" ht="13" hidden="1" customHeight="1">
      <c r="A470" s="263"/>
      <c r="B470" s="247"/>
      <c r="C470" s="247"/>
      <c r="D470" s="287"/>
      <c r="E470" s="247"/>
      <c r="F470" s="288"/>
      <c r="G470" s="247"/>
      <c r="H470" s="247"/>
      <c r="I470" s="247"/>
      <c r="J470" s="247"/>
      <c r="K470" s="247"/>
      <c r="L470" s="247"/>
      <c r="M470" s="247"/>
      <c r="N470" s="247"/>
      <c r="O470" s="247"/>
      <c r="P470" s="247"/>
      <c r="Q470" s="247"/>
      <c r="R470" s="247"/>
      <c r="S470" s="247"/>
      <c r="T470" s="247"/>
      <c r="U470" s="247"/>
    </row>
    <row r="471" spans="1:21" ht="13" hidden="1" customHeight="1">
      <c r="A471" s="263"/>
      <c r="B471" s="247"/>
      <c r="C471" s="247"/>
      <c r="D471" s="287"/>
      <c r="E471" s="247"/>
      <c r="F471" s="288"/>
      <c r="G471" s="247"/>
      <c r="H471" s="247"/>
      <c r="I471" s="247"/>
      <c r="J471" s="247"/>
      <c r="K471" s="247"/>
      <c r="L471" s="247"/>
      <c r="M471" s="247"/>
      <c r="N471" s="247"/>
      <c r="O471" s="247"/>
      <c r="P471" s="247"/>
      <c r="Q471" s="247"/>
      <c r="R471" s="247"/>
      <c r="S471" s="247"/>
      <c r="T471" s="247"/>
      <c r="U471" s="247"/>
    </row>
    <row r="472" spans="1:21" ht="13" hidden="1" customHeight="1">
      <c r="A472" s="263"/>
      <c r="B472" s="247"/>
      <c r="C472" s="247"/>
      <c r="D472" s="287"/>
      <c r="E472" s="247"/>
      <c r="F472" s="288"/>
      <c r="G472" s="247"/>
      <c r="H472" s="247"/>
      <c r="I472" s="247"/>
      <c r="J472" s="247"/>
      <c r="K472" s="247"/>
      <c r="L472" s="247"/>
      <c r="M472" s="247"/>
      <c r="N472" s="247"/>
      <c r="O472" s="247"/>
      <c r="P472" s="247"/>
      <c r="Q472" s="247"/>
      <c r="R472" s="247"/>
      <c r="S472" s="247"/>
      <c r="T472" s="247"/>
      <c r="U472" s="247"/>
    </row>
    <row r="473" spans="1:21" ht="13" hidden="1" customHeight="1">
      <c r="A473" s="263"/>
      <c r="B473" s="247"/>
      <c r="C473" s="247"/>
      <c r="D473" s="287"/>
      <c r="E473" s="247"/>
      <c r="F473" s="288"/>
      <c r="G473" s="247"/>
      <c r="H473" s="247"/>
      <c r="I473" s="247"/>
      <c r="J473" s="247"/>
      <c r="K473" s="247"/>
      <c r="L473" s="247"/>
      <c r="M473" s="247"/>
      <c r="N473" s="247"/>
      <c r="O473" s="247"/>
      <c r="P473" s="247"/>
      <c r="Q473" s="247"/>
      <c r="R473" s="247"/>
      <c r="S473" s="247"/>
      <c r="T473" s="247"/>
      <c r="U473" s="247"/>
    </row>
    <row r="474" spans="1:21" ht="13" hidden="1" customHeight="1">
      <c r="A474" s="263"/>
      <c r="B474" s="247"/>
      <c r="C474" s="247"/>
      <c r="D474" s="287"/>
      <c r="E474" s="247"/>
      <c r="F474" s="288"/>
      <c r="G474" s="247"/>
      <c r="H474" s="247"/>
      <c r="I474" s="247"/>
      <c r="J474" s="247"/>
      <c r="K474" s="247"/>
      <c r="L474" s="247"/>
      <c r="M474" s="247"/>
      <c r="N474" s="247"/>
      <c r="O474" s="247"/>
      <c r="P474" s="247"/>
      <c r="Q474" s="247"/>
      <c r="R474" s="247"/>
      <c r="S474" s="247"/>
      <c r="T474" s="247"/>
      <c r="U474" s="247"/>
    </row>
    <row r="475" spans="1:21" ht="13" hidden="1" customHeight="1">
      <c r="A475" s="263"/>
      <c r="B475" s="247"/>
      <c r="C475" s="247"/>
      <c r="D475" s="287"/>
      <c r="E475" s="247"/>
      <c r="F475" s="288"/>
      <c r="G475" s="247"/>
      <c r="H475" s="247"/>
      <c r="I475" s="247"/>
      <c r="J475" s="247"/>
      <c r="K475" s="247"/>
      <c r="L475" s="247"/>
      <c r="M475" s="247"/>
      <c r="N475" s="247"/>
      <c r="O475" s="247"/>
      <c r="P475" s="247"/>
      <c r="Q475" s="247"/>
      <c r="R475" s="247"/>
      <c r="S475" s="247"/>
      <c r="T475" s="247"/>
      <c r="U475" s="247"/>
    </row>
    <row r="476" spans="1:21" ht="13" hidden="1" customHeight="1">
      <c r="A476" s="263"/>
      <c r="B476" s="247"/>
      <c r="C476" s="247"/>
      <c r="D476" s="287"/>
      <c r="E476" s="247"/>
      <c r="F476" s="288"/>
      <c r="G476" s="247"/>
      <c r="H476" s="247"/>
      <c r="I476" s="247"/>
      <c r="J476" s="247"/>
      <c r="K476" s="247"/>
      <c r="L476" s="247"/>
      <c r="M476" s="247"/>
      <c r="N476" s="247"/>
      <c r="O476" s="247"/>
      <c r="P476" s="247"/>
      <c r="Q476" s="247"/>
      <c r="R476" s="247"/>
      <c r="S476" s="247"/>
      <c r="T476" s="247"/>
      <c r="U476" s="247"/>
    </row>
    <row r="477" spans="1:21" ht="13" hidden="1" customHeight="1">
      <c r="A477" s="263"/>
      <c r="B477" s="247"/>
      <c r="C477" s="247"/>
      <c r="D477" s="287"/>
      <c r="E477" s="247"/>
      <c r="F477" s="288"/>
      <c r="G477" s="247"/>
      <c r="H477" s="247"/>
      <c r="I477" s="247"/>
      <c r="J477" s="247"/>
      <c r="K477" s="247"/>
      <c r="L477" s="247"/>
      <c r="M477" s="247"/>
      <c r="N477" s="247"/>
      <c r="O477" s="247"/>
      <c r="P477" s="247"/>
      <c r="Q477" s="247"/>
      <c r="R477" s="247"/>
      <c r="S477" s="247"/>
      <c r="T477" s="247"/>
      <c r="U477" s="247"/>
    </row>
    <row r="478" spans="1:21" ht="13" hidden="1" customHeight="1">
      <c r="A478" s="263"/>
      <c r="B478" s="247"/>
      <c r="C478" s="247"/>
      <c r="D478" s="287"/>
      <c r="E478" s="247"/>
      <c r="F478" s="288"/>
      <c r="G478" s="247"/>
      <c r="H478" s="247"/>
      <c r="I478" s="247"/>
      <c r="J478" s="247"/>
      <c r="K478" s="247"/>
      <c r="L478" s="247"/>
      <c r="M478" s="247"/>
      <c r="N478" s="247"/>
      <c r="O478" s="247"/>
      <c r="P478" s="247"/>
      <c r="Q478" s="247"/>
      <c r="R478" s="247"/>
      <c r="S478" s="247"/>
      <c r="T478" s="247"/>
      <c r="U478" s="247"/>
    </row>
    <row r="479" spans="1:21" ht="13" hidden="1" customHeight="1">
      <c r="A479" s="263"/>
      <c r="B479" s="247"/>
      <c r="C479" s="247"/>
      <c r="D479" s="287"/>
      <c r="E479" s="247"/>
      <c r="F479" s="288"/>
      <c r="G479" s="247"/>
      <c r="H479" s="247"/>
      <c r="I479" s="247"/>
      <c r="J479" s="247"/>
      <c r="K479" s="247"/>
      <c r="L479" s="247"/>
      <c r="M479" s="247"/>
      <c r="N479" s="247"/>
      <c r="O479" s="247"/>
      <c r="P479" s="247"/>
      <c r="Q479" s="247"/>
      <c r="R479" s="247"/>
      <c r="S479" s="247"/>
      <c r="T479" s="247"/>
      <c r="U479" s="247"/>
    </row>
    <row r="480" spans="1:21" ht="13" hidden="1" customHeight="1">
      <c r="A480" s="263"/>
      <c r="B480" s="247"/>
      <c r="C480" s="247"/>
      <c r="D480" s="287"/>
      <c r="E480" s="247"/>
      <c r="F480" s="288"/>
      <c r="G480" s="247"/>
      <c r="H480" s="247"/>
      <c r="I480" s="247"/>
      <c r="J480" s="247"/>
      <c r="K480" s="247"/>
      <c r="L480" s="247"/>
      <c r="M480" s="247"/>
      <c r="N480" s="247"/>
      <c r="O480" s="247"/>
      <c r="P480" s="247"/>
      <c r="Q480" s="247"/>
      <c r="R480" s="247"/>
      <c r="S480" s="247"/>
      <c r="T480" s="247"/>
      <c r="U480" s="247"/>
    </row>
    <row r="481" spans="1:21" ht="13" hidden="1" customHeight="1">
      <c r="A481" s="263"/>
      <c r="B481" s="247"/>
      <c r="C481" s="247"/>
      <c r="D481" s="287"/>
      <c r="E481" s="247"/>
      <c r="F481" s="288"/>
      <c r="G481" s="247"/>
      <c r="H481" s="247"/>
      <c r="I481" s="247"/>
      <c r="J481" s="247"/>
      <c r="K481" s="247"/>
      <c r="L481" s="247"/>
      <c r="M481" s="247"/>
      <c r="N481" s="247"/>
      <c r="O481" s="247"/>
      <c r="P481" s="247"/>
      <c r="Q481" s="247"/>
      <c r="R481" s="247"/>
      <c r="S481" s="247"/>
      <c r="T481" s="247"/>
      <c r="U481" s="247"/>
    </row>
    <row r="482" spans="1:21" ht="13" hidden="1" customHeight="1">
      <c r="A482" s="263"/>
      <c r="B482" s="247"/>
      <c r="C482" s="247"/>
      <c r="D482" s="287"/>
      <c r="E482" s="247"/>
      <c r="F482" s="288"/>
      <c r="G482" s="247"/>
      <c r="H482" s="247"/>
      <c r="I482" s="247"/>
      <c r="J482" s="247"/>
      <c r="K482" s="247"/>
      <c r="L482" s="247"/>
      <c r="M482" s="247"/>
      <c r="N482" s="247"/>
      <c r="O482" s="247"/>
      <c r="P482" s="247"/>
      <c r="Q482" s="247"/>
      <c r="R482" s="247"/>
      <c r="S482" s="247"/>
      <c r="T482" s="247"/>
      <c r="U482" s="247"/>
    </row>
    <row r="483" spans="1:21" ht="13" hidden="1" customHeight="1">
      <c r="A483" s="263"/>
      <c r="B483" s="247"/>
      <c r="C483" s="247"/>
      <c r="D483" s="287"/>
      <c r="E483" s="247"/>
      <c r="F483" s="288"/>
      <c r="G483" s="247"/>
      <c r="H483" s="247"/>
      <c r="I483" s="247"/>
      <c r="J483" s="247"/>
      <c r="K483" s="247"/>
      <c r="L483" s="247"/>
      <c r="M483" s="247"/>
      <c r="N483" s="247"/>
      <c r="O483" s="247"/>
      <c r="P483" s="247"/>
      <c r="Q483" s="247"/>
      <c r="R483" s="247"/>
      <c r="S483" s="247"/>
      <c r="T483" s="247"/>
      <c r="U483" s="247"/>
    </row>
    <row r="484" spans="1:21" ht="13" hidden="1" customHeight="1">
      <c r="A484" s="263"/>
      <c r="B484" s="247"/>
      <c r="C484" s="247"/>
      <c r="D484" s="287"/>
      <c r="E484" s="247"/>
      <c r="F484" s="288"/>
      <c r="G484" s="247"/>
      <c r="H484" s="247"/>
      <c r="I484" s="247"/>
      <c r="J484" s="247"/>
      <c r="K484" s="247"/>
      <c r="L484" s="247"/>
      <c r="M484" s="247"/>
      <c r="N484" s="247"/>
      <c r="O484" s="247"/>
      <c r="P484" s="247"/>
      <c r="Q484" s="247"/>
      <c r="R484" s="247"/>
      <c r="S484" s="247"/>
      <c r="T484" s="247"/>
      <c r="U484" s="247"/>
    </row>
    <row r="485" spans="1:21" ht="13" hidden="1" customHeight="1">
      <c r="A485" s="263"/>
      <c r="B485" s="247"/>
      <c r="C485" s="247"/>
      <c r="D485" s="287"/>
      <c r="E485" s="247"/>
      <c r="F485" s="288"/>
      <c r="G485" s="247"/>
      <c r="H485" s="247"/>
      <c r="I485" s="247"/>
      <c r="J485" s="247"/>
      <c r="K485" s="247"/>
      <c r="L485" s="247"/>
      <c r="M485" s="247"/>
      <c r="N485" s="247"/>
      <c r="O485" s="247"/>
      <c r="P485" s="247"/>
      <c r="Q485" s="247"/>
      <c r="R485" s="247"/>
      <c r="S485" s="247"/>
      <c r="T485" s="247"/>
      <c r="U485" s="247"/>
    </row>
    <row r="486" spans="1:21" ht="13" hidden="1" customHeight="1">
      <c r="A486" s="263"/>
      <c r="B486" s="247"/>
      <c r="C486" s="247"/>
      <c r="D486" s="287"/>
      <c r="E486" s="247"/>
      <c r="F486" s="288"/>
      <c r="G486" s="247"/>
      <c r="H486" s="247"/>
      <c r="I486" s="247"/>
      <c r="J486" s="247"/>
      <c r="K486" s="247"/>
      <c r="L486" s="247"/>
      <c r="M486" s="247"/>
      <c r="N486" s="247"/>
      <c r="O486" s="247"/>
      <c r="P486" s="247"/>
      <c r="Q486" s="247"/>
      <c r="R486" s="247"/>
      <c r="S486" s="247"/>
      <c r="T486" s="247"/>
      <c r="U486" s="247"/>
    </row>
    <row r="487" spans="1:21" ht="13" hidden="1" customHeight="1">
      <c r="A487" s="263"/>
      <c r="B487" s="247"/>
      <c r="C487" s="247"/>
      <c r="D487" s="287"/>
      <c r="E487" s="247"/>
      <c r="F487" s="288"/>
      <c r="G487" s="247"/>
      <c r="H487" s="247"/>
      <c r="I487" s="247"/>
      <c r="J487" s="247"/>
      <c r="K487" s="247"/>
      <c r="L487" s="247"/>
      <c r="M487" s="247"/>
      <c r="N487" s="247"/>
      <c r="O487" s="247"/>
      <c r="P487" s="247"/>
      <c r="Q487" s="247"/>
      <c r="R487" s="247"/>
      <c r="S487" s="247"/>
      <c r="T487" s="247"/>
      <c r="U487" s="247"/>
    </row>
    <row r="488" spans="1:21" ht="13" hidden="1" customHeight="1">
      <c r="A488" s="263"/>
      <c r="B488" s="247"/>
      <c r="C488" s="247"/>
      <c r="D488" s="287"/>
      <c r="E488" s="247"/>
      <c r="F488" s="288"/>
      <c r="G488" s="247"/>
      <c r="H488" s="247"/>
      <c r="I488" s="247"/>
      <c r="J488" s="247"/>
      <c r="K488" s="247"/>
      <c r="L488" s="247"/>
      <c r="M488" s="247"/>
      <c r="N488" s="247"/>
      <c r="O488" s="247"/>
      <c r="P488" s="247"/>
      <c r="Q488" s="247"/>
      <c r="R488" s="247"/>
      <c r="S488" s="247"/>
      <c r="T488" s="247"/>
      <c r="U488" s="247"/>
    </row>
    <row r="489" spans="1:21" ht="13" hidden="1" customHeight="1">
      <c r="A489" s="263"/>
      <c r="B489" s="247"/>
      <c r="C489" s="247"/>
      <c r="D489" s="287"/>
      <c r="E489" s="247"/>
      <c r="F489" s="288"/>
      <c r="G489" s="247"/>
      <c r="H489" s="247"/>
      <c r="I489" s="247"/>
      <c r="J489" s="247"/>
      <c r="K489" s="247"/>
      <c r="L489" s="247"/>
      <c r="M489" s="247"/>
      <c r="N489" s="247"/>
      <c r="O489" s="247"/>
      <c r="P489" s="247"/>
      <c r="Q489" s="247"/>
      <c r="R489" s="247"/>
      <c r="S489" s="247"/>
      <c r="T489" s="247"/>
      <c r="U489" s="247"/>
    </row>
    <row r="490" spans="1:21" ht="13" hidden="1" customHeight="1">
      <c r="A490" s="263"/>
      <c r="B490" s="247"/>
      <c r="C490" s="247"/>
      <c r="D490" s="287"/>
      <c r="E490" s="247"/>
      <c r="F490" s="288"/>
      <c r="G490" s="247"/>
      <c r="H490" s="247"/>
      <c r="I490" s="247"/>
      <c r="J490" s="247"/>
      <c r="K490" s="247"/>
      <c r="L490" s="247"/>
      <c r="M490" s="247"/>
      <c r="N490" s="247"/>
      <c r="O490" s="247"/>
      <c r="P490" s="247"/>
      <c r="Q490" s="247"/>
      <c r="R490" s="247"/>
      <c r="S490" s="247"/>
      <c r="T490" s="247"/>
      <c r="U490" s="247"/>
    </row>
    <row r="491" spans="1:21" ht="13" hidden="1" customHeight="1">
      <c r="A491" s="263"/>
      <c r="B491" s="247"/>
      <c r="C491" s="247"/>
      <c r="D491" s="287"/>
      <c r="E491" s="247"/>
      <c r="F491" s="288"/>
      <c r="G491" s="247"/>
      <c r="H491" s="247"/>
      <c r="I491" s="247"/>
      <c r="J491" s="247"/>
      <c r="K491" s="247"/>
      <c r="L491" s="247"/>
      <c r="M491" s="247"/>
      <c r="N491" s="247"/>
      <c r="O491" s="247"/>
      <c r="P491" s="247"/>
      <c r="Q491" s="247"/>
      <c r="R491" s="247"/>
      <c r="S491" s="247"/>
      <c r="T491" s="247"/>
      <c r="U491" s="247"/>
    </row>
    <row r="492" spans="1:21" ht="13" hidden="1" customHeight="1">
      <c r="A492" s="263"/>
      <c r="B492" s="247"/>
      <c r="C492" s="247"/>
      <c r="D492" s="287"/>
      <c r="E492" s="247"/>
      <c r="F492" s="288"/>
      <c r="G492" s="247"/>
      <c r="H492" s="247"/>
      <c r="I492" s="247"/>
      <c r="J492" s="247"/>
      <c r="K492" s="247"/>
      <c r="L492" s="247"/>
      <c r="M492" s="247"/>
      <c r="N492" s="247"/>
      <c r="O492" s="247"/>
      <c r="P492" s="247"/>
      <c r="Q492" s="247"/>
      <c r="R492" s="247"/>
      <c r="S492" s="247"/>
      <c r="T492" s="247"/>
      <c r="U492" s="247"/>
    </row>
    <row r="493" spans="1:21" ht="13" hidden="1" customHeight="1">
      <c r="A493" s="263"/>
      <c r="B493" s="247"/>
      <c r="C493" s="247"/>
      <c r="D493" s="287"/>
      <c r="E493" s="247"/>
      <c r="F493" s="288"/>
      <c r="G493" s="247"/>
      <c r="H493" s="247"/>
      <c r="I493" s="247"/>
      <c r="J493" s="247"/>
      <c r="K493" s="247"/>
      <c r="L493" s="247"/>
      <c r="M493" s="247"/>
      <c r="N493" s="247"/>
      <c r="O493" s="247"/>
      <c r="P493" s="247"/>
      <c r="Q493" s="247"/>
      <c r="R493" s="247"/>
      <c r="S493" s="247"/>
      <c r="T493" s="247"/>
      <c r="U493" s="247"/>
    </row>
    <row r="494" spans="1:21" ht="13" hidden="1" customHeight="1">
      <c r="A494" s="263"/>
      <c r="B494" s="247"/>
      <c r="C494" s="247"/>
      <c r="D494" s="287"/>
      <c r="E494" s="247"/>
      <c r="F494" s="288"/>
      <c r="G494" s="247"/>
      <c r="H494" s="247"/>
      <c r="I494" s="247"/>
      <c r="J494" s="247"/>
      <c r="K494" s="247"/>
      <c r="L494" s="247"/>
      <c r="M494" s="247"/>
      <c r="N494" s="247"/>
      <c r="O494" s="247"/>
      <c r="P494" s="247"/>
      <c r="Q494" s="247"/>
      <c r="R494" s="247"/>
      <c r="S494" s="247"/>
      <c r="T494" s="247"/>
      <c r="U494" s="247"/>
    </row>
    <row r="495" spans="1:21" ht="13" hidden="1" customHeight="1">
      <c r="A495" s="263"/>
      <c r="B495" s="247"/>
      <c r="C495" s="247"/>
      <c r="D495" s="287"/>
      <c r="E495" s="247"/>
      <c r="F495" s="288"/>
      <c r="G495" s="247"/>
      <c r="H495" s="247"/>
      <c r="I495" s="247"/>
      <c r="J495" s="247"/>
      <c r="K495" s="247"/>
      <c r="L495" s="247"/>
      <c r="M495" s="247"/>
      <c r="N495" s="247"/>
      <c r="O495" s="247"/>
      <c r="P495" s="247"/>
      <c r="Q495" s="247"/>
      <c r="R495" s="247"/>
      <c r="S495" s="247"/>
      <c r="T495" s="247"/>
      <c r="U495" s="247"/>
    </row>
    <row r="496" spans="1:21" ht="13" hidden="1" customHeight="1">
      <c r="A496" s="263"/>
      <c r="B496" s="247"/>
      <c r="C496" s="247"/>
      <c r="D496" s="287"/>
      <c r="E496" s="247"/>
      <c r="F496" s="288"/>
      <c r="G496" s="247"/>
      <c r="H496" s="247"/>
      <c r="I496" s="247"/>
      <c r="J496" s="247"/>
      <c r="K496" s="247"/>
      <c r="L496" s="247"/>
      <c r="M496" s="247"/>
      <c r="N496" s="247"/>
      <c r="O496" s="247"/>
      <c r="P496" s="247"/>
      <c r="Q496" s="247"/>
      <c r="R496" s="247"/>
      <c r="S496" s="247"/>
      <c r="T496" s="247"/>
      <c r="U496" s="247"/>
    </row>
    <row r="497" spans="1:21" ht="13" hidden="1" customHeight="1">
      <c r="A497" s="263"/>
      <c r="B497" s="247"/>
      <c r="C497" s="247"/>
      <c r="D497" s="287"/>
      <c r="E497" s="247"/>
      <c r="F497" s="288"/>
      <c r="G497" s="247"/>
      <c r="H497" s="247"/>
      <c r="I497" s="247"/>
      <c r="J497" s="247"/>
      <c r="K497" s="247"/>
      <c r="L497" s="247"/>
      <c r="M497" s="247"/>
      <c r="N497" s="247"/>
      <c r="O497" s="247"/>
      <c r="P497" s="247"/>
      <c r="Q497" s="247"/>
      <c r="R497" s="247"/>
      <c r="S497" s="247"/>
      <c r="T497" s="247"/>
      <c r="U497" s="247"/>
    </row>
    <row r="498" spans="1:21" ht="13" hidden="1" customHeight="1">
      <c r="A498" s="263"/>
      <c r="B498" s="247"/>
      <c r="C498" s="247"/>
      <c r="D498" s="287"/>
      <c r="E498" s="247"/>
      <c r="F498" s="288"/>
      <c r="G498" s="247"/>
      <c r="H498" s="247"/>
      <c r="I498" s="247"/>
      <c r="J498" s="247"/>
      <c r="K498" s="247"/>
      <c r="L498" s="247"/>
      <c r="M498" s="247"/>
      <c r="N498" s="247"/>
      <c r="O498" s="247"/>
      <c r="P498" s="247"/>
      <c r="Q498" s="247"/>
      <c r="R498" s="247"/>
      <c r="S498" s="247"/>
      <c r="T498" s="247"/>
      <c r="U498" s="247"/>
    </row>
    <row r="499" spans="1:21" ht="13" hidden="1" customHeight="1">
      <c r="A499" s="263"/>
      <c r="B499" s="247"/>
      <c r="C499" s="247"/>
      <c r="D499" s="287"/>
      <c r="E499" s="247"/>
      <c r="F499" s="288"/>
      <c r="G499" s="247"/>
      <c r="H499" s="247"/>
      <c r="I499" s="247"/>
      <c r="J499" s="247"/>
      <c r="K499" s="247"/>
      <c r="L499" s="247"/>
      <c r="M499" s="247"/>
      <c r="N499" s="247"/>
      <c r="O499" s="247"/>
      <c r="P499" s="247"/>
      <c r="Q499" s="247"/>
      <c r="R499" s="247"/>
      <c r="S499" s="247"/>
      <c r="T499" s="247"/>
      <c r="U499" s="247"/>
    </row>
    <row r="500" spans="1:21" ht="13" hidden="1" customHeight="1">
      <c r="A500" s="263"/>
      <c r="B500" s="247"/>
      <c r="C500" s="247"/>
      <c r="D500" s="287"/>
      <c r="E500" s="247"/>
      <c r="F500" s="288"/>
      <c r="G500" s="247"/>
      <c r="H500" s="247"/>
      <c r="I500" s="247"/>
      <c r="J500" s="247"/>
      <c r="K500" s="247"/>
      <c r="L500" s="247"/>
      <c r="M500" s="247"/>
      <c r="N500" s="247"/>
      <c r="O500" s="247"/>
      <c r="P500" s="247"/>
      <c r="Q500" s="247"/>
      <c r="R500" s="247"/>
      <c r="S500" s="247"/>
      <c r="T500" s="247"/>
      <c r="U500" s="247"/>
    </row>
    <row r="501" spans="1:21" ht="13" hidden="1" customHeight="1">
      <c r="A501" s="263"/>
      <c r="B501" s="247"/>
      <c r="C501" s="247"/>
      <c r="D501" s="287"/>
      <c r="E501" s="247"/>
      <c r="F501" s="288"/>
      <c r="G501" s="247"/>
      <c r="H501" s="247"/>
      <c r="I501" s="247"/>
      <c r="J501" s="247"/>
      <c r="K501" s="247"/>
      <c r="L501" s="247"/>
      <c r="M501" s="247"/>
      <c r="N501" s="247"/>
      <c r="O501" s="247"/>
      <c r="P501" s="247"/>
      <c r="Q501" s="247"/>
      <c r="R501" s="247"/>
      <c r="S501" s="247"/>
      <c r="T501" s="247"/>
      <c r="U501" s="247"/>
    </row>
    <row r="502" spans="1:21" ht="13" hidden="1" customHeight="1">
      <c r="A502" s="263"/>
      <c r="B502" s="247"/>
      <c r="C502" s="247"/>
      <c r="D502" s="287"/>
      <c r="E502" s="247"/>
      <c r="F502" s="288"/>
      <c r="G502" s="247"/>
      <c r="H502" s="247"/>
      <c r="I502" s="247"/>
      <c r="J502" s="247"/>
      <c r="K502" s="247"/>
      <c r="L502" s="247"/>
      <c r="M502" s="247"/>
      <c r="N502" s="247"/>
      <c r="O502" s="247"/>
      <c r="P502" s="247"/>
      <c r="Q502" s="247"/>
      <c r="R502" s="247"/>
      <c r="S502" s="247"/>
      <c r="T502" s="247"/>
      <c r="U502" s="247"/>
    </row>
    <row r="503" spans="1:21" ht="13" hidden="1" customHeight="1">
      <c r="A503" s="263"/>
      <c r="B503" s="247"/>
      <c r="C503" s="247"/>
      <c r="D503" s="287"/>
      <c r="E503" s="247"/>
      <c r="F503" s="288"/>
      <c r="G503" s="247"/>
      <c r="H503" s="247"/>
      <c r="I503" s="247"/>
      <c r="J503" s="247"/>
      <c r="K503" s="247"/>
      <c r="L503" s="247"/>
      <c r="M503" s="247"/>
      <c r="N503" s="247"/>
      <c r="O503" s="247"/>
      <c r="P503" s="247"/>
      <c r="Q503" s="247"/>
      <c r="R503" s="247"/>
      <c r="S503" s="247"/>
      <c r="T503" s="247"/>
      <c r="U503" s="247"/>
    </row>
    <row r="504" spans="1:21" ht="13" hidden="1" customHeight="1">
      <c r="A504" s="263"/>
      <c r="B504" s="247"/>
      <c r="C504" s="247"/>
      <c r="D504" s="287"/>
      <c r="E504" s="247"/>
      <c r="F504" s="288"/>
      <c r="G504" s="247"/>
      <c r="H504" s="247"/>
      <c r="I504" s="247"/>
      <c r="J504" s="247"/>
      <c r="K504" s="247"/>
      <c r="L504" s="247"/>
      <c r="M504" s="247"/>
      <c r="N504" s="247"/>
      <c r="O504" s="247"/>
      <c r="P504" s="247"/>
      <c r="Q504" s="247"/>
      <c r="R504" s="247"/>
      <c r="S504" s="247"/>
      <c r="T504" s="247"/>
      <c r="U504" s="247"/>
    </row>
    <row r="505" spans="1:21" ht="13" hidden="1" customHeight="1">
      <c r="A505" s="263"/>
      <c r="B505" s="247"/>
      <c r="C505" s="247"/>
      <c r="D505" s="287"/>
      <c r="E505" s="247"/>
      <c r="F505" s="288"/>
      <c r="G505" s="247"/>
      <c r="H505" s="247"/>
      <c r="I505" s="247"/>
      <c r="J505" s="247"/>
      <c r="K505" s="247"/>
      <c r="L505" s="247"/>
      <c r="M505" s="247"/>
      <c r="N505" s="247"/>
      <c r="O505" s="247"/>
      <c r="P505" s="247"/>
      <c r="Q505" s="247"/>
      <c r="R505" s="247"/>
      <c r="S505" s="247"/>
      <c r="T505" s="247"/>
      <c r="U505" s="247"/>
    </row>
    <row r="506" spans="1:21" ht="13" hidden="1" customHeight="1">
      <c r="A506" s="263"/>
      <c r="B506" s="247"/>
      <c r="C506" s="247"/>
      <c r="D506" s="287"/>
      <c r="E506" s="247"/>
      <c r="F506" s="288"/>
      <c r="G506" s="247"/>
      <c r="H506" s="247"/>
      <c r="I506" s="247"/>
      <c r="J506" s="247"/>
      <c r="K506" s="247"/>
      <c r="L506" s="247"/>
      <c r="M506" s="247"/>
      <c r="N506" s="247"/>
      <c r="O506" s="247"/>
      <c r="P506" s="247"/>
      <c r="Q506" s="247"/>
      <c r="R506" s="247"/>
      <c r="S506" s="247"/>
      <c r="T506" s="247"/>
      <c r="U506" s="247"/>
    </row>
    <row r="507" spans="1:21" ht="13" hidden="1" customHeight="1">
      <c r="A507" s="263"/>
      <c r="B507" s="247"/>
      <c r="C507" s="247"/>
      <c r="D507" s="287"/>
      <c r="E507" s="247"/>
      <c r="F507" s="288"/>
      <c r="G507" s="247"/>
      <c r="H507" s="247"/>
      <c r="I507" s="247"/>
      <c r="J507" s="247"/>
      <c r="K507" s="247"/>
      <c r="L507" s="247"/>
      <c r="M507" s="247"/>
      <c r="N507" s="247"/>
      <c r="O507" s="247"/>
      <c r="P507" s="247"/>
      <c r="Q507" s="247"/>
      <c r="R507" s="247"/>
      <c r="S507" s="247"/>
      <c r="T507" s="247"/>
      <c r="U507" s="247"/>
    </row>
    <row r="508" spans="1:21" ht="13" hidden="1" customHeight="1">
      <c r="A508" s="263"/>
      <c r="B508" s="247"/>
      <c r="C508" s="247"/>
      <c r="D508" s="287"/>
      <c r="E508" s="247"/>
      <c r="F508" s="288"/>
      <c r="G508" s="247"/>
      <c r="H508" s="247"/>
      <c r="I508" s="247"/>
      <c r="J508" s="247"/>
      <c r="K508" s="247"/>
      <c r="L508" s="247"/>
      <c r="M508" s="247"/>
      <c r="N508" s="247"/>
      <c r="O508" s="247"/>
      <c r="P508" s="247"/>
      <c r="Q508" s="247"/>
      <c r="R508" s="247"/>
      <c r="S508" s="247"/>
      <c r="T508" s="247"/>
      <c r="U508" s="247"/>
    </row>
    <row r="509" spans="1:21" ht="13" hidden="1" customHeight="1">
      <c r="A509" s="263"/>
      <c r="B509" s="247"/>
      <c r="C509" s="247"/>
      <c r="D509" s="287"/>
      <c r="E509" s="247"/>
      <c r="F509" s="288"/>
      <c r="G509" s="247"/>
      <c r="H509" s="247"/>
      <c r="I509" s="247"/>
      <c r="J509" s="247"/>
      <c r="K509" s="247"/>
      <c r="L509" s="247"/>
      <c r="M509" s="247"/>
      <c r="N509" s="247"/>
      <c r="O509" s="247"/>
      <c r="P509" s="247"/>
      <c r="Q509" s="247"/>
      <c r="R509" s="247"/>
      <c r="S509" s="247"/>
      <c r="T509" s="247"/>
      <c r="U509" s="247"/>
    </row>
    <row r="510" spans="1:21" ht="13" hidden="1" customHeight="1">
      <c r="A510" s="263"/>
      <c r="B510" s="247"/>
      <c r="C510" s="247"/>
      <c r="D510" s="287"/>
      <c r="E510" s="247"/>
      <c r="F510" s="288"/>
      <c r="G510" s="247"/>
      <c r="H510" s="247"/>
      <c r="I510" s="247"/>
      <c r="J510" s="247"/>
      <c r="K510" s="247"/>
      <c r="L510" s="247"/>
      <c r="M510" s="247"/>
      <c r="N510" s="247"/>
      <c r="O510" s="247"/>
      <c r="P510" s="247"/>
      <c r="Q510" s="247"/>
      <c r="R510" s="247"/>
      <c r="S510" s="247"/>
      <c r="T510" s="247"/>
      <c r="U510" s="247"/>
    </row>
    <row r="511" spans="1:21" ht="13" hidden="1" customHeight="1">
      <c r="A511" s="263"/>
      <c r="B511" s="247"/>
      <c r="C511" s="247"/>
      <c r="D511" s="287"/>
      <c r="E511" s="247"/>
      <c r="F511" s="288"/>
      <c r="G511" s="247"/>
      <c r="H511" s="247"/>
      <c r="I511" s="247"/>
      <c r="J511" s="247"/>
      <c r="K511" s="247"/>
      <c r="L511" s="247"/>
      <c r="M511" s="247"/>
      <c r="N511" s="247"/>
      <c r="O511" s="247"/>
      <c r="P511" s="247"/>
      <c r="Q511" s="247"/>
      <c r="R511" s="247"/>
      <c r="S511" s="247"/>
      <c r="T511" s="247"/>
      <c r="U511" s="247"/>
    </row>
    <row r="512" spans="1:21" ht="13" hidden="1" customHeight="1">
      <c r="A512" s="263"/>
      <c r="B512" s="247"/>
      <c r="C512" s="247"/>
      <c r="D512" s="287"/>
      <c r="E512" s="247"/>
      <c r="F512" s="288"/>
      <c r="G512" s="247"/>
      <c r="H512" s="247"/>
      <c r="I512" s="247"/>
      <c r="J512" s="247"/>
      <c r="K512" s="247"/>
      <c r="L512" s="247"/>
      <c r="M512" s="247"/>
      <c r="N512" s="247"/>
      <c r="O512" s="247"/>
      <c r="P512" s="247"/>
      <c r="Q512" s="247"/>
      <c r="R512" s="247"/>
      <c r="S512" s="247"/>
      <c r="T512" s="247"/>
      <c r="U512" s="247"/>
    </row>
    <row r="513" spans="1:21" ht="13" hidden="1" customHeight="1">
      <c r="A513" s="263"/>
      <c r="B513" s="247"/>
      <c r="C513" s="247"/>
      <c r="D513" s="287"/>
      <c r="E513" s="247"/>
      <c r="F513" s="288"/>
      <c r="G513" s="247"/>
      <c r="H513" s="247"/>
      <c r="I513" s="247"/>
      <c r="J513" s="247"/>
      <c r="K513" s="247"/>
      <c r="L513" s="247"/>
      <c r="M513" s="247"/>
      <c r="N513" s="247"/>
      <c r="O513" s="247"/>
      <c r="P513" s="247"/>
      <c r="Q513" s="247"/>
      <c r="R513" s="247"/>
      <c r="S513" s="247"/>
      <c r="T513" s="247"/>
      <c r="U513" s="247"/>
    </row>
    <row r="514" spans="1:21" ht="13" hidden="1" customHeight="1">
      <c r="A514" s="263"/>
      <c r="B514" s="247"/>
      <c r="C514" s="247"/>
      <c r="D514" s="287"/>
      <c r="E514" s="247"/>
      <c r="F514" s="288"/>
      <c r="G514" s="247"/>
      <c r="H514" s="247"/>
      <c r="I514" s="247"/>
      <c r="J514" s="247"/>
      <c r="K514" s="247"/>
      <c r="L514" s="247"/>
      <c r="M514" s="247"/>
      <c r="N514" s="247"/>
      <c r="O514" s="247"/>
      <c r="P514" s="247"/>
      <c r="Q514" s="247"/>
      <c r="R514" s="247"/>
      <c r="S514" s="247"/>
      <c r="T514" s="247"/>
      <c r="U514" s="247"/>
    </row>
    <row r="515" spans="1:21" ht="13" hidden="1" customHeight="1">
      <c r="A515" s="263"/>
      <c r="B515" s="247"/>
      <c r="C515" s="247"/>
      <c r="D515" s="287"/>
      <c r="E515" s="247"/>
      <c r="F515" s="288"/>
      <c r="G515" s="247"/>
      <c r="H515" s="247"/>
      <c r="I515" s="247"/>
      <c r="J515" s="247"/>
      <c r="K515" s="247"/>
      <c r="L515" s="247"/>
      <c r="M515" s="247"/>
      <c r="N515" s="247"/>
      <c r="O515" s="247"/>
      <c r="P515" s="247"/>
      <c r="Q515" s="247"/>
      <c r="R515" s="247"/>
      <c r="S515" s="247"/>
      <c r="T515" s="247"/>
      <c r="U515" s="247"/>
    </row>
    <row r="516" spans="1:21" ht="13" hidden="1" customHeight="1">
      <c r="A516" s="263"/>
      <c r="B516" s="247"/>
      <c r="C516" s="247"/>
      <c r="D516" s="287"/>
      <c r="E516" s="247"/>
      <c r="F516" s="288"/>
      <c r="G516" s="247"/>
      <c r="H516" s="247"/>
      <c r="I516" s="247"/>
      <c r="J516" s="247"/>
      <c r="K516" s="247"/>
      <c r="L516" s="247"/>
      <c r="M516" s="247"/>
      <c r="N516" s="247"/>
      <c r="O516" s="247"/>
      <c r="P516" s="247"/>
      <c r="Q516" s="247"/>
      <c r="R516" s="247"/>
      <c r="S516" s="247"/>
      <c r="T516" s="247"/>
      <c r="U516" s="247"/>
    </row>
    <row r="517" spans="1:21" ht="13" hidden="1" customHeight="1">
      <c r="A517" s="263"/>
      <c r="B517" s="247"/>
      <c r="C517" s="247"/>
      <c r="D517" s="287"/>
      <c r="E517" s="247"/>
      <c r="F517" s="288"/>
      <c r="G517" s="247"/>
      <c r="H517" s="247"/>
      <c r="I517" s="247"/>
      <c r="J517" s="247"/>
      <c r="K517" s="247"/>
      <c r="L517" s="247"/>
      <c r="M517" s="247"/>
      <c r="N517" s="247"/>
      <c r="O517" s="247"/>
      <c r="P517" s="247"/>
      <c r="Q517" s="247"/>
      <c r="R517" s="247"/>
      <c r="S517" s="247"/>
      <c r="T517" s="247"/>
      <c r="U517" s="247"/>
    </row>
    <row r="518" spans="1:21" ht="13" hidden="1" customHeight="1">
      <c r="A518" s="263"/>
      <c r="B518" s="247"/>
      <c r="C518" s="247"/>
      <c r="D518" s="287"/>
      <c r="E518" s="247"/>
      <c r="F518" s="288"/>
      <c r="G518" s="247"/>
      <c r="H518" s="247"/>
      <c r="I518" s="247"/>
      <c r="J518" s="247"/>
      <c r="K518" s="247"/>
      <c r="L518" s="247"/>
      <c r="M518" s="247"/>
      <c r="N518" s="247"/>
      <c r="O518" s="247"/>
      <c r="P518" s="247"/>
      <c r="Q518" s="247"/>
      <c r="R518" s="247"/>
      <c r="S518" s="247"/>
      <c r="T518" s="247"/>
      <c r="U518" s="247"/>
    </row>
    <row r="519" spans="1:21" ht="13" hidden="1" customHeight="1">
      <c r="A519" s="263"/>
      <c r="B519" s="247"/>
      <c r="C519" s="247"/>
      <c r="D519" s="287"/>
      <c r="E519" s="247"/>
      <c r="F519" s="288"/>
      <c r="G519" s="247"/>
      <c r="H519" s="247"/>
      <c r="I519" s="247"/>
      <c r="J519" s="247"/>
      <c r="K519" s="247"/>
      <c r="L519" s="247"/>
      <c r="M519" s="247"/>
      <c r="N519" s="247"/>
      <c r="O519" s="247"/>
      <c r="P519" s="247"/>
      <c r="Q519" s="247"/>
      <c r="R519" s="247"/>
      <c r="S519" s="247"/>
      <c r="T519" s="247"/>
      <c r="U519" s="247"/>
    </row>
    <row r="520" spans="1:21" ht="13" hidden="1" customHeight="1">
      <c r="A520" s="263"/>
      <c r="B520" s="247"/>
      <c r="C520" s="247"/>
      <c r="D520" s="287"/>
      <c r="E520" s="247"/>
      <c r="F520" s="288"/>
      <c r="G520" s="247"/>
      <c r="H520" s="247"/>
      <c r="I520" s="247"/>
      <c r="J520" s="247"/>
      <c r="K520" s="247"/>
      <c r="L520" s="247"/>
      <c r="M520" s="247"/>
      <c r="N520" s="247"/>
      <c r="O520" s="247"/>
      <c r="P520" s="247"/>
      <c r="Q520" s="247"/>
      <c r="R520" s="247"/>
      <c r="S520" s="247"/>
      <c r="T520" s="247"/>
      <c r="U520" s="247"/>
    </row>
    <row r="521" spans="1:21" ht="13" hidden="1" customHeight="1">
      <c r="A521" s="263"/>
      <c r="B521" s="247"/>
      <c r="C521" s="247"/>
      <c r="D521" s="287"/>
      <c r="E521" s="247"/>
      <c r="F521" s="288"/>
      <c r="G521" s="247"/>
      <c r="H521" s="247"/>
      <c r="I521" s="247"/>
      <c r="J521" s="247"/>
      <c r="K521" s="247"/>
      <c r="L521" s="247"/>
      <c r="M521" s="247"/>
      <c r="N521" s="247"/>
      <c r="O521" s="247"/>
      <c r="P521" s="247"/>
      <c r="Q521" s="247"/>
      <c r="R521" s="247"/>
      <c r="S521" s="247"/>
      <c r="T521" s="247"/>
      <c r="U521" s="247"/>
    </row>
    <row r="522" spans="1:21" ht="13" hidden="1" customHeight="1">
      <c r="A522" s="263"/>
      <c r="B522" s="247"/>
      <c r="C522" s="247"/>
      <c r="D522" s="287"/>
      <c r="E522" s="247"/>
      <c r="F522" s="288"/>
      <c r="G522" s="247"/>
      <c r="H522" s="247"/>
      <c r="I522" s="247"/>
      <c r="J522" s="247"/>
      <c r="K522" s="247"/>
      <c r="L522" s="247"/>
      <c r="M522" s="247"/>
      <c r="N522" s="247"/>
      <c r="O522" s="247"/>
      <c r="P522" s="247"/>
      <c r="Q522" s="247"/>
      <c r="R522" s="247"/>
      <c r="S522" s="247"/>
      <c r="T522" s="247"/>
      <c r="U522" s="247"/>
    </row>
    <row r="523" spans="1:21" ht="13" hidden="1" customHeight="1">
      <c r="A523" s="263"/>
      <c r="B523" s="247"/>
      <c r="C523" s="247"/>
      <c r="D523" s="287"/>
      <c r="E523" s="247"/>
      <c r="F523" s="288"/>
      <c r="G523" s="247"/>
      <c r="H523" s="247"/>
      <c r="I523" s="247"/>
      <c r="J523" s="247"/>
      <c r="K523" s="247"/>
      <c r="L523" s="247"/>
      <c r="M523" s="247"/>
      <c r="N523" s="247"/>
      <c r="O523" s="247"/>
      <c r="P523" s="247"/>
      <c r="Q523" s="247"/>
      <c r="R523" s="247"/>
      <c r="S523" s="247"/>
      <c r="T523" s="247"/>
      <c r="U523" s="247"/>
    </row>
    <row r="524" spans="1:21" ht="13" hidden="1" customHeight="1">
      <c r="A524" s="263"/>
      <c r="B524" s="247"/>
      <c r="C524" s="247"/>
      <c r="D524" s="287"/>
      <c r="E524" s="247"/>
      <c r="F524" s="288"/>
      <c r="G524" s="247"/>
      <c r="H524" s="247"/>
      <c r="I524" s="247"/>
      <c r="J524" s="247"/>
      <c r="K524" s="247"/>
      <c r="L524" s="247"/>
      <c r="M524" s="247"/>
      <c r="N524" s="247"/>
      <c r="O524" s="247"/>
      <c r="P524" s="247"/>
      <c r="Q524" s="247"/>
      <c r="R524" s="247"/>
      <c r="S524" s="247"/>
      <c r="T524" s="247"/>
      <c r="U524" s="247"/>
    </row>
    <row r="525" spans="1:21" ht="13" hidden="1" customHeight="1">
      <c r="A525" s="263"/>
      <c r="B525" s="247"/>
      <c r="C525" s="247"/>
      <c r="D525" s="287"/>
      <c r="E525" s="247"/>
      <c r="F525" s="288"/>
      <c r="G525" s="247"/>
      <c r="H525" s="247"/>
      <c r="I525" s="247"/>
      <c r="J525" s="247"/>
      <c r="K525" s="247"/>
      <c r="L525" s="247"/>
      <c r="M525" s="247"/>
      <c r="N525" s="247"/>
      <c r="O525" s="247"/>
      <c r="P525" s="247"/>
      <c r="Q525" s="247"/>
      <c r="R525" s="247"/>
      <c r="S525" s="247"/>
      <c r="T525" s="247"/>
      <c r="U525" s="247"/>
    </row>
    <row r="526" spans="1:21" ht="13" hidden="1" customHeight="1">
      <c r="A526" s="263"/>
      <c r="B526" s="247"/>
      <c r="C526" s="247"/>
      <c r="D526" s="287"/>
      <c r="E526" s="247"/>
      <c r="F526" s="288"/>
      <c r="G526" s="247"/>
      <c r="H526" s="247"/>
      <c r="I526" s="247"/>
      <c r="J526" s="247"/>
      <c r="K526" s="247"/>
      <c r="L526" s="247"/>
      <c r="M526" s="247"/>
      <c r="N526" s="247"/>
      <c r="O526" s="247"/>
      <c r="P526" s="247"/>
      <c r="Q526" s="247"/>
      <c r="R526" s="247"/>
      <c r="S526" s="247"/>
      <c r="T526" s="247"/>
      <c r="U526" s="247"/>
    </row>
    <row r="527" spans="1:21" ht="13" hidden="1" customHeight="1">
      <c r="A527" s="263"/>
      <c r="B527" s="247"/>
      <c r="C527" s="247"/>
      <c r="D527" s="287"/>
      <c r="E527" s="247"/>
      <c r="F527" s="288"/>
      <c r="G527" s="247"/>
      <c r="H527" s="247"/>
      <c r="I527" s="247"/>
      <c r="J527" s="247"/>
      <c r="K527" s="247"/>
      <c r="L527" s="247"/>
      <c r="M527" s="247"/>
      <c r="N527" s="247"/>
      <c r="O527" s="247"/>
      <c r="P527" s="247"/>
      <c r="Q527" s="247"/>
      <c r="R527" s="247"/>
      <c r="S527" s="247"/>
      <c r="T527" s="247"/>
      <c r="U527" s="247"/>
    </row>
    <row r="528" spans="1:21" ht="13" hidden="1" customHeight="1">
      <c r="A528" s="263"/>
      <c r="B528" s="247"/>
      <c r="C528" s="247"/>
      <c r="D528" s="287"/>
      <c r="E528" s="247"/>
      <c r="F528" s="288"/>
      <c r="G528" s="247"/>
      <c r="H528" s="247"/>
      <c r="I528" s="247"/>
      <c r="J528" s="247"/>
      <c r="K528" s="247"/>
      <c r="L528" s="247"/>
      <c r="M528" s="247"/>
      <c r="N528" s="247"/>
      <c r="O528" s="247"/>
      <c r="P528" s="247"/>
      <c r="Q528" s="247"/>
      <c r="R528" s="247"/>
      <c r="S528" s="247"/>
      <c r="T528" s="247"/>
      <c r="U528" s="247"/>
    </row>
    <row r="529" spans="1:21" ht="13" hidden="1" customHeight="1">
      <c r="A529" s="263"/>
      <c r="B529" s="247"/>
      <c r="C529" s="247"/>
      <c r="D529" s="287"/>
      <c r="E529" s="247"/>
      <c r="F529" s="288"/>
      <c r="G529" s="247"/>
      <c r="H529" s="247"/>
      <c r="I529" s="247"/>
      <c r="J529" s="247"/>
      <c r="K529" s="247"/>
      <c r="L529" s="247"/>
      <c r="M529" s="247"/>
      <c r="N529" s="247"/>
      <c r="O529" s="247"/>
      <c r="P529" s="247"/>
      <c r="Q529" s="247"/>
      <c r="R529" s="247"/>
      <c r="S529" s="247"/>
      <c r="T529" s="247"/>
      <c r="U529" s="247"/>
    </row>
    <row r="530" spans="1:21" ht="13" hidden="1" customHeight="1">
      <c r="A530" s="263"/>
      <c r="B530" s="247"/>
      <c r="C530" s="247"/>
      <c r="D530" s="287"/>
      <c r="E530" s="247"/>
      <c r="F530" s="288"/>
      <c r="G530" s="247"/>
      <c r="H530" s="247"/>
      <c r="I530" s="247"/>
      <c r="J530" s="247"/>
      <c r="K530" s="247"/>
      <c r="L530" s="247"/>
      <c r="M530" s="247"/>
      <c r="N530" s="247"/>
      <c r="O530" s="247"/>
      <c r="P530" s="247"/>
      <c r="Q530" s="247"/>
      <c r="R530" s="247"/>
      <c r="S530" s="247"/>
      <c r="T530" s="247"/>
      <c r="U530" s="247"/>
    </row>
    <row r="531" spans="1:21" ht="13" hidden="1" customHeight="1">
      <c r="A531" s="263"/>
      <c r="B531" s="247"/>
      <c r="C531" s="247"/>
      <c r="D531" s="287"/>
      <c r="E531" s="247"/>
      <c r="F531" s="288"/>
      <c r="G531" s="247"/>
      <c r="H531" s="247"/>
      <c r="I531" s="247"/>
      <c r="J531" s="247"/>
      <c r="K531" s="247"/>
      <c r="L531" s="247"/>
      <c r="M531" s="247"/>
      <c r="N531" s="247"/>
      <c r="O531" s="247"/>
      <c r="P531" s="247"/>
      <c r="Q531" s="247"/>
      <c r="R531" s="247"/>
      <c r="S531" s="247"/>
      <c r="T531" s="247"/>
      <c r="U531" s="247"/>
    </row>
    <row r="532" spans="1:21" ht="13" hidden="1" customHeight="1">
      <c r="A532" s="263"/>
      <c r="B532" s="247"/>
      <c r="C532" s="247"/>
      <c r="D532" s="287"/>
      <c r="E532" s="247"/>
      <c r="F532" s="288"/>
      <c r="G532" s="247"/>
      <c r="H532" s="247"/>
      <c r="I532" s="247"/>
      <c r="J532" s="247"/>
      <c r="K532" s="247"/>
      <c r="L532" s="247"/>
      <c r="M532" s="247"/>
      <c r="N532" s="247"/>
      <c r="O532" s="247"/>
      <c r="P532" s="247"/>
      <c r="Q532" s="247"/>
      <c r="R532" s="247"/>
      <c r="S532" s="247"/>
      <c r="T532" s="247"/>
      <c r="U532" s="247"/>
    </row>
    <row r="533" spans="1:21" ht="13" hidden="1" customHeight="1">
      <c r="A533" s="263"/>
      <c r="B533" s="247"/>
      <c r="C533" s="247"/>
      <c r="D533" s="287"/>
      <c r="E533" s="247"/>
      <c r="F533" s="288"/>
      <c r="G533" s="247"/>
      <c r="H533" s="247"/>
      <c r="I533" s="247"/>
      <c r="J533" s="247"/>
      <c r="K533" s="247"/>
      <c r="L533" s="247"/>
      <c r="M533" s="247"/>
      <c r="N533" s="247"/>
      <c r="O533" s="247"/>
      <c r="P533" s="247"/>
      <c r="Q533" s="247"/>
      <c r="R533" s="247"/>
      <c r="S533" s="247"/>
      <c r="T533" s="247"/>
      <c r="U533" s="247"/>
    </row>
    <row r="534" spans="1:21" ht="13" hidden="1" customHeight="1">
      <c r="A534" s="263"/>
      <c r="B534" s="247"/>
      <c r="C534" s="247"/>
      <c r="D534" s="287"/>
      <c r="E534" s="247"/>
      <c r="F534" s="288"/>
      <c r="G534" s="247"/>
      <c r="H534" s="247"/>
      <c r="I534" s="247"/>
      <c r="J534" s="247"/>
      <c r="K534" s="247"/>
      <c r="L534" s="247"/>
      <c r="M534" s="247"/>
      <c r="N534" s="247"/>
      <c r="O534" s="247"/>
      <c r="P534" s="247"/>
      <c r="Q534" s="247"/>
      <c r="R534" s="247"/>
      <c r="S534" s="247"/>
      <c r="T534" s="247"/>
      <c r="U534" s="247"/>
    </row>
    <row r="535" spans="1:21" ht="13" hidden="1" customHeight="1">
      <c r="A535" s="263"/>
      <c r="B535" s="247"/>
      <c r="C535" s="247"/>
      <c r="D535" s="287"/>
      <c r="E535" s="247"/>
      <c r="F535" s="288"/>
      <c r="G535" s="247"/>
      <c r="H535" s="247"/>
      <c r="I535" s="247"/>
      <c r="J535" s="247"/>
      <c r="K535" s="247"/>
      <c r="L535" s="247"/>
      <c r="M535" s="247"/>
      <c r="N535" s="247"/>
      <c r="O535" s="247"/>
      <c r="P535" s="247"/>
      <c r="Q535" s="247"/>
      <c r="R535" s="247"/>
      <c r="S535" s="247"/>
      <c r="T535" s="247"/>
      <c r="U535" s="247"/>
    </row>
    <row r="536" spans="1:21" ht="13" hidden="1" customHeight="1">
      <c r="A536" s="263"/>
      <c r="B536" s="247"/>
      <c r="C536" s="247"/>
      <c r="D536" s="287"/>
      <c r="E536" s="247"/>
      <c r="F536" s="288"/>
      <c r="G536" s="247"/>
      <c r="H536" s="247"/>
      <c r="I536" s="247"/>
      <c r="J536" s="247"/>
      <c r="K536" s="247"/>
      <c r="L536" s="247"/>
      <c r="M536" s="247"/>
      <c r="N536" s="247"/>
      <c r="O536" s="247"/>
      <c r="P536" s="247"/>
      <c r="Q536" s="247"/>
      <c r="R536" s="247"/>
      <c r="S536" s="247"/>
      <c r="T536" s="247"/>
      <c r="U536" s="247"/>
    </row>
    <row r="537" spans="1:21" ht="13" hidden="1" customHeight="1">
      <c r="A537" s="263"/>
      <c r="B537" s="247"/>
      <c r="C537" s="247"/>
      <c r="D537" s="287"/>
      <c r="E537" s="247"/>
      <c r="F537" s="288"/>
      <c r="G537" s="247"/>
      <c r="H537" s="247"/>
      <c r="I537" s="247"/>
      <c r="J537" s="247"/>
      <c r="K537" s="247"/>
      <c r="L537" s="247"/>
      <c r="M537" s="247"/>
      <c r="N537" s="247"/>
      <c r="O537" s="247"/>
      <c r="P537" s="247"/>
      <c r="Q537" s="247"/>
      <c r="R537" s="247"/>
      <c r="S537" s="247"/>
      <c r="T537" s="247"/>
      <c r="U537" s="247"/>
    </row>
    <row r="538" spans="1:21" ht="13" hidden="1" customHeight="1">
      <c r="A538" s="263"/>
      <c r="B538" s="247"/>
      <c r="C538" s="247"/>
      <c r="D538" s="287"/>
      <c r="E538" s="247"/>
      <c r="F538" s="288"/>
      <c r="G538" s="247"/>
      <c r="H538" s="247"/>
      <c r="I538" s="247"/>
      <c r="J538" s="247"/>
      <c r="K538" s="247"/>
      <c r="L538" s="247"/>
      <c r="M538" s="247"/>
      <c r="N538" s="247"/>
      <c r="O538" s="247"/>
      <c r="P538" s="247"/>
      <c r="Q538" s="247"/>
      <c r="R538" s="247"/>
      <c r="S538" s="247"/>
      <c r="T538" s="247"/>
      <c r="U538" s="247"/>
    </row>
    <row r="539" spans="1:21" ht="13" hidden="1" customHeight="1">
      <c r="A539" s="263"/>
      <c r="B539" s="247"/>
      <c r="C539" s="247"/>
      <c r="D539" s="287"/>
      <c r="E539" s="247"/>
      <c r="F539" s="288"/>
      <c r="G539" s="247"/>
      <c r="H539" s="247"/>
      <c r="I539" s="247"/>
      <c r="J539" s="247"/>
      <c r="K539" s="247"/>
      <c r="L539" s="247"/>
      <c r="M539" s="247"/>
      <c r="N539" s="247"/>
      <c r="O539" s="247"/>
      <c r="P539" s="247"/>
      <c r="Q539" s="247"/>
      <c r="R539" s="247"/>
      <c r="S539" s="247"/>
      <c r="T539" s="247"/>
      <c r="U539" s="247"/>
    </row>
    <row r="540" spans="1:21" ht="13" hidden="1" customHeight="1">
      <c r="A540" s="263"/>
      <c r="B540" s="247"/>
      <c r="C540" s="247"/>
      <c r="D540" s="287"/>
      <c r="E540" s="247"/>
      <c r="F540" s="288"/>
      <c r="G540" s="247"/>
      <c r="H540" s="247"/>
      <c r="I540" s="247"/>
      <c r="J540" s="247"/>
      <c r="K540" s="247"/>
      <c r="L540" s="247"/>
      <c r="M540" s="247"/>
      <c r="N540" s="247"/>
      <c r="O540" s="247"/>
      <c r="P540" s="247"/>
      <c r="Q540" s="247"/>
      <c r="R540" s="247"/>
      <c r="S540" s="247"/>
      <c r="T540" s="247"/>
      <c r="U540" s="247"/>
    </row>
    <row r="541" spans="1:21" ht="13" hidden="1" customHeight="1">
      <c r="A541" s="263"/>
      <c r="B541" s="247"/>
      <c r="C541" s="247"/>
      <c r="D541" s="287"/>
      <c r="E541" s="247"/>
      <c r="F541" s="288"/>
      <c r="G541" s="247"/>
      <c r="H541" s="247"/>
      <c r="I541" s="247"/>
      <c r="J541" s="247"/>
      <c r="K541" s="247"/>
      <c r="L541" s="247"/>
      <c r="M541" s="247"/>
      <c r="N541" s="247"/>
      <c r="O541" s="247"/>
      <c r="P541" s="247"/>
      <c r="Q541" s="247"/>
      <c r="R541" s="247"/>
      <c r="S541" s="247"/>
      <c r="T541" s="247"/>
      <c r="U541" s="247"/>
    </row>
    <row r="542" spans="1:21" ht="13" hidden="1" customHeight="1">
      <c r="A542" s="263"/>
      <c r="B542" s="247"/>
      <c r="C542" s="247"/>
      <c r="D542" s="287"/>
      <c r="E542" s="247"/>
      <c r="F542" s="288"/>
      <c r="G542" s="247"/>
      <c r="H542" s="247"/>
      <c r="I542" s="247"/>
      <c r="J542" s="247"/>
      <c r="K542" s="247"/>
      <c r="L542" s="247"/>
      <c r="M542" s="247"/>
      <c r="N542" s="247"/>
      <c r="O542" s="247"/>
      <c r="P542" s="247"/>
      <c r="Q542" s="247"/>
      <c r="R542" s="247"/>
      <c r="S542" s="247"/>
      <c r="T542" s="247"/>
      <c r="U542" s="247"/>
    </row>
    <row r="543" spans="1:21" ht="13" hidden="1" customHeight="1">
      <c r="A543" s="263"/>
      <c r="B543" s="247"/>
      <c r="C543" s="247"/>
      <c r="D543" s="287"/>
      <c r="E543" s="247"/>
      <c r="F543" s="288"/>
      <c r="G543" s="247"/>
      <c r="H543" s="247"/>
      <c r="I543" s="247"/>
      <c r="J543" s="247"/>
      <c r="K543" s="247"/>
      <c r="L543" s="247"/>
      <c r="M543" s="247"/>
      <c r="N543" s="247"/>
      <c r="O543" s="247"/>
      <c r="P543" s="247"/>
      <c r="Q543" s="247"/>
      <c r="R543" s="247"/>
      <c r="S543" s="247"/>
      <c r="T543" s="247"/>
      <c r="U543" s="247"/>
    </row>
    <row r="544" spans="1:21" ht="13" hidden="1" customHeight="1">
      <c r="A544" s="263"/>
      <c r="B544" s="247"/>
      <c r="C544" s="247"/>
      <c r="D544" s="287"/>
      <c r="E544" s="247"/>
      <c r="F544" s="288"/>
      <c r="G544" s="247"/>
      <c r="H544" s="247"/>
      <c r="I544" s="247"/>
      <c r="J544" s="247"/>
      <c r="K544" s="247"/>
      <c r="L544" s="247"/>
      <c r="M544" s="247"/>
      <c r="N544" s="247"/>
      <c r="O544" s="247"/>
      <c r="P544" s="247"/>
      <c r="Q544" s="247"/>
      <c r="R544" s="247"/>
      <c r="S544" s="247"/>
      <c r="T544" s="247"/>
      <c r="U544" s="247"/>
    </row>
    <row r="545" spans="1:21" ht="13" hidden="1" customHeight="1">
      <c r="A545" s="263"/>
      <c r="B545" s="247"/>
      <c r="C545" s="247"/>
      <c r="D545" s="287"/>
      <c r="E545" s="247"/>
      <c r="F545" s="288"/>
      <c r="G545" s="247"/>
      <c r="H545" s="247"/>
      <c r="I545" s="247"/>
      <c r="J545" s="247"/>
      <c r="K545" s="247"/>
      <c r="L545" s="247"/>
      <c r="M545" s="247"/>
      <c r="N545" s="247"/>
      <c r="O545" s="247"/>
      <c r="P545" s="247"/>
      <c r="Q545" s="247"/>
      <c r="R545" s="247"/>
      <c r="S545" s="247"/>
      <c r="T545" s="247"/>
      <c r="U545" s="247"/>
    </row>
    <row r="546" spans="1:21" ht="13" hidden="1" customHeight="1">
      <c r="A546" s="263"/>
      <c r="B546" s="247"/>
      <c r="C546" s="247"/>
      <c r="D546" s="287"/>
      <c r="E546" s="247"/>
      <c r="F546" s="288"/>
      <c r="G546" s="247"/>
      <c r="H546" s="247"/>
      <c r="I546" s="247"/>
      <c r="J546" s="247"/>
      <c r="K546" s="247"/>
      <c r="L546" s="247"/>
      <c r="M546" s="247"/>
      <c r="N546" s="247"/>
      <c r="O546" s="247"/>
      <c r="P546" s="247"/>
      <c r="Q546" s="247"/>
      <c r="R546" s="247"/>
      <c r="S546" s="247"/>
      <c r="T546" s="247"/>
      <c r="U546" s="247"/>
    </row>
    <row r="547" spans="1:21" ht="13" hidden="1" customHeight="1">
      <c r="A547" s="263"/>
      <c r="B547" s="247"/>
      <c r="C547" s="247"/>
      <c r="D547" s="287"/>
      <c r="E547" s="247"/>
      <c r="F547" s="288"/>
      <c r="G547" s="247"/>
      <c r="H547" s="247"/>
      <c r="I547" s="247"/>
      <c r="J547" s="247"/>
      <c r="K547" s="247"/>
      <c r="L547" s="247"/>
      <c r="M547" s="247"/>
      <c r="N547" s="247"/>
      <c r="O547" s="247"/>
      <c r="P547" s="247"/>
      <c r="Q547" s="247"/>
      <c r="R547" s="247"/>
      <c r="S547" s="247"/>
      <c r="T547" s="247"/>
      <c r="U547" s="247"/>
    </row>
    <row r="548" spans="1:21" ht="13" hidden="1" customHeight="1">
      <c r="A548" s="263"/>
      <c r="B548" s="247"/>
      <c r="C548" s="247"/>
      <c r="D548" s="287"/>
      <c r="E548" s="247"/>
      <c r="F548" s="288"/>
      <c r="G548" s="247"/>
      <c r="H548" s="247"/>
      <c r="I548" s="247"/>
      <c r="J548" s="247"/>
      <c r="K548" s="247"/>
      <c r="L548" s="247"/>
      <c r="M548" s="247"/>
      <c r="N548" s="247"/>
      <c r="O548" s="247"/>
      <c r="P548" s="247"/>
      <c r="Q548" s="247"/>
      <c r="R548" s="247"/>
      <c r="S548" s="247"/>
      <c r="T548" s="247"/>
      <c r="U548" s="247"/>
    </row>
    <row r="549" spans="1:21" ht="13" hidden="1" customHeight="1">
      <c r="A549" s="263"/>
      <c r="B549" s="247"/>
      <c r="C549" s="247"/>
      <c r="D549" s="287"/>
      <c r="E549" s="247"/>
      <c r="F549" s="288"/>
      <c r="G549" s="247"/>
      <c r="H549" s="247"/>
      <c r="I549" s="247"/>
      <c r="J549" s="247"/>
      <c r="K549" s="247"/>
      <c r="L549" s="247"/>
      <c r="M549" s="247"/>
      <c r="N549" s="247"/>
      <c r="O549" s="247"/>
      <c r="P549" s="247"/>
      <c r="Q549" s="247"/>
      <c r="R549" s="247"/>
      <c r="S549" s="247"/>
      <c r="T549" s="247"/>
      <c r="U549" s="247"/>
    </row>
    <row r="550" spans="1:21" ht="13" hidden="1" customHeight="1">
      <c r="A550" s="263"/>
      <c r="B550" s="247"/>
      <c r="C550" s="247"/>
      <c r="D550" s="287"/>
      <c r="E550" s="247"/>
      <c r="F550" s="288"/>
      <c r="G550" s="247"/>
      <c r="H550" s="247"/>
      <c r="I550" s="247"/>
      <c r="J550" s="247"/>
      <c r="K550" s="247"/>
      <c r="L550" s="247"/>
      <c r="M550" s="247"/>
      <c r="N550" s="247"/>
      <c r="O550" s="247"/>
      <c r="P550" s="247"/>
      <c r="Q550" s="247"/>
      <c r="R550" s="247"/>
      <c r="S550" s="247"/>
      <c r="T550" s="247"/>
      <c r="U550" s="247"/>
    </row>
    <row r="551" spans="1:21" ht="13" hidden="1" customHeight="1">
      <c r="A551" s="263"/>
      <c r="B551" s="247"/>
      <c r="C551" s="247"/>
      <c r="D551" s="287"/>
      <c r="E551" s="247"/>
      <c r="F551" s="288"/>
      <c r="G551" s="247"/>
      <c r="H551" s="247"/>
      <c r="I551" s="247"/>
      <c r="J551" s="247"/>
      <c r="K551" s="247"/>
      <c r="L551" s="247"/>
      <c r="M551" s="247"/>
      <c r="N551" s="247"/>
      <c r="O551" s="247"/>
      <c r="P551" s="247"/>
      <c r="Q551" s="247"/>
      <c r="R551" s="247"/>
      <c r="S551" s="247"/>
      <c r="T551" s="247"/>
      <c r="U551" s="247"/>
    </row>
    <row r="552" spans="1:21" ht="13" hidden="1" customHeight="1">
      <c r="A552" s="263"/>
      <c r="B552" s="247"/>
      <c r="C552" s="247"/>
      <c r="D552" s="287"/>
      <c r="E552" s="247"/>
      <c r="F552" s="288"/>
      <c r="G552" s="247"/>
      <c r="H552" s="247"/>
      <c r="I552" s="247"/>
      <c r="J552" s="247"/>
      <c r="K552" s="247"/>
      <c r="L552" s="247"/>
      <c r="M552" s="247"/>
      <c r="N552" s="247"/>
      <c r="O552" s="247"/>
      <c r="P552" s="247"/>
      <c r="Q552" s="247"/>
      <c r="R552" s="247"/>
      <c r="S552" s="247"/>
      <c r="T552" s="247"/>
      <c r="U552" s="247"/>
    </row>
    <row r="553" spans="1:21" ht="13" hidden="1" customHeight="1">
      <c r="A553" s="263"/>
      <c r="B553" s="247"/>
      <c r="C553" s="247"/>
      <c r="D553" s="287"/>
      <c r="E553" s="247"/>
      <c r="F553" s="288"/>
      <c r="G553" s="247"/>
      <c r="H553" s="247"/>
      <c r="I553" s="247"/>
      <c r="J553" s="247"/>
      <c r="K553" s="247"/>
      <c r="L553" s="247"/>
      <c r="M553" s="247"/>
      <c r="N553" s="247"/>
      <c r="O553" s="247"/>
      <c r="P553" s="247"/>
      <c r="Q553" s="247"/>
      <c r="R553" s="247"/>
      <c r="S553" s="247"/>
      <c r="T553" s="247"/>
      <c r="U553" s="247"/>
    </row>
    <row r="554" spans="1:21" ht="13" hidden="1" customHeight="1">
      <c r="A554" s="263"/>
      <c r="B554" s="247"/>
      <c r="C554" s="247"/>
      <c r="D554" s="287"/>
      <c r="E554" s="247"/>
      <c r="F554" s="288"/>
      <c r="G554" s="247"/>
      <c r="H554" s="247"/>
      <c r="I554" s="247"/>
      <c r="J554" s="247"/>
      <c r="K554" s="247"/>
      <c r="L554" s="247"/>
      <c r="M554" s="247"/>
      <c r="N554" s="247"/>
      <c r="O554" s="247"/>
      <c r="P554" s="247"/>
      <c r="Q554" s="247"/>
      <c r="R554" s="247"/>
      <c r="S554" s="247"/>
      <c r="T554" s="247"/>
      <c r="U554" s="247"/>
    </row>
    <row r="555" spans="1:21" ht="13" hidden="1" customHeight="1">
      <c r="A555" s="263"/>
      <c r="B555" s="247"/>
      <c r="C555" s="247"/>
      <c r="D555" s="287"/>
      <c r="E555" s="247"/>
      <c r="F555" s="288"/>
      <c r="G555" s="247"/>
      <c r="H555" s="247"/>
      <c r="I555" s="247"/>
      <c r="J555" s="247"/>
      <c r="K555" s="247"/>
      <c r="L555" s="247"/>
      <c r="M555" s="247"/>
      <c r="N555" s="247"/>
      <c r="O555" s="247"/>
      <c r="P555" s="247"/>
      <c r="Q555" s="247"/>
      <c r="R555" s="247"/>
      <c r="S555" s="247"/>
      <c r="T555" s="247"/>
      <c r="U555" s="247"/>
    </row>
    <row r="556" spans="1:21" ht="13" hidden="1" customHeight="1">
      <c r="A556" s="263"/>
      <c r="B556" s="247"/>
      <c r="C556" s="247"/>
      <c r="D556" s="287"/>
      <c r="E556" s="247"/>
      <c r="F556" s="288"/>
      <c r="G556" s="247"/>
      <c r="H556" s="247"/>
      <c r="I556" s="247"/>
      <c r="J556" s="247"/>
      <c r="K556" s="247"/>
      <c r="L556" s="247"/>
      <c r="M556" s="247"/>
      <c r="N556" s="247"/>
      <c r="O556" s="247"/>
      <c r="P556" s="247"/>
      <c r="Q556" s="247"/>
      <c r="R556" s="247"/>
      <c r="S556" s="247"/>
      <c r="T556" s="247"/>
      <c r="U556" s="247"/>
    </row>
    <row r="557" spans="1:21" ht="13" hidden="1" customHeight="1">
      <c r="A557" s="263"/>
      <c r="B557" s="247"/>
      <c r="C557" s="247"/>
      <c r="D557" s="287"/>
      <c r="E557" s="247"/>
      <c r="F557" s="288"/>
      <c r="G557" s="247"/>
      <c r="H557" s="247"/>
      <c r="I557" s="247"/>
      <c r="J557" s="247"/>
      <c r="K557" s="247"/>
      <c r="L557" s="247"/>
      <c r="M557" s="247"/>
      <c r="N557" s="247"/>
      <c r="O557" s="247"/>
      <c r="P557" s="247"/>
      <c r="Q557" s="247"/>
      <c r="R557" s="247"/>
      <c r="S557" s="247"/>
      <c r="T557" s="247"/>
      <c r="U557" s="247"/>
    </row>
    <row r="558" spans="1:21" ht="13" hidden="1" customHeight="1">
      <c r="A558" s="263"/>
      <c r="B558" s="247"/>
      <c r="C558" s="247"/>
      <c r="D558" s="287"/>
      <c r="E558" s="247"/>
      <c r="F558" s="288"/>
      <c r="G558" s="247"/>
      <c r="H558" s="247"/>
      <c r="I558" s="247"/>
      <c r="J558" s="247"/>
      <c r="K558" s="247"/>
      <c r="L558" s="247"/>
      <c r="M558" s="247"/>
      <c r="N558" s="247"/>
      <c r="O558" s="247"/>
      <c r="P558" s="247"/>
      <c r="Q558" s="247"/>
      <c r="R558" s="247"/>
      <c r="S558" s="247"/>
      <c r="T558" s="247"/>
      <c r="U558" s="247"/>
    </row>
    <row r="559" spans="1:21" ht="13" hidden="1" customHeight="1">
      <c r="A559" s="263"/>
      <c r="B559" s="247"/>
      <c r="C559" s="247"/>
      <c r="D559" s="287"/>
      <c r="E559" s="247"/>
      <c r="F559" s="288"/>
      <c r="G559" s="247"/>
      <c r="H559" s="247"/>
      <c r="I559" s="247"/>
      <c r="J559" s="247"/>
      <c r="K559" s="247"/>
      <c r="L559" s="247"/>
      <c r="M559" s="247"/>
      <c r="N559" s="247"/>
      <c r="O559" s="247"/>
      <c r="P559" s="247"/>
      <c r="Q559" s="247"/>
      <c r="R559" s="247"/>
      <c r="S559" s="247"/>
      <c r="T559" s="247"/>
      <c r="U559" s="247"/>
    </row>
    <row r="560" spans="1:21" ht="13" hidden="1" customHeight="1">
      <c r="A560" s="263"/>
      <c r="B560" s="247"/>
      <c r="C560" s="247"/>
      <c r="D560" s="287"/>
      <c r="E560" s="247"/>
      <c r="F560" s="288"/>
      <c r="G560" s="247"/>
      <c r="H560" s="247"/>
      <c r="I560" s="247"/>
      <c r="J560" s="247"/>
      <c r="K560" s="247"/>
      <c r="L560" s="247"/>
      <c r="M560" s="247"/>
      <c r="N560" s="247"/>
      <c r="O560" s="247"/>
      <c r="P560" s="247"/>
      <c r="Q560" s="247"/>
      <c r="R560" s="247"/>
      <c r="S560" s="247"/>
      <c r="T560" s="247"/>
      <c r="U560" s="247"/>
    </row>
    <row r="561" spans="1:21" ht="13" hidden="1" customHeight="1">
      <c r="A561" s="263"/>
      <c r="B561" s="247"/>
      <c r="C561" s="247"/>
      <c r="D561" s="287"/>
      <c r="E561" s="247"/>
      <c r="F561" s="288"/>
      <c r="G561" s="247"/>
      <c r="H561" s="247"/>
      <c r="I561" s="247"/>
      <c r="J561" s="247"/>
      <c r="K561" s="247"/>
      <c r="L561" s="247"/>
      <c r="M561" s="247"/>
      <c r="N561" s="247"/>
      <c r="O561" s="247"/>
      <c r="P561" s="247"/>
      <c r="Q561" s="247"/>
      <c r="R561" s="247"/>
      <c r="S561" s="247"/>
      <c r="T561" s="247"/>
      <c r="U561" s="247"/>
    </row>
    <row r="562" spans="1:21" ht="13" hidden="1" customHeight="1">
      <c r="A562" s="263"/>
      <c r="B562" s="247"/>
      <c r="C562" s="247"/>
      <c r="D562" s="287"/>
      <c r="E562" s="247"/>
      <c r="F562" s="288"/>
      <c r="G562" s="247"/>
      <c r="H562" s="247"/>
      <c r="I562" s="247"/>
      <c r="J562" s="247"/>
      <c r="K562" s="247"/>
      <c r="L562" s="247"/>
      <c r="M562" s="247"/>
      <c r="N562" s="247"/>
      <c r="O562" s="247"/>
      <c r="P562" s="247"/>
      <c r="Q562" s="247"/>
      <c r="R562" s="247"/>
      <c r="S562" s="247"/>
      <c r="T562" s="247"/>
      <c r="U562" s="247"/>
    </row>
    <row r="563" spans="1:21" ht="13" hidden="1" customHeight="1">
      <c r="A563" s="263"/>
      <c r="B563" s="247"/>
      <c r="C563" s="247"/>
      <c r="D563" s="287"/>
      <c r="E563" s="247"/>
      <c r="F563" s="288"/>
      <c r="G563" s="247"/>
      <c r="H563" s="247"/>
      <c r="I563" s="247"/>
      <c r="J563" s="247"/>
      <c r="K563" s="247"/>
      <c r="L563" s="247"/>
      <c r="M563" s="247"/>
      <c r="N563" s="247"/>
      <c r="O563" s="247"/>
      <c r="P563" s="247"/>
      <c r="Q563" s="247"/>
      <c r="R563" s="247"/>
      <c r="S563" s="247"/>
      <c r="T563" s="247"/>
      <c r="U563" s="247"/>
    </row>
    <row r="564" spans="1:21" ht="13" hidden="1" customHeight="1">
      <c r="A564" s="263"/>
      <c r="B564" s="247"/>
      <c r="C564" s="247"/>
      <c r="D564" s="287"/>
      <c r="E564" s="247"/>
      <c r="F564" s="288"/>
      <c r="G564" s="247"/>
      <c r="H564" s="247"/>
      <c r="I564" s="247"/>
      <c r="J564" s="247"/>
      <c r="K564" s="247"/>
      <c r="L564" s="247"/>
      <c r="M564" s="247"/>
      <c r="N564" s="247"/>
      <c r="O564" s="247"/>
      <c r="P564" s="247"/>
      <c r="Q564" s="247"/>
      <c r="R564" s="247"/>
      <c r="S564" s="247"/>
      <c r="T564" s="247"/>
      <c r="U564" s="247"/>
    </row>
    <row r="565" spans="1:21" ht="13" hidden="1" customHeight="1">
      <c r="A565" s="263"/>
      <c r="B565" s="247"/>
      <c r="C565" s="247"/>
      <c r="D565" s="287"/>
      <c r="E565" s="247"/>
      <c r="F565" s="288"/>
      <c r="G565" s="247"/>
      <c r="H565" s="247"/>
      <c r="I565" s="247"/>
      <c r="J565" s="247"/>
      <c r="K565" s="247"/>
      <c r="L565" s="247"/>
      <c r="M565" s="247"/>
      <c r="N565" s="247"/>
      <c r="O565" s="247"/>
      <c r="P565" s="247"/>
      <c r="Q565" s="247"/>
      <c r="R565" s="247"/>
      <c r="S565" s="247"/>
      <c r="T565" s="247"/>
      <c r="U565" s="247"/>
    </row>
    <row r="566" spans="1:21" ht="13" hidden="1" customHeight="1">
      <c r="A566" s="263"/>
      <c r="B566" s="247"/>
      <c r="C566" s="247"/>
      <c r="D566" s="287"/>
      <c r="E566" s="247"/>
      <c r="F566" s="288"/>
      <c r="G566" s="247"/>
      <c r="H566" s="247"/>
      <c r="I566" s="247"/>
      <c r="J566" s="247"/>
      <c r="K566" s="247"/>
      <c r="L566" s="247"/>
      <c r="M566" s="247"/>
      <c r="N566" s="247"/>
      <c r="O566" s="247"/>
      <c r="P566" s="247"/>
      <c r="Q566" s="247"/>
      <c r="R566" s="247"/>
      <c r="S566" s="247"/>
      <c r="T566" s="247"/>
      <c r="U566" s="247"/>
    </row>
    <row r="567" spans="1:21" ht="13" hidden="1" customHeight="1">
      <c r="A567" s="263"/>
      <c r="B567" s="247"/>
      <c r="C567" s="247"/>
      <c r="D567" s="287"/>
      <c r="E567" s="247"/>
      <c r="F567" s="288"/>
      <c r="G567" s="247"/>
      <c r="H567" s="247"/>
      <c r="I567" s="247"/>
      <c r="J567" s="247"/>
      <c r="K567" s="247"/>
      <c r="L567" s="247"/>
      <c r="M567" s="247"/>
      <c r="N567" s="247"/>
      <c r="O567" s="247"/>
      <c r="P567" s="247"/>
      <c r="Q567" s="247"/>
      <c r="R567" s="247"/>
      <c r="S567" s="247"/>
      <c r="T567" s="247"/>
      <c r="U567" s="247"/>
    </row>
    <row r="568" spans="1:21" ht="13" hidden="1" customHeight="1">
      <c r="A568" s="263"/>
      <c r="B568" s="247"/>
      <c r="C568" s="247"/>
      <c r="D568" s="287"/>
      <c r="E568" s="247"/>
      <c r="F568" s="288"/>
      <c r="G568" s="247"/>
      <c r="H568" s="247"/>
      <c r="I568" s="247"/>
      <c r="J568" s="247"/>
      <c r="K568" s="247"/>
      <c r="L568" s="247"/>
      <c r="M568" s="247"/>
      <c r="N568" s="247"/>
      <c r="O568" s="247"/>
      <c r="P568" s="247"/>
      <c r="Q568" s="247"/>
      <c r="R568" s="247"/>
      <c r="S568" s="247"/>
      <c r="T568" s="247"/>
      <c r="U568" s="247"/>
    </row>
    <row r="569" spans="1:21" ht="13" hidden="1" customHeight="1">
      <c r="A569" s="263"/>
      <c r="B569" s="247"/>
      <c r="C569" s="247"/>
      <c r="D569" s="287"/>
      <c r="E569" s="247"/>
      <c r="F569" s="288"/>
      <c r="G569" s="247"/>
      <c r="H569" s="247"/>
      <c r="I569" s="247"/>
      <c r="J569" s="247"/>
      <c r="K569" s="247"/>
      <c r="L569" s="247"/>
      <c r="M569" s="247"/>
      <c r="N569" s="247"/>
      <c r="O569" s="247"/>
      <c r="P569" s="247"/>
      <c r="Q569" s="247"/>
      <c r="R569" s="247"/>
      <c r="S569" s="247"/>
      <c r="T569" s="247"/>
      <c r="U569" s="247"/>
    </row>
    <row r="570" spans="1:21" ht="13" hidden="1" customHeight="1">
      <c r="A570" s="263"/>
      <c r="B570" s="247"/>
      <c r="C570" s="247"/>
      <c r="D570" s="287"/>
      <c r="E570" s="247"/>
      <c r="F570" s="288"/>
      <c r="G570" s="247"/>
      <c r="H570" s="247"/>
      <c r="I570" s="247"/>
      <c r="J570" s="247"/>
      <c r="K570" s="247"/>
      <c r="L570" s="247"/>
      <c r="M570" s="247"/>
      <c r="N570" s="247"/>
      <c r="O570" s="247"/>
      <c r="P570" s="247"/>
      <c r="Q570" s="247"/>
      <c r="R570" s="247"/>
      <c r="S570" s="247"/>
      <c r="T570" s="247"/>
      <c r="U570" s="247"/>
    </row>
    <row r="571" spans="1:21" ht="13" hidden="1" customHeight="1">
      <c r="A571" s="263"/>
      <c r="B571" s="247"/>
      <c r="C571" s="247"/>
      <c r="D571" s="287"/>
      <c r="E571" s="247"/>
      <c r="F571" s="288"/>
      <c r="G571" s="247"/>
      <c r="H571" s="247"/>
      <c r="I571" s="247"/>
      <c r="J571" s="247"/>
      <c r="K571" s="247"/>
      <c r="L571" s="247"/>
      <c r="M571" s="247"/>
      <c r="N571" s="247"/>
      <c r="O571" s="247"/>
      <c r="P571" s="247"/>
      <c r="Q571" s="247"/>
      <c r="R571" s="247"/>
      <c r="S571" s="247"/>
      <c r="T571" s="247"/>
      <c r="U571" s="247"/>
    </row>
    <row r="572" spans="1:21" ht="13" hidden="1" customHeight="1">
      <c r="A572" s="263"/>
      <c r="B572" s="247"/>
      <c r="C572" s="247"/>
      <c r="D572" s="287"/>
      <c r="E572" s="247"/>
      <c r="F572" s="288"/>
      <c r="G572" s="247"/>
      <c r="H572" s="247"/>
      <c r="I572" s="247"/>
      <c r="J572" s="247"/>
      <c r="K572" s="247"/>
      <c r="L572" s="247"/>
      <c r="M572" s="247"/>
      <c r="N572" s="247"/>
      <c r="O572" s="247"/>
      <c r="P572" s="247"/>
      <c r="Q572" s="247"/>
      <c r="R572" s="247"/>
      <c r="S572" s="247"/>
      <c r="T572" s="247"/>
      <c r="U572" s="247"/>
    </row>
    <row r="573" spans="1:21" ht="13" hidden="1" customHeight="1">
      <c r="A573" s="263"/>
      <c r="B573" s="247"/>
      <c r="C573" s="247"/>
      <c r="D573" s="287"/>
      <c r="E573" s="247"/>
      <c r="F573" s="288"/>
      <c r="G573" s="247"/>
      <c r="H573" s="247"/>
      <c r="I573" s="247"/>
      <c r="J573" s="247"/>
      <c r="K573" s="247"/>
      <c r="L573" s="247"/>
      <c r="M573" s="247"/>
      <c r="N573" s="247"/>
      <c r="O573" s="247"/>
      <c r="P573" s="247"/>
      <c r="Q573" s="247"/>
      <c r="R573" s="247"/>
      <c r="S573" s="247"/>
      <c r="T573" s="247"/>
      <c r="U573" s="247"/>
    </row>
    <row r="574" spans="1:21" ht="13" hidden="1" customHeight="1">
      <c r="A574" s="263"/>
      <c r="B574" s="247"/>
      <c r="C574" s="247"/>
      <c r="D574" s="287"/>
      <c r="E574" s="247"/>
      <c r="F574" s="288"/>
      <c r="G574" s="247"/>
      <c r="H574" s="247"/>
      <c r="I574" s="247"/>
      <c r="J574" s="247"/>
      <c r="K574" s="247"/>
      <c r="L574" s="247"/>
      <c r="M574" s="247"/>
      <c r="N574" s="247"/>
      <c r="O574" s="247"/>
      <c r="P574" s="247"/>
      <c r="Q574" s="247"/>
      <c r="R574" s="247"/>
      <c r="S574" s="247"/>
      <c r="T574" s="247"/>
      <c r="U574" s="247"/>
    </row>
    <row r="575" spans="1:21" ht="13" hidden="1" customHeight="1">
      <c r="A575" s="263"/>
      <c r="B575" s="247"/>
      <c r="C575" s="247"/>
      <c r="D575" s="287"/>
      <c r="E575" s="247"/>
      <c r="F575" s="288"/>
      <c r="G575" s="247"/>
      <c r="H575" s="247"/>
      <c r="I575" s="247"/>
      <c r="J575" s="247"/>
      <c r="K575" s="247"/>
      <c r="L575" s="247"/>
      <c r="M575" s="247"/>
      <c r="N575" s="247"/>
      <c r="O575" s="247"/>
      <c r="P575" s="247"/>
      <c r="Q575" s="247"/>
      <c r="R575" s="247"/>
      <c r="S575" s="247"/>
      <c r="T575" s="247"/>
      <c r="U575" s="247"/>
    </row>
    <row r="576" spans="1:21" ht="13" hidden="1" customHeight="1">
      <c r="A576" s="263"/>
      <c r="B576" s="247"/>
      <c r="C576" s="247"/>
      <c r="D576" s="287"/>
      <c r="E576" s="247"/>
      <c r="F576" s="288"/>
      <c r="G576" s="247"/>
      <c r="H576" s="247"/>
      <c r="I576" s="247"/>
      <c r="J576" s="247"/>
      <c r="K576" s="247"/>
      <c r="L576" s="247"/>
      <c r="M576" s="247"/>
      <c r="N576" s="247"/>
      <c r="O576" s="247"/>
      <c r="P576" s="247"/>
      <c r="Q576" s="247"/>
      <c r="R576" s="247"/>
      <c r="S576" s="247"/>
      <c r="T576" s="247"/>
      <c r="U576" s="247"/>
    </row>
    <row r="577" spans="1:21" ht="13" hidden="1" customHeight="1">
      <c r="A577" s="263"/>
      <c r="B577" s="247"/>
      <c r="C577" s="247"/>
      <c r="D577" s="287"/>
      <c r="E577" s="247"/>
      <c r="F577" s="288"/>
      <c r="G577" s="247"/>
      <c r="H577" s="247"/>
      <c r="I577" s="247"/>
      <c r="J577" s="247"/>
      <c r="K577" s="247"/>
      <c r="L577" s="247"/>
      <c r="M577" s="247"/>
      <c r="N577" s="247"/>
      <c r="O577" s="247"/>
      <c r="P577" s="247"/>
      <c r="Q577" s="247"/>
      <c r="R577" s="247"/>
      <c r="S577" s="247"/>
      <c r="T577" s="247"/>
      <c r="U577" s="247"/>
    </row>
    <row r="578" spans="1:21" ht="13" hidden="1" customHeight="1">
      <c r="A578" s="263"/>
      <c r="B578" s="247"/>
      <c r="C578" s="247"/>
      <c r="D578" s="287"/>
      <c r="E578" s="247"/>
      <c r="F578" s="288"/>
      <c r="G578" s="247"/>
      <c r="H578" s="247"/>
      <c r="I578" s="247"/>
      <c r="J578" s="247"/>
      <c r="K578" s="247"/>
      <c r="L578" s="247"/>
      <c r="M578" s="247"/>
      <c r="N578" s="247"/>
      <c r="O578" s="247"/>
      <c r="P578" s="247"/>
      <c r="Q578" s="247"/>
      <c r="R578" s="247"/>
      <c r="S578" s="247"/>
      <c r="T578" s="247"/>
      <c r="U578" s="247"/>
    </row>
    <row r="579" spans="1:21" ht="13" hidden="1" customHeight="1">
      <c r="A579" s="263"/>
      <c r="B579" s="247"/>
      <c r="C579" s="247"/>
      <c r="D579" s="287"/>
      <c r="E579" s="247"/>
      <c r="F579" s="288"/>
      <c r="G579" s="247"/>
      <c r="H579" s="247"/>
      <c r="I579" s="247"/>
      <c r="J579" s="247"/>
      <c r="K579" s="247"/>
      <c r="L579" s="247"/>
      <c r="M579" s="247"/>
      <c r="N579" s="247"/>
      <c r="O579" s="247"/>
      <c r="P579" s="247"/>
      <c r="Q579" s="247"/>
      <c r="R579" s="247"/>
      <c r="S579" s="247"/>
      <c r="T579" s="247"/>
      <c r="U579" s="247"/>
    </row>
    <row r="580" spans="1:21" ht="13" hidden="1" customHeight="1">
      <c r="A580" s="263"/>
      <c r="B580" s="247"/>
      <c r="C580" s="247"/>
      <c r="D580" s="287"/>
      <c r="E580" s="247"/>
      <c r="F580" s="288"/>
      <c r="G580" s="247"/>
      <c r="H580" s="247"/>
      <c r="I580" s="247"/>
      <c r="J580" s="247"/>
      <c r="K580" s="247"/>
      <c r="L580" s="247"/>
      <c r="M580" s="247"/>
      <c r="N580" s="247"/>
      <c r="O580" s="247"/>
      <c r="P580" s="247"/>
      <c r="Q580" s="247"/>
      <c r="R580" s="247"/>
      <c r="S580" s="247"/>
      <c r="T580" s="247"/>
      <c r="U580" s="247"/>
    </row>
    <row r="581" spans="1:21" ht="13" hidden="1" customHeight="1">
      <c r="A581" s="263"/>
      <c r="B581" s="247"/>
      <c r="C581" s="247"/>
      <c r="D581" s="287"/>
      <c r="E581" s="247"/>
      <c r="F581" s="288"/>
      <c r="G581" s="247"/>
      <c r="H581" s="247"/>
      <c r="I581" s="247"/>
      <c r="J581" s="247"/>
      <c r="K581" s="247"/>
      <c r="L581" s="247"/>
      <c r="M581" s="247"/>
      <c r="N581" s="247"/>
      <c r="O581" s="247"/>
      <c r="P581" s="247"/>
      <c r="Q581" s="247"/>
      <c r="R581" s="247"/>
      <c r="S581" s="247"/>
      <c r="T581" s="247"/>
      <c r="U581" s="247"/>
    </row>
    <row r="582" spans="1:21" ht="13" hidden="1" customHeight="1">
      <c r="A582" s="263"/>
      <c r="B582" s="247"/>
      <c r="C582" s="247"/>
      <c r="D582" s="287"/>
      <c r="E582" s="247"/>
      <c r="F582" s="288"/>
      <c r="G582" s="247"/>
      <c r="H582" s="247"/>
      <c r="I582" s="247"/>
      <c r="J582" s="247"/>
      <c r="K582" s="247"/>
      <c r="L582" s="247"/>
      <c r="M582" s="247"/>
      <c r="N582" s="247"/>
      <c r="O582" s="247"/>
      <c r="P582" s="247"/>
      <c r="Q582" s="247"/>
      <c r="R582" s="247"/>
      <c r="S582" s="247"/>
      <c r="T582" s="247"/>
      <c r="U582" s="247"/>
    </row>
    <row r="583" spans="1:21" ht="13" hidden="1" customHeight="1">
      <c r="A583" s="263"/>
      <c r="B583" s="247"/>
      <c r="C583" s="247"/>
      <c r="D583" s="287"/>
      <c r="E583" s="247"/>
      <c r="F583" s="288"/>
      <c r="G583" s="247"/>
      <c r="H583" s="247"/>
      <c r="I583" s="247"/>
      <c r="J583" s="247"/>
      <c r="K583" s="247"/>
      <c r="L583" s="247"/>
      <c r="M583" s="247"/>
      <c r="N583" s="247"/>
      <c r="O583" s="247"/>
      <c r="P583" s="247"/>
      <c r="Q583" s="247"/>
      <c r="R583" s="247"/>
      <c r="S583" s="247"/>
      <c r="T583" s="247"/>
      <c r="U583" s="247"/>
    </row>
    <row r="584" spans="1:21" ht="13" hidden="1" customHeight="1">
      <c r="A584" s="263"/>
      <c r="B584" s="247"/>
      <c r="C584" s="247"/>
      <c r="D584" s="287"/>
      <c r="E584" s="247"/>
      <c r="F584" s="288"/>
      <c r="G584" s="247"/>
      <c r="H584" s="247"/>
      <c r="I584" s="247"/>
      <c r="J584" s="247"/>
      <c r="K584" s="247"/>
      <c r="L584" s="247"/>
      <c r="M584" s="247"/>
      <c r="N584" s="247"/>
      <c r="O584" s="247"/>
      <c r="P584" s="247"/>
      <c r="Q584" s="247"/>
      <c r="R584" s="247"/>
      <c r="S584" s="247"/>
      <c r="T584" s="247"/>
      <c r="U584" s="247"/>
    </row>
    <row r="585" spans="1:21" ht="13" hidden="1" customHeight="1">
      <c r="A585" s="263"/>
      <c r="B585" s="247"/>
      <c r="C585" s="247"/>
      <c r="D585" s="287"/>
      <c r="E585" s="247"/>
      <c r="F585" s="288"/>
      <c r="G585" s="247"/>
      <c r="H585" s="247"/>
      <c r="I585" s="247"/>
      <c r="J585" s="247"/>
      <c r="K585" s="247"/>
      <c r="L585" s="247"/>
      <c r="M585" s="247"/>
      <c r="N585" s="247"/>
      <c r="O585" s="247"/>
      <c r="P585" s="247"/>
      <c r="Q585" s="247"/>
      <c r="R585" s="247"/>
      <c r="S585" s="247"/>
      <c r="T585" s="247"/>
      <c r="U585" s="247"/>
    </row>
    <row r="586" spans="1:21" ht="13" hidden="1" customHeight="1">
      <c r="A586" s="263"/>
      <c r="B586" s="247"/>
      <c r="C586" s="247"/>
      <c r="D586" s="287"/>
      <c r="E586" s="247"/>
      <c r="F586" s="288"/>
      <c r="G586" s="247"/>
      <c r="H586" s="247"/>
      <c r="I586" s="247"/>
      <c r="J586" s="247"/>
      <c r="K586" s="247"/>
      <c r="L586" s="247"/>
      <c r="M586" s="247"/>
      <c r="N586" s="247"/>
      <c r="O586" s="247"/>
      <c r="P586" s="247"/>
      <c r="Q586" s="247"/>
      <c r="R586" s="247"/>
      <c r="S586" s="247"/>
      <c r="T586" s="247"/>
      <c r="U586" s="247"/>
    </row>
    <row r="587" spans="1:21" ht="13" hidden="1" customHeight="1">
      <c r="A587" s="263"/>
      <c r="B587" s="247"/>
      <c r="C587" s="247"/>
      <c r="D587" s="287"/>
      <c r="E587" s="247"/>
      <c r="F587" s="288"/>
      <c r="G587" s="247"/>
      <c r="H587" s="247"/>
      <c r="I587" s="247"/>
      <c r="J587" s="247"/>
      <c r="K587" s="247"/>
      <c r="L587" s="247"/>
      <c r="M587" s="247"/>
      <c r="N587" s="247"/>
      <c r="O587" s="247"/>
      <c r="P587" s="247"/>
      <c r="Q587" s="247"/>
      <c r="R587" s="247"/>
      <c r="S587" s="247"/>
      <c r="T587" s="247"/>
      <c r="U587" s="247"/>
    </row>
    <row r="588" spans="1:21" ht="13" hidden="1" customHeight="1">
      <c r="A588" s="263"/>
      <c r="B588" s="247"/>
      <c r="C588" s="247"/>
      <c r="D588" s="287"/>
      <c r="E588" s="247"/>
      <c r="F588" s="288"/>
      <c r="G588" s="247"/>
      <c r="H588" s="247"/>
      <c r="I588" s="247"/>
      <c r="J588" s="247"/>
      <c r="K588" s="247"/>
      <c r="L588" s="247"/>
      <c r="M588" s="247"/>
      <c r="N588" s="247"/>
      <c r="O588" s="247"/>
      <c r="P588" s="247"/>
      <c r="Q588" s="247"/>
      <c r="R588" s="247"/>
      <c r="S588" s="247"/>
      <c r="T588" s="247"/>
      <c r="U588" s="247"/>
    </row>
    <row r="589" spans="1:21" ht="13" hidden="1" customHeight="1">
      <c r="A589" s="263"/>
      <c r="B589" s="247"/>
      <c r="C589" s="247"/>
      <c r="D589" s="287"/>
      <c r="E589" s="247"/>
      <c r="F589" s="288"/>
      <c r="G589" s="247"/>
      <c r="H589" s="247"/>
      <c r="I589" s="247"/>
      <c r="J589" s="247"/>
      <c r="K589" s="247"/>
      <c r="L589" s="247"/>
      <c r="M589" s="247"/>
      <c r="N589" s="247"/>
      <c r="O589" s="247"/>
      <c r="P589" s="247"/>
      <c r="Q589" s="247"/>
      <c r="R589" s="247"/>
      <c r="S589" s="247"/>
      <c r="T589" s="247"/>
      <c r="U589" s="247"/>
    </row>
    <row r="590" spans="1:21" ht="13" hidden="1" customHeight="1">
      <c r="A590" s="263"/>
      <c r="B590" s="247"/>
      <c r="C590" s="247"/>
      <c r="D590" s="287"/>
      <c r="E590" s="247"/>
      <c r="F590" s="288"/>
      <c r="G590" s="247"/>
      <c r="H590" s="247"/>
      <c r="I590" s="247"/>
      <c r="J590" s="247"/>
      <c r="K590" s="247"/>
      <c r="L590" s="247"/>
      <c r="M590" s="247"/>
      <c r="N590" s="247"/>
      <c r="O590" s="247"/>
      <c r="P590" s="247"/>
      <c r="Q590" s="247"/>
      <c r="R590" s="247"/>
      <c r="S590" s="247"/>
      <c r="T590" s="247"/>
      <c r="U590" s="247"/>
    </row>
    <row r="591" spans="1:21" ht="13" hidden="1" customHeight="1">
      <c r="A591" s="263"/>
      <c r="B591" s="247"/>
      <c r="C591" s="247"/>
      <c r="D591" s="287"/>
      <c r="E591" s="247"/>
      <c r="F591" s="288"/>
      <c r="G591" s="247"/>
      <c r="H591" s="247"/>
      <c r="I591" s="247"/>
      <c r="J591" s="247"/>
      <c r="K591" s="247"/>
      <c r="L591" s="247"/>
      <c r="M591" s="247"/>
      <c r="N591" s="247"/>
      <c r="O591" s="247"/>
      <c r="P591" s="247"/>
      <c r="Q591" s="247"/>
      <c r="R591" s="247"/>
      <c r="S591" s="247"/>
      <c r="T591" s="247"/>
      <c r="U591" s="247"/>
    </row>
    <row r="592" spans="1:21" ht="13" hidden="1" customHeight="1">
      <c r="A592" s="263"/>
      <c r="B592" s="247"/>
      <c r="C592" s="247"/>
      <c r="D592" s="287"/>
      <c r="E592" s="247"/>
      <c r="F592" s="288"/>
      <c r="G592" s="247"/>
      <c r="H592" s="247"/>
      <c r="I592" s="247"/>
      <c r="J592" s="247"/>
      <c r="K592" s="247"/>
      <c r="L592" s="247"/>
      <c r="M592" s="247"/>
      <c r="N592" s="247"/>
      <c r="O592" s="247"/>
      <c r="P592" s="247"/>
      <c r="Q592" s="247"/>
      <c r="R592" s="247"/>
      <c r="S592" s="247"/>
      <c r="T592" s="247"/>
      <c r="U592" s="247"/>
    </row>
    <row r="593" spans="1:21" ht="13" hidden="1" customHeight="1">
      <c r="A593" s="263"/>
      <c r="B593" s="247"/>
      <c r="C593" s="247"/>
      <c r="D593" s="287"/>
      <c r="E593" s="247"/>
      <c r="F593" s="288"/>
      <c r="G593" s="247"/>
      <c r="H593" s="247"/>
      <c r="I593" s="247"/>
      <c r="J593" s="247"/>
      <c r="K593" s="247"/>
      <c r="L593" s="247"/>
      <c r="M593" s="247"/>
      <c r="N593" s="247"/>
      <c r="O593" s="247"/>
      <c r="P593" s="247"/>
      <c r="Q593" s="247"/>
      <c r="R593" s="247"/>
      <c r="S593" s="247"/>
      <c r="T593" s="247"/>
      <c r="U593" s="247"/>
    </row>
    <row r="594" spans="1:21" ht="13" hidden="1" customHeight="1">
      <c r="A594" s="263"/>
      <c r="B594" s="247"/>
      <c r="C594" s="247"/>
      <c r="D594" s="287"/>
      <c r="E594" s="247"/>
      <c r="F594" s="288"/>
      <c r="G594" s="247"/>
      <c r="H594" s="247"/>
      <c r="I594" s="247"/>
      <c r="J594" s="247"/>
      <c r="K594" s="247"/>
      <c r="L594" s="247"/>
      <c r="M594" s="247"/>
      <c r="N594" s="247"/>
      <c r="O594" s="247"/>
      <c r="P594" s="247"/>
      <c r="Q594" s="247"/>
      <c r="R594" s="247"/>
      <c r="S594" s="247"/>
      <c r="T594" s="247"/>
      <c r="U594" s="247"/>
    </row>
    <row r="595" spans="1:21" ht="13" hidden="1" customHeight="1">
      <c r="A595" s="263"/>
      <c r="B595" s="247"/>
      <c r="C595" s="247"/>
      <c r="D595" s="287"/>
      <c r="E595" s="247"/>
      <c r="F595" s="288"/>
      <c r="G595" s="247"/>
      <c r="H595" s="247"/>
      <c r="I595" s="247"/>
      <c r="J595" s="247"/>
      <c r="K595" s="247"/>
      <c r="L595" s="247"/>
      <c r="M595" s="247"/>
      <c r="N595" s="247"/>
      <c r="O595" s="247"/>
      <c r="P595" s="247"/>
      <c r="Q595" s="247"/>
      <c r="R595" s="247"/>
      <c r="S595" s="247"/>
      <c r="T595" s="247"/>
      <c r="U595" s="247"/>
    </row>
    <row r="596" spans="1:21" ht="13" hidden="1" customHeight="1">
      <c r="A596" s="263"/>
      <c r="B596" s="247"/>
      <c r="C596" s="247"/>
      <c r="D596" s="287"/>
      <c r="E596" s="247"/>
      <c r="F596" s="288"/>
      <c r="G596" s="247"/>
      <c r="H596" s="247"/>
      <c r="I596" s="247"/>
      <c r="J596" s="247"/>
      <c r="K596" s="247"/>
      <c r="L596" s="247"/>
      <c r="M596" s="247"/>
      <c r="N596" s="247"/>
      <c r="O596" s="247"/>
      <c r="P596" s="247"/>
      <c r="Q596" s="247"/>
      <c r="R596" s="247"/>
      <c r="S596" s="247"/>
      <c r="T596" s="247"/>
      <c r="U596" s="247"/>
    </row>
    <row r="597" spans="1:21" ht="13" hidden="1" customHeight="1">
      <c r="A597" s="263"/>
      <c r="B597" s="247"/>
      <c r="C597" s="247"/>
      <c r="D597" s="287"/>
      <c r="E597" s="247"/>
      <c r="F597" s="288"/>
      <c r="G597" s="247"/>
      <c r="H597" s="247"/>
      <c r="I597" s="247"/>
      <c r="J597" s="247"/>
      <c r="K597" s="247"/>
      <c r="L597" s="247"/>
      <c r="M597" s="247"/>
      <c r="N597" s="247"/>
      <c r="O597" s="247"/>
      <c r="P597" s="247"/>
      <c r="Q597" s="247"/>
      <c r="R597" s="247"/>
      <c r="S597" s="247"/>
      <c r="T597" s="247"/>
      <c r="U597" s="247"/>
    </row>
    <row r="598" spans="1:21" ht="13" hidden="1" customHeight="1">
      <c r="A598" s="263"/>
      <c r="B598" s="247"/>
      <c r="C598" s="247"/>
      <c r="D598" s="287"/>
      <c r="E598" s="247"/>
      <c r="F598" s="288"/>
      <c r="G598" s="247"/>
      <c r="H598" s="247"/>
      <c r="I598" s="247"/>
      <c r="J598" s="247"/>
      <c r="K598" s="247"/>
      <c r="L598" s="247"/>
      <c r="M598" s="247"/>
      <c r="N598" s="247"/>
      <c r="O598" s="247"/>
      <c r="P598" s="247"/>
      <c r="Q598" s="247"/>
      <c r="R598" s="247"/>
      <c r="S598" s="247"/>
      <c r="T598" s="247"/>
      <c r="U598" s="247"/>
    </row>
    <row r="599" spans="1:21" ht="13" hidden="1" customHeight="1">
      <c r="A599" s="263"/>
      <c r="B599" s="247"/>
      <c r="C599" s="247"/>
      <c r="D599" s="287"/>
      <c r="E599" s="247"/>
      <c r="F599" s="288"/>
      <c r="G599" s="247"/>
      <c r="H599" s="247"/>
      <c r="I599" s="247"/>
      <c r="J599" s="247"/>
      <c r="K599" s="247"/>
      <c r="L599" s="247"/>
      <c r="M599" s="247"/>
      <c r="N599" s="247"/>
      <c r="O599" s="247"/>
      <c r="P599" s="247"/>
      <c r="Q599" s="247"/>
      <c r="R599" s="247"/>
      <c r="S599" s="247"/>
      <c r="T599" s="247"/>
      <c r="U599" s="247"/>
    </row>
    <row r="600" spans="1:21" ht="13" hidden="1" customHeight="1">
      <c r="A600" s="263"/>
      <c r="B600" s="247"/>
      <c r="C600" s="247"/>
      <c r="D600" s="287"/>
      <c r="E600" s="247"/>
      <c r="F600" s="288"/>
      <c r="G600" s="247"/>
      <c r="H600" s="247"/>
      <c r="I600" s="247"/>
      <c r="J600" s="247"/>
      <c r="K600" s="247"/>
      <c r="L600" s="247"/>
      <c r="M600" s="247"/>
      <c r="N600" s="247"/>
      <c r="O600" s="247"/>
      <c r="P600" s="247"/>
      <c r="Q600" s="247"/>
      <c r="R600" s="247"/>
      <c r="S600" s="247"/>
      <c r="T600" s="247"/>
      <c r="U600" s="247"/>
    </row>
    <row r="601" spans="1:21" ht="13" hidden="1" customHeight="1">
      <c r="A601" s="263"/>
      <c r="B601" s="247"/>
      <c r="C601" s="247"/>
      <c r="D601" s="287"/>
      <c r="E601" s="247"/>
      <c r="F601" s="288"/>
      <c r="G601" s="247"/>
      <c r="H601" s="247"/>
      <c r="I601" s="247"/>
      <c r="J601" s="247"/>
      <c r="K601" s="247"/>
      <c r="L601" s="247"/>
      <c r="M601" s="247"/>
      <c r="N601" s="247"/>
      <c r="O601" s="247"/>
      <c r="P601" s="247"/>
      <c r="Q601" s="247"/>
      <c r="R601" s="247"/>
      <c r="S601" s="247"/>
      <c r="T601" s="247"/>
      <c r="U601" s="247"/>
    </row>
    <row r="602" spans="1:21" ht="13" hidden="1" customHeight="1">
      <c r="A602" s="263"/>
      <c r="B602" s="247"/>
      <c r="C602" s="247"/>
      <c r="D602" s="287"/>
      <c r="E602" s="247"/>
      <c r="F602" s="288"/>
      <c r="G602" s="247"/>
      <c r="H602" s="247"/>
      <c r="I602" s="247"/>
      <c r="J602" s="247"/>
      <c r="K602" s="247"/>
      <c r="L602" s="247"/>
      <c r="M602" s="247"/>
      <c r="N602" s="247"/>
      <c r="O602" s="247"/>
      <c r="P602" s="247"/>
      <c r="Q602" s="247"/>
      <c r="R602" s="247"/>
      <c r="S602" s="247"/>
      <c r="T602" s="247"/>
      <c r="U602" s="247"/>
    </row>
    <row r="603" spans="1:21" ht="13" hidden="1" customHeight="1">
      <c r="A603" s="263"/>
      <c r="B603" s="247"/>
      <c r="C603" s="247"/>
      <c r="D603" s="287"/>
      <c r="E603" s="247"/>
      <c r="F603" s="288"/>
      <c r="G603" s="247"/>
      <c r="H603" s="247"/>
      <c r="I603" s="247"/>
      <c r="J603" s="247"/>
      <c r="K603" s="247"/>
      <c r="L603" s="247"/>
      <c r="M603" s="247"/>
      <c r="N603" s="247"/>
      <c r="O603" s="247"/>
      <c r="P603" s="247"/>
      <c r="Q603" s="247"/>
      <c r="R603" s="247"/>
      <c r="S603" s="247"/>
      <c r="T603" s="247"/>
      <c r="U603" s="247"/>
    </row>
    <row r="604" spans="1:21" ht="13" hidden="1" customHeight="1">
      <c r="A604" s="263"/>
      <c r="B604" s="247"/>
      <c r="C604" s="247"/>
      <c r="D604" s="287"/>
      <c r="E604" s="247"/>
      <c r="F604" s="288"/>
      <c r="G604" s="247"/>
      <c r="H604" s="247"/>
      <c r="I604" s="247"/>
      <c r="J604" s="247"/>
      <c r="K604" s="247"/>
      <c r="L604" s="247"/>
      <c r="M604" s="247"/>
      <c r="N604" s="247"/>
      <c r="O604" s="247"/>
      <c r="P604" s="247"/>
      <c r="Q604" s="247"/>
      <c r="R604" s="247"/>
      <c r="S604" s="247"/>
      <c r="T604" s="247"/>
      <c r="U604" s="247"/>
    </row>
    <row r="605" spans="1:21" ht="13" hidden="1" customHeight="1">
      <c r="A605" s="263"/>
      <c r="B605" s="247"/>
      <c r="C605" s="247"/>
      <c r="D605" s="287"/>
      <c r="E605" s="247"/>
      <c r="F605" s="288"/>
      <c r="G605" s="247"/>
      <c r="H605" s="247"/>
      <c r="I605" s="247"/>
      <c r="J605" s="247"/>
      <c r="K605" s="247"/>
      <c r="L605" s="247"/>
      <c r="M605" s="247"/>
      <c r="N605" s="247"/>
      <c r="O605" s="247"/>
      <c r="P605" s="247"/>
      <c r="Q605" s="247"/>
      <c r="R605" s="247"/>
      <c r="S605" s="247"/>
      <c r="T605" s="247"/>
      <c r="U605" s="247"/>
    </row>
    <row r="606" spans="1:21" ht="13" hidden="1" customHeight="1">
      <c r="A606" s="263"/>
      <c r="B606" s="247"/>
      <c r="C606" s="247"/>
      <c r="D606" s="287"/>
      <c r="E606" s="247"/>
      <c r="F606" s="288"/>
      <c r="G606" s="247"/>
      <c r="H606" s="247"/>
      <c r="I606" s="247"/>
      <c r="J606" s="247"/>
      <c r="K606" s="247"/>
      <c r="L606" s="247"/>
      <c r="M606" s="247"/>
      <c r="N606" s="247"/>
      <c r="O606" s="247"/>
      <c r="P606" s="247"/>
      <c r="Q606" s="247"/>
      <c r="R606" s="247"/>
      <c r="S606" s="247"/>
      <c r="T606" s="247"/>
      <c r="U606" s="247"/>
    </row>
    <row r="607" spans="1:21" ht="13" hidden="1" customHeight="1">
      <c r="A607" s="263"/>
      <c r="B607" s="247"/>
      <c r="C607" s="247"/>
      <c r="D607" s="287"/>
      <c r="E607" s="247"/>
      <c r="F607" s="288"/>
      <c r="G607" s="247"/>
      <c r="H607" s="247"/>
      <c r="I607" s="247"/>
      <c r="J607" s="247"/>
      <c r="K607" s="247"/>
      <c r="L607" s="247"/>
      <c r="M607" s="247"/>
      <c r="N607" s="247"/>
      <c r="O607" s="247"/>
      <c r="P607" s="247"/>
      <c r="Q607" s="247"/>
      <c r="R607" s="247"/>
      <c r="S607" s="247"/>
      <c r="T607" s="247"/>
      <c r="U607" s="247"/>
    </row>
    <row r="608" spans="1:21" ht="13" hidden="1" customHeight="1">
      <c r="A608" s="263"/>
      <c r="B608" s="247"/>
      <c r="C608" s="247"/>
      <c r="D608" s="287"/>
      <c r="E608" s="247"/>
      <c r="F608" s="288"/>
      <c r="G608" s="247"/>
      <c r="H608" s="247"/>
      <c r="I608" s="247"/>
      <c r="J608" s="247"/>
      <c r="K608" s="247"/>
      <c r="L608" s="247"/>
      <c r="M608" s="247"/>
      <c r="N608" s="247"/>
      <c r="O608" s="247"/>
      <c r="P608" s="247"/>
      <c r="Q608" s="247"/>
      <c r="R608" s="247"/>
      <c r="S608" s="247"/>
      <c r="T608" s="247"/>
      <c r="U608" s="247"/>
    </row>
    <row r="609" spans="1:21" ht="13" hidden="1" customHeight="1">
      <c r="A609" s="263"/>
      <c r="B609" s="247"/>
      <c r="C609" s="247"/>
      <c r="D609" s="287"/>
      <c r="E609" s="247"/>
      <c r="F609" s="288"/>
      <c r="G609" s="247"/>
      <c r="H609" s="247"/>
      <c r="I609" s="247"/>
      <c r="J609" s="247"/>
      <c r="K609" s="247"/>
      <c r="L609" s="247"/>
      <c r="M609" s="247"/>
      <c r="N609" s="247"/>
      <c r="O609" s="247"/>
      <c r="P609" s="247"/>
      <c r="Q609" s="247"/>
      <c r="R609" s="247"/>
      <c r="S609" s="247"/>
      <c r="T609" s="247"/>
      <c r="U609" s="247"/>
    </row>
    <row r="610" spans="1:21" ht="13" hidden="1" customHeight="1">
      <c r="A610" s="263"/>
      <c r="B610" s="247"/>
      <c r="C610" s="247"/>
      <c r="D610" s="287"/>
      <c r="E610" s="247"/>
      <c r="F610" s="288"/>
      <c r="G610" s="247"/>
      <c r="H610" s="247"/>
      <c r="I610" s="247"/>
      <c r="J610" s="247"/>
      <c r="K610" s="247"/>
      <c r="L610" s="247"/>
      <c r="M610" s="247"/>
      <c r="N610" s="247"/>
      <c r="O610" s="247"/>
      <c r="P610" s="247"/>
      <c r="Q610" s="247"/>
      <c r="R610" s="247"/>
      <c r="S610" s="247"/>
      <c r="T610" s="247"/>
      <c r="U610" s="247"/>
    </row>
    <row r="611" spans="1:21" ht="13" hidden="1" customHeight="1">
      <c r="A611" s="263"/>
      <c r="B611" s="247"/>
      <c r="C611" s="247"/>
      <c r="D611" s="287"/>
      <c r="E611" s="247"/>
      <c r="F611" s="288"/>
      <c r="G611" s="247"/>
      <c r="H611" s="247"/>
      <c r="I611" s="247"/>
      <c r="J611" s="247"/>
      <c r="K611" s="247"/>
      <c r="L611" s="247"/>
      <c r="M611" s="247"/>
      <c r="N611" s="247"/>
      <c r="O611" s="247"/>
      <c r="P611" s="247"/>
      <c r="Q611" s="247"/>
      <c r="R611" s="247"/>
      <c r="S611" s="247"/>
      <c r="T611" s="247"/>
      <c r="U611" s="247"/>
    </row>
    <row r="612" spans="1:21" ht="13" hidden="1" customHeight="1">
      <c r="A612" s="263"/>
      <c r="B612" s="247"/>
      <c r="C612" s="247"/>
      <c r="D612" s="287"/>
      <c r="E612" s="247"/>
      <c r="F612" s="288"/>
      <c r="G612" s="247"/>
      <c r="H612" s="247"/>
      <c r="I612" s="247"/>
      <c r="J612" s="247"/>
      <c r="K612" s="247"/>
      <c r="L612" s="247"/>
      <c r="M612" s="247"/>
      <c r="N612" s="247"/>
      <c r="O612" s="247"/>
      <c r="P612" s="247"/>
      <c r="Q612" s="247"/>
      <c r="R612" s="247"/>
      <c r="S612" s="247"/>
      <c r="T612" s="247"/>
      <c r="U612" s="247"/>
    </row>
    <row r="613" spans="1:21" ht="13" hidden="1" customHeight="1">
      <c r="A613" s="263"/>
      <c r="B613" s="247"/>
      <c r="C613" s="247"/>
      <c r="D613" s="287"/>
      <c r="E613" s="247"/>
      <c r="F613" s="288"/>
      <c r="G613" s="247"/>
      <c r="H613" s="247"/>
      <c r="I613" s="247"/>
      <c r="J613" s="247"/>
      <c r="K613" s="247"/>
      <c r="L613" s="247"/>
      <c r="M613" s="247"/>
      <c r="N613" s="247"/>
      <c r="O613" s="247"/>
      <c r="P613" s="247"/>
      <c r="Q613" s="247"/>
      <c r="R613" s="247"/>
      <c r="S613" s="247"/>
      <c r="T613" s="247"/>
      <c r="U613" s="247"/>
    </row>
    <row r="614" spans="1:21" ht="13" hidden="1" customHeight="1">
      <c r="A614" s="263"/>
      <c r="B614" s="247"/>
      <c r="C614" s="247"/>
      <c r="D614" s="287"/>
      <c r="E614" s="247"/>
      <c r="F614" s="288"/>
      <c r="G614" s="247"/>
      <c r="H614" s="247"/>
      <c r="I614" s="247"/>
      <c r="J614" s="247"/>
      <c r="K614" s="247"/>
      <c r="L614" s="247"/>
      <c r="M614" s="247"/>
      <c r="N614" s="247"/>
      <c r="O614" s="247"/>
      <c r="P614" s="247"/>
      <c r="Q614" s="247"/>
      <c r="R614" s="247"/>
      <c r="S614" s="247"/>
      <c r="T614" s="247"/>
      <c r="U614" s="247"/>
    </row>
    <row r="615" spans="1:21" ht="13" hidden="1" customHeight="1">
      <c r="A615" s="263"/>
      <c r="B615" s="247"/>
      <c r="C615" s="247"/>
      <c r="D615" s="287"/>
      <c r="E615" s="247"/>
      <c r="F615" s="288"/>
      <c r="G615" s="247"/>
      <c r="H615" s="247"/>
      <c r="I615" s="247"/>
      <c r="J615" s="247"/>
      <c r="K615" s="247"/>
      <c r="L615" s="247"/>
      <c r="M615" s="247"/>
      <c r="N615" s="247"/>
      <c r="O615" s="247"/>
      <c r="P615" s="247"/>
      <c r="Q615" s="247"/>
      <c r="R615" s="247"/>
      <c r="S615" s="247"/>
      <c r="T615" s="247"/>
      <c r="U615" s="247"/>
    </row>
    <row r="616" spans="1:21" ht="13" hidden="1" customHeight="1">
      <c r="A616" s="263"/>
      <c r="B616" s="247"/>
      <c r="C616" s="247"/>
      <c r="D616" s="287"/>
      <c r="E616" s="247"/>
      <c r="F616" s="288"/>
      <c r="G616" s="247"/>
      <c r="H616" s="247"/>
      <c r="I616" s="247"/>
      <c r="J616" s="247"/>
      <c r="K616" s="247"/>
      <c r="L616" s="247"/>
      <c r="M616" s="247"/>
      <c r="N616" s="247"/>
      <c r="O616" s="247"/>
      <c r="P616" s="247"/>
      <c r="Q616" s="247"/>
      <c r="R616" s="247"/>
      <c r="S616" s="247"/>
      <c r="T616" s="247"/>
      <c r="U616" s="247"/>
    </row>
    <row r="617" spans="1:21" ht="13" hidden="1" customHeight="1">
      <c r="A617" s="263"/>
      <c r="B617" s="247"/>
      <c r="C617" s="247"/>
      <c r="D617" s="287"/>
      <c r="E617" s="247"/>
      <c r="F617" s="288"/>
      <c r="G617" s="247"/>
      <c r="H617" s="247"/>
      <c r="I617" s="247"/>
      <c r="J617" s="247"/>
      <c r="K617" s="247"/>
      <c r="L617" s="247"/>
      <c r="M617" s="247"/>
      <c r="N617" s="247"/>
      <c r="O617" s="247"/>
      <c r="P617" s="247"/>
      <c r="Q617" s="247"/>
      <c r="R617" s="247"/>
      <c r="S617" s="247"/>
      <c r="T617" s="247"/>
      <c r="U617" s="247"/>
    </row>
    <row r="618" spans="1:21" ht="13" hidden="1" customHeight="1">
      <c r="A618" s="263"/>
      <c r="B618" s="247"/>
      <c r="C618" s="247"/>
      <c r="D618" s="287"/>
      <c r="E618" s="247"/>
      <c r="F618" s="288"/>
      <c r="G618" s="247"/>
      <c r="H618" s="247"/>
      <c r="I618" s="247"/>
      <c r="J618" s="247"/>
      <c r="K618" s="247"/>
      <c r="L618" s="247"/>
      <c r="M618" s="247"/>
      <c r="N618" s="247"/>
      <c r="O618" s="247"/>
      <c r="P618" s="247"/>
      <c r="Q618" s="247"/>
      <c r="R618" s="247"/>
      <c r="S618" s="247"/>
      <c r="T618" s="247"/>
      <c r="U618" s="247"/>
    </row>
    <row r="619" spans="1:21" ht="13" hidden="1" customHeight="1">
      <c r="A619" s="263"/>
      <c r="B619" s="247"/>
      <c r="C619" s="247"/>
      <c r="D619" s="287"/>
      <c r="E619" s="247"/>
      <c r="F619" s="288"/>
      <c r="G619" s="247"/>
      <c r="H619" s="247"/>
      <c r="I619" s="247"/>
      <c r="J619" s="247"/>
      <c r="K619" s="247"/>
      <c r="L619" s="247"/>
      <c r="M619" s="247"/>
      <c r="N619" s="247"/>
      <c r="O619" s="247"/>
      <c r="P619" s="247"/>
      <c r="Q619" s="247"/>
      <c r="R619" s="247"/>
      <c r="S619" s="247"/>
      <c r="T619" s="247"/>
      <c r="U619" s="247"/>
    </row>
    <row r="620" spans="1:21" ht="13" hidden="1" customHeight="1">
      <c r="A620" s="263"/>
      <c r="B620" s="247"/>
      <c r="C620" s="247"/>
      <c r="D620" s="287"/>
      <c r="E620" s="247"/>
      <c r="F620" s="288"/>
      <c r="G620" s="247"/>
      <c r="H620" s="247"/>
      <c r="I620" s="247"/>
      <c r="J620" s="247"/>
      <c r="K620" s="247"/>
      <c r="L620" s="247"/>
      <c r="M620" s="247"/>
      <c r="N620" s="247"/>
      <c r="O620" s="247"/>
      <c r="P620" s="247"/>
      <c r="Q620" s="247"/>
      <c r="R620" s="247"/>
      <c r="S620" s="247"/>
      <c r="T620" s="247"/>
      <c r="U620" s="247"/>
    </row>
    <row r="621" spans="1:21" ht="13" hidden="1" customHeight="1">
      <c r="A621" s="263"/>
      <c r="B621" s="247"/>
      <c r="C621" s="247"/>
      <c r="D621" s="287"/>
      <c r="E621" s="247"/>
      <c r="F621" s="288"/>
      <c r="G621" s="247"/>
      <c r="H621" s="247"/>
      <c r="I621" s="247"/>
      <c r="J621" s="247"/>
      <c r="K621" s="247"/>
      <c r="L621" s="247"/>
      <c r="M621" s="247"/>
      <c r="N621" s="247"/>
      <c r="O621" s="247"/>
      <c r="P621" s="247"/>
      <c r="Q621" s="247"/>
      <c r="R621" s="247"/>
      <c r="S621" s="247"/>
      <c r="T621" s="247"/>
      <c r="U621" s="247"/>
    </row>
    <row r="622" spans="1:21" ht="13" hidden="1" customHeight="1">
      <c r="A622" s="263"/>
      <c r="B622" s="247"/>
      <c r="C622" s="247"/>
      <c r="D622" s="287"/>
      <c r="E622" s="247"/>
      <c r="F622" s="288"/>
      <c r="G622" s="247"/>
      <c r="H622" s="247"/>
      <c r="I622" s="247"/>
      <c r="J622" s="247"/>
      <c r="K622" s="247"/>
      <c r="L622" s="247"/>
      <c r="M622" s="247"/>
      <c r="N622" s="247"/>
      <c r="O622" s="247"/>
      <c r="P622" s="247"/>
      <c r="Q622" s="247"/>
      <c r="R622" s="247"/>
      <c r="S622" s="247"/>
      <c r="T622" s="247"/>
      <c r="U622" s="247"/>
    </row>
    <row r="623" spans="1:21" ht="13" hidden="1" customHeight="1">
      <c r="A623" s="263"/>
      <c r="B623" s="247"/>
      <c r="C623" s="247"/>
      <c r="D623" s="287"/>
      <c r="E623" s="247"/>
      <c r="F623" s="288"/>
      <c r="G623" s="247"/>
      <c r="H623" s="247"/>
      <c r="I623" s="247"/>
      <c r="J623" s="247"/>
      <c r="K623" s="247"/>
      <c r="L623" s="247"/>
      <c r="M623" s="247"/>
      <c r="N623" s="247"/>
      <c r="O623" s="247"/>
      <c r="P623" s="247"/>
      <c r="Q623" s="247"/>
      <c r="R623" s="247"/>
      <c r="S623" s="247"/>
      <c r="T623" s="247"/>
      <c r="U623" s="247"/>
    </row>
    <row r="624" spans="1:21" ht="13" hidden="1" customHeight="1">
      <c r="A624" s="263"/>
      <c r="B624" s="247"/>
      <c r="C624" s="247"/>
      <c r="D624" s="287"/>
      <c r="E624" s="247"/>
      <c r="F624" s="288"/>
      <c r="G624" s="247"/>
      <c r="H624" s="247"/>
      <c r="I624" s="247"/>
      <c r="J624" s="247"/>
      <c r="K624" s="247"/>
      <c r="L624" s="247"/>
      <c r="M624" s="247"/>
      <c r="N624" s="247"/>
      <c r="O624" s="247"/>
      <c r="P624" s="247"/>
      <c r="Q624" s="247"/>
      <c r="R624" s="247"/>
      <c r="S624" s="247"/>
      <c r="T624" s="247"/>
      <c r="U624" s="247"/>
    </row>
    <row r="625" spans="1:21" ht="13" hidden="1" customHeight="1">
      <c r="A625" s="263"/>
      <c r="B625" s="247"/>
      <c r="C625" s="247"/>
      <c r="D625" s="287"/>
      <c r="E625" s="247"/>
      <c r="F625" s="288"/>
      <c r="G625" s="247"/>
      <c r="H625" s="247"/>
      <c r="I625" s="247"/>
      <c r="J625" s="247"/>
      <c r="K625" s="247"/>
      <c r="L625" s="247"/>
      <c r="M625" s="247"/>
      <c r="N625" s="247"/>
      <c r="O625" s="247"/>
      <c r="P625" s="247"/>
      <c r="Q625" s="247"/>
      <c r="R625" s="247"/>
      <c r="S625" s="247"/>
      <c r="T625" s="247"/>
      <c r="U625" s="247"/>
    </row>
    <row r="626" spans="1:21" ht="13" hidden="1" customHeight="1">
      <c r="A626" s="263"/>
      <c r="B626" s="247"/>
      <c r="C626" s="247"/>
      <c r="D626" s="287"/>
      <c r="E626" s="247"/>
      <c r="F626" s="288"/>
      <c r="G626" s="247"/>
      <c r="H626" s="247"/>
      <c r="I626" s="247"/>
      <c r="J626" s="247"/>
      <c r="K626" s="247"/>
      <c r="L626" s="247"/>
      <c r="M626" s="247"/>
      <c r="N626" s="247"/>
      <c r="O626" s="247"/>
      <c r="P626" s="247"/>
      <c r="Q626" s="247"/>
      <c r="R626" s="247"/>
      <c r="S626" s="247"/>
      <c r="T626" s="247"/>
      <c r="U626" s="247"/>
    </row>
    <row r="627" spans="1:21" ht="13" hidden="1" customHeight="1">
      <c r="A627" s="263"/>
      <c r="B627" s="247"/>
      <c r="C627" s="247"/>
      <c r="D627" s="287"/>
      <c r="E627" s="247"/>
      <c r="F627" s="288"/>
      <c r="G627" s="247"/>
      <c r="H627" s="247"/>
      <c r="I627" s="247"/>
      <c r="J627" s="247"/>
      <c r="K627" s="247"/>
      <c r="L627" s="247"/>
      <c r="M627" s="247"/>
      <c r="N627" s="247"/>
      <c r="O627" s="247"/>
      <c r="P627" s="247"/>
      <c r="Q627" s="247"/>
      <c r="R627" s="247"/>
      <c r="S627" s="247"/>
      <c r="T627" s="247"/>
      <c r="U627" s="247"/>
    </row>
    <row r="628" spans="1:21" ht="13" hidden="1" customHeight="1">
      <c r="A628" s="263"/>
      <c r="B628" s="247"/>
      <c r="C628" s="247"/>
      <c r="D628" s="287"/>
      <c r="E628" s="247"/>
      <c r="F628" s="288"/>
      <c r="G628" s="247"/>
      <c r="H628" s="247"/>
      <c r="I628" s="247"/>
      <c r="J628" s="247"/>
      <c r="K628" s="247"/>
      <c r="L628" s="247"/>
      <c r="M628" s="247"/>
      <c r="N628" s="247"/>
      <c r="O628" s="247"/>
      <c r="P628" s="247"/>
      <c r="Q628" s="247"/>
      <c r="R628" s="247"/>
      <c r="S628" s="247"/>
      <c r="T628" s="247"/>
      <c r="U628" s="247"/>
    </row>
    <row r="629" spans="1:21" ht="13" hidden="1" customHeight="1">
      <c r="A629" s="263"/>
      <c r="B629" s="247"/>
      <c r="C629" s="247"/>
      <c r="D629" s="287"/>
      <c r="E629" s="247"/>
      <c r="F629" s="288"/>
      <c r="G629" s="247"/>
      <c r="H629" s="247"/>
      <c r="I629" s="247"/>
      <c r="J629" s="247"/>
      <c r="K629" s="247"/>
      <c r="L629" s="247"/>
      <c r="M629" s="247"/>
      <c r="N629" s="247"/>
      <c r="O629" s="247"/>
      <c r="P629" s="247"/>
      <c r="Q629" s="247"/>
      <c r="R629" s="247"/>
      <c r="S629" s="247"/>
      <c r="T629" s="247"/>
      <c r="U629" s="247"/>
    </row>
    <row r="630" spans="1:21" ht="13" hidden="1" customHeight="1">
      <c r="A630" s="263"/>
      <c r="B630" s="247"/>
      <c r="C630" s="247"/>
      <c r="D630" s="287"/>
      <c r="E630" s="247"/>
      <c r="F630" s="288"/>
      <c r="G630" s="247"/>
      <c r="H630" s="247"/>
      <c r="I630" s="247"/>
      <c r="J630" s="247"/>
      <c r="K630" s="247"/>
      <c r="L630" s="247"/>
      <c r="M630" s="247"/>
      <c r="N630" s="247"/>
      <c r="O630" s="247"/>
      <c r="P630" s="247"/>
      <c r="Q630" s="247"/>
      <c r="R630" s="247"/>
      <c r="S630" s="247"/>
      <c r="T630" s="247"/>
      <c r="U630" s="247"/>
    </row>
    <row r="631" spans="1:21" ht="13" hidden="1" customHeight="1">
      <c r="A631" s="263"/>
      <c r="B631" s="247"/>
      <c r="C631" s="247"/>
      <c r="D631" s="287"/>
      <c r="E631" s="247"/>
      <c r="F631" s="288"/>
      <c r="G631" s="247"/>
      <c r="H631" s="247"/>
      <c r="I631" s="247"/>
      <c r="J631" s="247"/>
      <c r="K631" s="247"/>
      <c r="L631" s="247"/>
      <c r="M631" s="247"/>
      <c r="N631" s="247"/>
      <c r="O631" s="247"/>
      <c r="P631" s="247"/>
      <c r="Q631" s="247"/>
      <c r="R631" s="247"/>
      <c r="S631" s="247"/>
      <c r="T631" s="247"/>
      <c r="U631" s="247"/>
    </row>
    <row r="632" spans="1:21" ht="13" hidden="1" customHeight="1">
      <c r="A632" s="263"/>
      <c r="B632" s="247"/>
      <c r="C632" s="247"/>
      <c r="D632" s="287"/>
      <c r="E632" s="247"/>
      <c r="F632" s="288"/>
      <c r="G632" s="247"/>
      <c r="H632" s="247"/>
      <c r="I632" s="247"/>
      <c r="J632" s="247"/>
      <c r="K632" s="247"/>
      <c r="L632" s="247"/>
      <c r="M632" s="247"/>
      <c r="N632" s="247"/>
      <c r="O632" s="247"/>
      <c r="P632" s="247"/>
      <c r="Q632" s="247"/>
      <c r="R632" s="247"/>
      <c r="S632" s="247"/>
      <c r="T632" s="247"/>
      <c r="U632" s="247"/>
    </row>
    <row r="633" spans="1:21" ht="13" hidden="1" customHeight="1">
      <c r="A633" s="263"/>
      <c r="B633" s="247"/>
      <c r="C633" s="247"/>
      <c r="D633" s="287"/>
      <c r="E633" s="247"/>
      <c r="F633" s="288"/>
      <c r="G633" s="247"/>
      <c r="H633" s="247"/>
      <c r="I633" s="247"/>
      <c r="J633" s="247"/>
      <c r="K633" s="247"/>
      <c r="L633" s="247"/>
      <c r="M633" s="247"/>
      <c r="N633" s="247"/>
      <c r="O633" s="247"/>
      <c r="P633" s="247"/>
      <c r="Q633" s="247"/>
      <c r="R633" s="247"/>
      <c r="S633" s="247"/>
      <c r="T633" s="247"/>
      <c r="U633" s="247"/>
    </row>
    <row r="634" spans="1:21" ht="13" hidden="1" customHeight="1">
      <c r="A634" s="263"/>
      <c r="B634" s="247"/>
      <c r="C634" s="247"/>
      <c r="D634" s="287"/>
      <c r="E634" s="247"/>
      <c r="F634" s="288"/>
      <c r="G634" s="247"/>
      <c r="H634" s="247"/>
      <c r="I634" s="247"/>
      <c r="J634" s="247"/>
      <c r="K634" s="247"/>
      <c r="L634" s="247"/>
      <c r="M634" s="247"/>
      <c r="N634" s="247"/>
      <c r="O634" s="247"/>
      <c r="P634" s="247"/>
      <c r="Q634" s="247"/>
      <c r="R634" s="247"/>
      <c r="S634" s="247"/>
      <c r="T634" s="247"/>
      <c r="U634" s="247"/>
    </row>
    <row r="635" spans="1:21" ht="13" hidden="1" customHeight="1">
      <c r="A635" s="263"/>
      <c r="B635" s="247"/>
      <c r="C635" s="247"/>
      <c r="D635" s="287"/>
      <c r="E635" s="247"/>
      <c r="F635" s="288"/>
      <c r="G635" s="247"/>
      <c r="H635" s="247"/>
      <c r="I635" s="247"/>
      <c r="J635" s="247"/>
      <c r="K635" s="247"/>
      <c r="L635" s="247"/>
      <c r="M635" s="247"/>
      <c r="N635" s="247"/>
      <c r="O635" s="247"/>
      <c r="P635" s="247"/>
      <c r="Q635" s="247"/>
      <c r="R635" s="247"/>
      <c r="S635" s="247"/>
      <c r="T635" s="247"/>
      <c r="U635" s="247"/>
    </row>
    <row r="636" spans="1:21" ht="13" hidden="1" customHeight="1">
      <c r="A636" s="263"/>
      <c r="B636" s="247"/>
      <c r="C636" s="247"/>
      <c r="D636" s="287"/>
      <c r="E636" s="247"/>
      <c r="F636" s="288"/>
      <c r="G636" s="247"/>
      <c r="H636" s="247"/>
      <c r="I636" s="247"/>
      <c r="J636" s="247"/>
      <c r="K636" s="247"/>
      <c r="L636" s="247"/>
      <c r="M636" s="247"/>
      <c r="N636" s="247"/>
      <c r="O636" s="247"/>
      <c r="P636" s="247"/>
      <c r="Q636" s="247"/>
      <c r="R636" s="247"/>
      <c r="S636" s="247"/>
      <c r="T636" s="247"/>
      <c r="U636" s="247"/>
    </row>
    <row r="637" spans="1:21" ht="13" hidden="1" customHeight="1">
      <c r="A637" s="263"/>
      <c r="B637" s="247"/>
      <c r="C637" s="247"/>
      <c r="D637" s="287"/>
      <c r="E637" s="247"/>
      <c r="F637" s="288"/>
      <c r="G637" s="247"/>
      <c r="H637" s="247"/>
      <c r="I637" s="247"/>
      <c r="J637" s="247"/>
      <c r="K637" s="247"/>
      <c r="L637" s="247"/>
      <c r="M637" s="247"/>
      <c r="N637" s="247"/>
      <c r="O637" s="247"/>
      <c r="P637" s="247"/>
      <c r="Q637" s="247"/>
      <c r="R637" s="247"/>
      <c r="S637" s="247"/>
      <c r="T637" s="247"/>
      <c r="U637" s="247"/>
    </row>
    <row r="638" spans="1:21" ht="13" hidden="1" customHeight="1">
      <c r="A638" s="263"/>
      <c r="B638" s="247"/>
      <c r="C638" s="247"/>
      <c r="D638" s="287"/>
      <c r="E638" s="247"/>
      <c r="F638" s="288"/>
      <c r="G638" s="247"/>
      <c r="H638" s="247"/>
      <c r="I638" s="247"/>
      <c r="J638" s="247"/>
      <c r="K638" s="247"/>
      <c r="L638" s="247"/>
      <c r="M638" s="247"/>
      <c r="N638" s="247"/>
      <c r="O638" s="247"/>
      <c r="P638" s="247"/>
      <c r="Q638" s="247"/>
      <c r="R638" s="247"/>
      <c r="S638" s="247"/>
      <c r="T638" s="247"/>
      <c r="U638" s="247"/>
    </row>
    <row r="639" spans="1:21" ht="13" hidden="1" customHeight="1">
      <c r="A639" s="263"/>
      <c r="B639" s="247"/>
      <c r="C639" s="247"/>
      <c r="D639" s="287"/>
      <c r="E639" s="247"/>
      <c r="F639" s="288"/>
      <c r="G639" s="247"/>
      <c r="H639" s="247"/>
      <c r="I639" s="247"/>
      <c r="J639" s="247"/>
      <c r="K639" s="247"/>
      <c r="L639" s="247"/>
      <c r="M639" s="247"/>
      <c r="N639" s="247"/>
      <c r="O639" s="247"/>
      <c r="P639" s="247"/>
      <c r="Q639" s="247"/>
      <c r="R639" s="247"/>
      <c r="S639" s="247"/>
      <c r="T639" s="247"/>
      <c r="U639" s="247"/>
    </row>
    <row r="640" spans="1:21" ht="13" hidden="1" customHeight="1">
      <c r="A640" s="263"/>
      <c r="B640" s="247"/>
      <c r="C640" s="247"/>
      <c r="D640" s="287"/>
      <c r="E640" s="247"/>
      <c r="F640" s="288"/>
      <c r="G640" s="247"/>
      <c r="H640" s="247"/>
      <c r="I640" s="247"/>
      <c r="J640" s="247"/>
      <c r="K640" s="247"/>
      <c r="L640" s="247"/>
      <c r="M640" s="247"/>
      <c r="N640" s="247"/>
      <c r="O640" s="247"/>
      <c r="P640" s="247"/>
      <c r="Q640" s="247"/>
      <c r="R640" s="247"/>
      <c r="S640" s="247"/>
      <c r="T640" s="247"/>
      <c r="U640" s="247"/>
    </row>
    <row r="641" spans="1:21" ht="13" hidden="1" customHeight="1">
      <c r="A641" s="263"/>
      <c r="B641" s="247"/>
      <c r="C641" s="247"/>
      <c r="D641" s="287"/>
      <c r="E641" s="247"/>
      <c r="F641" s="288"/>
      <c r="G641" s="247"/>
      <c r="H641" s="247"/>
      <c r="I641" s="247"/>
      <c r="J641" s="247"/>
      <c r="K641" s="247"/>
      <c r="L641" s="247"/>
      <c r="M641" s="247"/>
      <c r="N641" s="247"/>
      <c r="O641" s="247"/>
      <c r="P641" s="247"/>
      <c r="Q641" s="247"/>
      <c r="R641" s="247"/>
      <c r="S641" s="247"/>
      <c r="T641" s="247"/>
      <c r="U641" s="247"/>
    </row>
    <row r="642" spans="1:21" ht="13" hidden="1" customHeight="1">
      <c r="A642" s="263"/>
      <c r="B642" s="247"/>
      <c r="C642" s="247"/>
      <c r="D642" s="287"/>
      <c r="E642" s="247"/>
      <c r="F642" s="288"/>
      <c r="G642" s="247"/>
      <c r="H642" s="247"/>
      <c r="I642" s="247"/>
      <c r="J642" s="247"/>
      <c r="K642" s="247"/>
      <c r="L642" s="247"/>
      <c r="M642" s="247"/>
      <c r="N642" s="247"/>
      <c r="O642" s="247"/>
      <c r="P642" s="247"/>
      <c r="Q642" s="247"/>
      <c r="R642" s="247"/>
      <c r="S642" s="247"/>
      <c r="T642" s="247"/>
      <c r="U642" s="247"/>
    </row>
    <row r="643" spans="1:21" ht="13" hidden="1" customHeight="1">
      <c r="A643" s="263"/>
      <c r="B643" s="247"/>
      <c r="C643" s="247"/>
      <c r="D643" s="287"/>
      <c r="E643" s="247"/>
      <c r="F643" s="288"/>
      <c r="G643" s="247"/>
      <c r="H643" s="247"/>
      <c r="I643" s="247"/>
      <c r="J643" s="247"/>
      <c r="K643" s="247"/>
      <c r="L643" s="247"/>
      <c r="M643" s="247"/>
      <c r="N643" s="247"/>
      <c r="O643" s="247"/>
      <c r="P643" s="247"/>
      <c r="Q643" s="247"/>
      <c r="R643" s="247"/>
      <c r="S643" s="247"/>
      <c r="T643" s="247"/>
      <c r="U643" s="247"/>
    </row>
    <row r="644" spans="1:21" ht="13" hidden="1" customHeight="1">
      <c r="A644" s="263"/>
      <c r="B644" s="247"/>
      <c r="C644" s="247"/>
      <c r="D644" s="287"/>
      <c r="E644" s="247"/>
      <c r="F644" s="288"/>
      <c r="G644" s="247"/>
      <c r="H644" s="247"/>
      <c r="I644" s="247"/>
      <c r="J644" s="247"/>
      <c r="K644" s="247"/>
      <c r="L644" s="247"/>
      <c r="M644" s="247"/>
      <c r="N644" s="247"/>
      <c r="O644" s="247"/>
      <c r="P644" s="247"/>
      <c r="Q644" s="247"/>
      <c r="R644" s="247"/>
      <c r="S644" s="247"/>
      <c r="T644" s="247"/>
      <c r="U644" s="247"/>
    </row>
    <row r="645" spans="1:21" ht="13" hidden="1" customHeight="1">
      <c r="A645" s="263"/>
      <c r="B645" s="247"/>
      <c r="C645" s="247"/>
      <c r="D645" s="287"/>
      <c r="E645" s="247"/>
      <c r="F645" s="288"/>
      <c r="G645" s="247"/>
      <c r="H645" s="247"/>
      <c r="I645" s="247"/>
      <c r="J645" s="247"/>
      <c r="K645" s="247"/>
      <c r="L645" s="247"/>
      <c r="M645" s="247"/>
      <c r="N645" s="247"/>
      <c r="O645" s="247"/>
      <c r="P645" s="247"/>
      <c r="Q645" s="247"/>
      <c r="R645" s="247"/>
      <c r="S645" s="247"/>
      <c r="T645" s="247"/>
      <c r="U645" s="247"/>
    </row>
    <row r="646" spans="1:21" ht="13" hidden="1" customHeight="1">
      <c r="A646" s="263"/>
      <c r="B646" s="247"/>
      <c r="C646" s="247"/>
      <c r="D646" s="287"/>
      <c r="E646" s="247"/>
      <c r="F646" s="288"/>
      <c r="G646" s="247"/>
      <c r="H646" s="247"/>
      <c r="I646" s="247"/>
      <c r="J646" s="247"/>
      <c r="K646" s="247"/>
      <c r="L646" s="247"/>
      <c r="M646" s="247"/>
      <c r="N646" s="247"/>
      <c r="O646" s="247"/>
      <c r="P646" s="247"/>
      <c r="Q646" s="247"/>
      <c r="R646" s="247"/>
      <c r="S646" s="247"/>
      <c r="T646" s="247"/>
      <c r="U646" s="247"/>
    </row>
    <row r="647" spans="1:21" ht="13" hidden="1" customHeight="1">
      <c r="A647" s="263"/>
      <c r="B647" s="247"/>
      <c r="C647" s="247"/>
      <c r="D647" s="287"/>
      <c r="E647" s="247"/>
      <c r="F647" s="288"/>
      <c r="G647" s="247"/>
      <c r="H647" s="247"/>
      <c r="I647" s="247"/>
      <c r="J647" s="247"/>
      <c r="K647" s="247"/>
      <c r="L647" s="247"/>
      <c r="M647" s="247"/>
      <c r="N647" s="247"/>
      <c r="O647" s="247"/>
      <c r="P647" s="247"/>
      <c r="Q647" s="247"/>
      <c r="R647" s="247"/>
      <c r="S647" s="247"/>
      <c r="T647" s="247"/>
      <c r="U647" s="247"/>
    </row>
    <row r="648" spans="1:21" ht="13" hidden="1" customHeight="1">
      <c r="A648" s="263"/>
      <c r="B648" s="247"/>
      <c r="C648" s="247"/>
      <c r="D648" s="287"/>
      <c r="E648" s="247"/>
      <c r="F648" s="288"/>
      <c r="G648" s="247"/>
      <c r="H648" s="247"/>
      <c r="I648" s="247"/>
      <c r="J648" s="247"/>
      <c r="K648" s="247"/>
      <c r="L648" s="247"/>
      <c r="M648" s="247"/>
      <c r="N648" s="247"/>
      <c r="O648" s="247"/>
      <c r="P648" s="247"/>
      <c r="Q648" s="247"/>
      <c r="R648" s="247"/>
      <c r="S648" s="247"/>
      <c r="T648" s="247"/>
      <c r="U648" s="247"/>
    </row>
    <row r="649" spans="1:21" ht="13" hidden="1" customHeight="1">
      <c r="A649" s="263"/>
      <c r="B649" s="247"/>
      <c r="C649" s="247"/>
      <c r="D649" s="287"/>
      <c r="E649" s="247"/>
      <c r="F649" s="288"/>
      <c r="G649" s="247"/>
      <c r="H649" s="247"/>
      <c r="I649" s="247"/>
      <c r="J649" s="247"/>
      <c r="K649" s="247"/>
      <c r="L649" s="247"/>
      <c r="M649" s="247"/>
      <c r="N649" s="247"/>
      <c r="O649" s="247"/>
      <c r="P649" s="247"/>
      <c r="Q649" s="247"/>
      <c r="R649" s="247"/>
      <c r="S649" s="247"/>
      <c r="T649" s="247"/>
      <c r="U649" s="247"/>
    </row>
    <row r="650" spans="1:21" ht="13" hidden="1" customHeight="1">
      <c r="A650" s="263"/>
      <c r="B650" s="247"/>
      <c r="C650" s="247"/>
      <c r="D650" s="287"/>
      <c r="E650" s="247"/>
      <c r="F650" s="288"/>
      <c r="G650" s="247"/>
      <c r="H650" s="247"/>
      <c r="I650" s="247"/>
      <c r="J650" s="247"/>
      <c r="K650" s="247"/>
      <c r="L650" s="247"/>
      <c r="M650" s="247"/>
      <c r="N650" s="247"/>
      <c r="O650" s="247"/>
      <c r="P650" s="247"/>
      <c r="Q650" s="247"/>
      <c r="R650" s="247"/>
      <c r="S650" s="247"/>
      <c r="T650" s="247"/>
      <c r="U650" s="247"/>
    </row>
    <row r="651" spans="1:21" ht="13" hidden="1" customHeight="1">
      <c r="A651" s="263"/>
      <c r="B651" s="247"/>
      <c r="C651" s="247"/>
      <c r="D651" s="287"/>
      <c r="E651" s="247"/>
      <c r="F651" s="288"/>
      <c r="G651" s="247"/>
      <c r="H651" s="247"/>
      <c r="I651" s="247"/>
      <c r="J651" s="247"/>
      <c r="K651" s="247"/>
      <c r="L651" s="247"/>
      <c r="M651" s="247"/>
      <c r="N651" s="247"/>
      <c r="O651" s="247"/>
      <c r="P651" s="247"/>
      <c r="Q651" s="247"/>
      <c r="R651" s="247"/>
      <c r="S651" s="247"/>
      <c r="T651" s="247"/>
      <c r="U651" s="247"/>
    </row>
    <row r="652" spans="1:21" ht="13" hidden="1" customHeight="1">
      <c r="A652" s="263"/>
      <c r="B652" s="247"/>
      <c r="C652" s="247"/>
      <c r="D652" s="287"/>
      <c r="E652" s="247"/>
      <c r="F652" s="288"/>
      <c r="G652" s="247"/>
      <c r="H652" s="247"/>
      <c r="I652" s="247"/>
      <c r="J652" s="247"/>
      <c r="K652" s="247"/>
      <c r="L652" s="247"/>
      <c r="M652" s="247"/>
      <c r="N652" s="247"/>
      <c r="O652" s="247"/>
      <c r="P652" s="247"/>
      <c r="Q652" s="247"/>
      <c r="R652" s="247"/>
      <c r="S652" s="247"/>
      <c r="T652" s="247"/>
      <c r="U652" s="247"/>
    </row>
    <row r="653" spans="1:21" ht="13" hidden="1" customHeight="1">
      <c r="A653" s="263"/>
      <c r="B653" s="247"/>
      <c r="C653" s="247"/>
      <c r="D653" s="287"/>
      <c r="E653" s="247"/>
      <c r="F653" s="288"/>
      <c r="G653" s="247"/>
      <c r="H653" s="247"/>
      <c r="I653" s="247"/>
      <c r="J653" s="247"/>
      <c r="K653" s="247"/>
      <c r="L653" s="247"/>
      <c r="M653" s="247"/>
      <c r="N653" s="247"/>
      <c r="O653" s="247"/>
      <c r="P653" s="247"/>
      <c r="Q653" s="247"/>
      <c r="R653" s="247"/>
      <c r="S653" s="247"/>
      <c r="T653" s="247"/>
      <c r="U653" s="247"/>
    </row>
    <row r="654" spans="1:21" ht="13" hidden="1" customHeight="1">
      <c r="A654" s="263"/>
      <c r="B654" s="247"/>
      <c r="C654" s="247"/>
      <c r="D654" s="287"/>
      <c r="E654" s="247"/>
      <c r="F654" s="288"/>
      <c r="G654" s="247"/>
      <c r="H654" s="247"/>
      <c r="I654" s="247"/>
      <c r="J654" s="247"/>
      <c r="K654" s="247"/>
      <c r="L654" s="247"/>
      <c r="M654" s="247"/>
      <c r="N654" s="247"/>
      <c r="O654" s="247"/>
      <c r="P654" s="247"/>
      <c r="Q654" s="247"/>
      <c r="R654" s="247"/>
      <c r="S654" s="247"/>
      <c r="T654" s="247"/>
      <c r="U654" s="247"/>
    </row>
    <row r="655" spans="1:21" ht="13" hidden="1" customHeight="1">
      <c r="A655" s="263"/>
      <c r="B655" s="247"/>
      <c r="C655" s="247"/>
      <c r="D655" s="287"/>
      <c r="E655" s="247"/>
      <c r="F655" s="288"/>
      <c r="G655" s="247"/>
      <c r="H655" s="247"/>
      <c r="I655" s="247"/>
      <c r="J655" s="247"/>
      <c r="K655" s="247"/>
      <c r="L655" s="247"/>
      <c r="M655" s="247"/>
      <c r="N655" s="247"/>
      <c r="O655" s="247"/>
      <c r="P655" s="247"/>
      <c r="Q655" s="247"/>
      <c r="R655" s="247"/>
      <c r="S655" s="247"/>
      <c r="T655" s="247"/>
      <c r="U655" s="247"/>
    </row>
    <row r="656" spans="1:21" ht="13" hidden="1" customHeight="1">
      <c r="A656" s="263"/>
      <c r="B656" s="247"/>
      <c r="C656" s="247"/>
      <c r="D656" s="287"/>
      <c r="E656" s="247"/>
      <c r="F656" s="288"/>
      <c r="G656" s="247"/>
      <c r="H656" s="247"/>
      <c r="I656" s="247"/>
      <c r="J656" s="247"/>
      <c r="K656" s="247"/>
      <c r="L656" s="247"/>
      <c r="M656" s="247"/>
      <c r="N656" s="247"/>
      <c r="O656" s="247"/>
      <c r="P656" s="247"/>
      <c r="Q656" s="247"/>
      <c r="R656" s="247"/>
      <c r="S656" s="247"/>
      <c r="T656" s="247"/>
      <c r="U656" s="247"/>
    </row>
    <row r="657" spans="1:21" ht="13" hidden="1" customHeight="1">
      <c r="A657" s="263"/>
      <c r="B657" s="247"/>
      <c r="C657" s="247"/>
      <c r="D657" s="287"/>
      <c r="E657" s="247"/>
      <c r="F657" s="288"/>
      <c r="G657" s="247"/>
      <c r="H657" s="247"/>
      <c r="I657" s="247"/>
      <c r="J657" s="247"/>
      <c r="K657" s="247"/>
      <c r="L657" s="247"/>
      <c r="M657" s="247"/>
      <c r="N657" s="247"/>
      <c r="O657" s="247"/>
      <c r="P657" s="247"/>
      <c r="Q657" s="247"/>
      <c r="R657" s="247"/>
      <c r="S657" s="247"/>
      <c r="T657" s="247"/>
      <c r="U657" s="247"/>
    </row>
    <row r="658" spans="1:21" ht="13" hidden="1" customHeight="1">
      <c r="A658" s="263"/>
      <c r="B658" s="247"/>
      <c r="C658" s="247"/>
      <c r="D658" s="287"/>
      <c r="E658" s="247"/>
      <c r="F658" s="288"/>
      <c r="G658" s="247"/>
      <c r="H658" s="247"/>
      <c r="I658" s="247"/>
      <c r="J658" s="247"/>
      <c r="K658" s="247"/>
      <c r="L658" s="247"/>
      <c r="M658" s="247"/>
      <c r="N658" s="247"/>
      <c r="O658" s="247"/>
      <c r="P658" s="247"/>
      <c r="Q658" s="247"/>
      <c r="R658" s="247"/>
      <c r="S658" s="247"/>
      <c r="T658" s="247"/>
      <c r="U658" s="247"/>
    </row>
    <row r="659" spans="1:21" ht="13" hidden="1" customHeight="1">
      <c r="A659" s="263"/>
      <c r="B659" s="247"/>
      <c r="C659" s="247"/>
      <c r="D659" s="287"/>
      <c r="E659" s="247"/>
      <c r="F659" s="288"/>
      <c r="G659" s="247"/>
      <c r="H659" s="247"/>
      <c r="I659" s="247"/>
      <c r="J659" s="247"/>
      <c r="K659" s="247"/>
      <c r="L659" s="247"/>
      <c r="M659" s="247"/>
      <c r="N659" s="247"/>
      <c r="O659" s="247"/>
      <c r="P659" s="247"/>
      <c r="Q659" s="247"/>
      <c r="R659" s="247"/>
      <c r="S659" s="247"/>
      <c r="T659" s="247"/>
      <c r="U659" s="247"/>
    </row>
    <row r="660" spans="1:21" ht="13" hidden="1" customHeight="1">
      <c r="A660" s="263"/>
      <c r="B660" s="247"/>
      <c r="C660" s="247"/>
      <c r="D660" s="287"/>
      <c r="E660" s="247"/>
      <c r="F660" s="288"/>
      <c r="G660" s="247"/>
      <c r="H660" s="247"/>
      <c r="I660" s="247"/>
      <c r="J660" s="247"/>
      <c r="K660" s="247"/>
      <c r="L660" s="247"/>
      <c r="M660" s="247"/>
      <c r="N660" s="247"/>
      <c r="O660" s="247"/>
      <c r="P660" s="247"/>
      <c r="Q660" s="247"/>
      <c r="R660" s="247"/>
      <c r="S660" s="247"/>
      <c r="T660" s="247"/>
      <c r="U660" s="247"/>
    </row>
    <row r="661" spans="1:21" ht="13" hidden="1" customHeight="1">
      <c r="A661" s="263"/>
      <c r="B661" s="247"/>
      <c r="C661" s="247"/>
      <c r="D661" s="287"/>
      <c r="E661" s="247"/>
      <c r="F661" s="288"/>
      <c r="G661" s="247"/>
      <c r="H661" s="247"/>
      <c r="I661" s="247"/>
      <c r="J661" s="247"/>
      <c r="K661" s="247"/>
      <c r="L661" s="247"/>
      <c r="M661" s="247"/>
      <c r="N661" s="247"/>
      <c r="O661" s="247"/>
      <c r="P661" s="247"/>
      <c r="Q661" s="247"/>
      <c r="R661" s="247"/>
      <c r="S661" s="247"/>
      <c r="T661" s="247"/>
      <c r="U661" s="247"/>
    </row>
    <row r="662" spans="1:21" ht="13" hidden="1" customHeight="1">
      <c r="A662" s="263"/>
      <c r="B662" s="247"/>
      <c r="C662" s="247"/>
      <c r="D662" s="287"/>
      <c r="E662" s="247"/>
      <c r="F662" s="288"/>
      <c r="G662" s="247"/>
      <c r="H662" s="247"/>
      <c r="I662" s="247"/>
      <c r="J662" s="247"/>
      <c r="K662" s="247"/>
      <c r="L662" s="247"/>
      <c r="M662" s="247"/>
      <c r="N662" s="247"/>
      <c r="O662" s="247"/>
      <c r="P662" s="247"/>
      <c r="Q662" s="247"/>
      <c r="R662" s="247"/>
      <c r="S662" s="247"/>
      <c r="T662" s="247"/>
      <c r="U662" s="247"/>
    </row>
    <row r="663" spans="1:21" ht="13" hidden="1" customHeight="1">
      <c r="A663" s="263"/>
      <c r="B663" s="247"/>
      <c r="C663" s="247"/>
      <c r="D663" s="287"/>
      <c r="E663" s="247"/>
      <c r="F663" s="288"/>
      <c r="G663" s="247"/>
      <c r="H663" s="247"/>
      <c r="I663" s="247"/>
      <c r="J663" s="247"/>
      <c r="K663" s="247"/>
      <c r="L663" s="247"/>
      <c r="M663" s="247"/>
      <c r="N663" s="247"/>
      <c r="O663" s="247"/>
      <c r="P663" s="247"/>
      <c r="Q663" s="247"/>
      <c r="R663" s="247"/>
      <c r="S663" s="247"/>
      <c r="T663" s="247"/>
      <c r="U663" s="247"/>
    </row>
    <row r="664" spans="1:21" ht="13" hidden="1" customHeight="1">
      <c r="A664" s="263"/>
      <c r="B664" s="247"/>
      <c r="C664" s="247"/>
      <c r="D664" s="287"/>
      <c r="E664" s="247"/>
      <c r="F664" s="288"/>
      <c r="G664" s="247"/>
      <c r="H664" s="247"/>
      <c r="I664" s="247"/>
      <c r="J664" s="247"/>
      <c r="K664" s="247"/>
      <c r="L664" s="247"/>
      <c r="M664" s="247"/>
      <c r="N664" s="247"/>
      <c r="O664" s="247"/>
      <c r="P664" s="247"/>
      <c r="Q664" s="247"/>
      <c r="R664" s="247"/>
      <c r="S664" s="247"/>
      <c r="T664" s="247"/>
      <c r="U664" s="247"/>
    </row>
    <row r="665" spans="1:21" ht="13" hidden="1" customHeight="1">
      <c r="A665" s="263"/>
      <c r="B665" s="247"/>
      <c r="C665" s="247"/>
      <c r="D665" s="287"/>
      <c r="E665" s="247"/>
      <c r="F665" s="288"/>
      <c r="G665" s="247"/>
      <c r="H665" s="247"/>
      <c r="I665" s="247"/>
      <c r="J665" s="247"/>
      <c r="K665" s="247"/>
      <c r="L665" s="247"/>
      <c r="M665" s="247"/>
      <c r="N665" s="247"/>
      <c r="O665" s="247"/>
      <c r="P665" s="247"/>
      <c r="Q665" s="247"/>
      <c r="R665" s="247"/>
      <c r="S665" s="247"/>
      <c r="T665" s="247"/>
      <c r="U665" s="247"/>
    </row>
    <row r="666" spans="1:21" ht="13" hidden="1" customHeight="1">
      <c r="A666" s="263"/>
      <c r="B666" s="247"/>
      <c r="C666" s="247"/>
      <c r="D666" s="287"/>
      <c r="E666" s="247"/>
      <c r="F666" s="288"/>
      <c r="G666" s="247"/>
      <c r="H666" s="247"/>
      <c r="I666" s="247"/>
      <c r="J666" s="247"/>
      <c r="K666" s="247"/>
      <c r="L666" s="247"/>
      <c r="M666" s="247"/>
      <c r="N666" s="247"/>
      <c r="O666" s="247"/>
      <c r="P666" s="247"/>
      <c r="Q666" s="247"/>
      <c r="R666" s="247"/>
      <c r="S666" s="247"/>
      <c r="T666" s="247"/>
      <c r="U666" s="247"/>
    </row>
    <row r="667" spans="1:21" ht="13" hidden="1" customHeight="1">
      <c r="A667" s="263"/>
      <c r="B667" s="247"/>
      <c r="C667" s="247"/>
      <c r="D667" s="287"/>
      <c r="E667" s="247"/>
      <c r="F667" s="288"/>
      <c r="G667" s="247"/>
      <c r="H667" s="247"/>
      <c r="I667" s="247"/>
      <c r="J667" s="247"/>
      <c r="K667" s="247"/>
      <c r="L667" s="247"/>
      <c r="M667" s="247"/>
      <c r="N667" s="247"/>
      <c r="O667" s="247"/>
      <c r="P667" s="247"/>
      <c r="Q667" s="247"/>
      <c r="R667" s="247"/>
      <c r="S667" s="247"/>
      <c r="T667" s="247"/>
      <c r="U667" s="247"/>
    </row>
    <row r="668" spans="1:21" ht="13" hidden="1" customHeight="1">
      <c r="A668" s="263"/>
      <c r="B668" s="247"/>
      <c r="C668" s="247"/>
      <c r="D668" s="287"/>
      <c r="E668" s="247"/>
      <c r="F668" s="288"/>
      <c r="G668" s="247"/>
      <c r="H668" s="247"/>
      <c r="I668" s="247"/>
      <c r="J668" s="247"/>
      <c r="K668" s="247"/>
      <c r="L668" s="247"/>
      <c r="M668" s="247"/>
      <c r="N668" s="247"/>
      <c r="O668" s="247"/>
      <c r="P668" s="247"/>
      <c r="Q668" s="247"/>
      <c r="R668" s="247"/>
      <c r="S668" s="247"/>
      <c r="T668" s="247"/>
      <c r="U668" s="247"/>
    </row>
    <row r="669" spans="1:21" ht="13" hidden="1" customHeight="1">
      <c r="A669" s="263"/>
      <c r="B669" s="247"/>
      <c r="C669" s="247"/>
      <c r="D669" s="287"/>
      <c r="E669" s="247"/>
      <c r="F669" s="288"/>
      <c r="G669" s="247"/>
      <c r="H669" s="247"/>
      <c r="I669" s="247"/>
      <c r="J669" s="247"/>
      <c r="K669" s="247"/>
      <c r="L669" s="247"/>
      <c r="M669" s="247"/>
      <c r="N669" s="247"/>
      <c r="O669" s="247"/>
      <c r="P669" s="247"/>
      <c r="Q669" s="247"/>
      <c r="R669" s="247"/>
      <c r="S669" s="247"/>
      <c r="T669" s="247"/>
      <c r="U669" s="247"/>
    </row>
    <row r="670" spans="1:21" ht="13" hidden="1" customHeight="1">
      <c r="A670" s="263"/>
      <c r="B670" s="247"/>
      <c r="C670" s="247"/>
      <c r="D670" s="287"/>
      <c r="E670" s="247"/>
      <c r="F670" s="288"/>
      <c r="G670" s="247"/>
      <c r="H670" s="247"/>
      <c r="I670" s="247"/>
      <c r="J670" s="247"/>
      <c r="K670" s="247"/>
      <c r="L670" s="247"/>
      <c r="M670" s="247"/>
      <c r="N670" s="247"/>
      <c r="O670" s="247"/>
      <c r="P670" s="247"/>
      <c r="Q670" s="247"/>
      <c r="R670" s="247"/>
      <c r="S670" s="247"/>
      <c r="T670" s="247"/>
      <c r="U670" s="247"/>
    </row>
    <row r="671" spans="1:21" ht="13" hidden="1" customHeight="1">
      <c r="A671" s="263"/>
      <c r="B671" s="247"/>
      <c r="C671" s="247"/>
      <c r="D671" s="287"/>
      <c r="E671" s="247"/>
      <c r="F671" s="288"/>
      <c r="G671" s="247"/>
      <c r="H671" s="247"/>
      <c r="I671" s="247"/>
      <c r="J671" s="247"/>
      <c r="K671" s="247"/>
      <c r="L671" s="247"/>
      <c r="M671" s="247"/>
      <c r="N671" s="247"/>
      <c r="O671" s="247"/>
      <c r="P671" s="247"/>
      <c r="Q671" s="247"/>
      <c r="R671" s="247"/>
      <c r="S671" s="247"/>
      <c r="T671" s="247"/>
      <c r="U671" s="247"/>
    </row>
    <row r="672" spans="1:21" ht="13" hidden="1" customHeight="1">
      <c r="A672" s="263"/>
      <c r="B672" s="247"/>
      <c r="C672" s="247"/>
      <c r="D672" s="287"/>
      <c r="E672" s="247"/>
      <c r="F672" s="288"/>
      <c r="G672" s="247"/>
      <c r="H672" s="247"/>
      <c r="I672" s="247"/>
      <c r="J672" s="247"/>
      <c r="K672" s="247"/>
      <c r="L672" s="247"/>
      <c r="M672" s="247"/>
      <c r="N672" s="247"/>
      <c r="O672" s="247"/>
      <c r="P672" s="247"/>
      <c r="Q672" s="247"/>
      <c r="R672" s="247"/>
      <c r="S672" s="247"/>
      <c r="T672" s="247"/>
      <c r="U672" s="247"/>
    </row>
    <row r="673" spans="1:21" ht="13" hidden="1" customHeight="1">
      <c r="A673" s="263"/>
      <c r="B673" s="247"/>
      <c r="C673" s="247"/>
      <c r="D673" s="287"/>
      <c r="E673" s="247"/>
      <c r="F673" s="288"/>
      <c r="G673" s="247"/>
      <c r="H673" s="247"/>
      <c r="I673" s="247"/>
      <c r="J673" s="247"/>
      <c r="K673" s="247"/>
      <c r="L673" s="247"/>
      <c r="M673" s="247"/>
      <c r="N673" s="247"/>
      <c r="O673" s="247"/>
      <c r="P673" s="247"/>
      <c r="Q673" s="247"/>
      <c r="R673" s="247"/>
      <c r="S673" s="247"/>
      <c r="T673" s="247"/>
      <c r="U673" s="247"/>
    </row>
    <row r="674" spans="1:21" ht="13" hidden="1" customHeight="1">
      <c r="A674" s="263"/>
      <c r="B674" s="247"/>
      <c r="C674" s="247"/>
      <c r="D674" s="287"/>
      <c r="E674" s="247"/>
      <c r="F674" s="288"/>
      <c r="G674" s="247"/>
      <c r="H674" s="247"/>
      <c r="I674" s="247"/>
      <c r="J674" s="247"/>
      <c r="K674" s="247"/>
      <c r="L674" s="247"/>
      <c r="M674" s="247"/>
      <c r="N674" s="247"/>
      <c r="O674" s="247"/>
      <c r="P674" s="247"/>
      <c r="Q674" s="247"/>
      <c r="R674" s="247"/>
      <c r="S674" s="247"/>
      <c r="T674" s="247"/>
      <c r="U674" s="247"/>
    </row>
    <row r="675" spans="1:21" ht="13" hidden="1" customHeight="1">
      <c r="A675" s="263"/>
      <c r="B675" s="247"/>
      <c r="C675" s="247"/>
      <c r="D675" s="287"/>
      <c r="E675" s="247"/>
      <c r="F675" s="288"/>
      <c r="G675" s="247"/>
      <c r="H675" s="247"/>
      <c r="I675" s="247"/>
      <c r="J675" s="247"/>
      <c r="K675" s="247"/>
      <c r="L675" s="247"/>
      <c r="M675" s="247"/>
      <c r="N675" s="247"/>
      <c r="O675" s="247"/>
      <c r="P675" s="247"/>
      <c r="Q675" s="247"/>
      <c r="R675" s="247"/>
      <c r="S675" s="247"/>
      <c r="T675" s="247"/>
      <c r="U675" s="247"/>
    </row>
    <row r="676" spans="1:21" ht="13" hidden="1" customHeight="1">
      <c r="A676" s="263"/>
      <c r="B676" s="247"/>
      <c r="C676" s="247"/>
      <c r="D676" s="287"/>
      <c r="E676" s="247"/>
      <c r="F676" s="288"/>
      <c r="G676" s="247"/>
      <c r="H676" s="247"/>
      <c r="I676" s="247"/>
      <c r="J676" s="247"/>
      <c r="K676" s="247"/>
      <c r="L676" s="247"/>
      <c r="M676" s="247"/>
      <c r="N676" s="247"/>
      <c r="O676" s="247"/>
      <c r="P676" s="247"/>
      <c r="Q676" s="247"/>
      <c r="R676" s="247"/>
      <c r="S676" s="247"/>
      <c r="T676" s="247"/>
      <c r="U676" s="247"/>
    </row>
    <row r="677" spans="1:21" ht="13" hidden="1" customHeight="1">
      <c r="A677" s="263"/>
      <c r="B677" s="247"/>
      <c r="C677" s="247"/>
      <c r="D677" s="287"/>
      <c r="E677" s="247"/>
      <c r="F677" s="288"/>
      <c r="G677" s="247"/>
      <c r="H677" s="247"/>
      <c r="I677" s="247"/>
      <c r="J677" s="247"/>
      <c r="K677" s="247"/>
      <c r="L677" s="247"/>
      <c r="M677" s="247"/>
      <c r="N677" s="247"/>
      <c r="O677" s="247"/>
      <c r="P677" s="247"/>
      <c r="Q677" s="247"/>
      <c r="R677" s="247"/>
      <c r="S677" s="247"/>
      <c r="T677" s="247"/>
      <c r="U677" s="247"/>
    </row>
    <row r="678" spans="1:21" ht="13" hidden="1" customHeight="1">
      <c r="A678" s="263"/>
      <c r="B678" s="247"/>
      <c r="C678" s="247"/>
      <c r="D678" s="287"/>
      <c r="E678" s="247"/>
      <c r="F678" s="288"/>
      <c r="G678" s="247"/>
      <c r="H678" s="247"/>
      <c r="I678" s="247"/>
      <c r="J678" s="247"/>
      <c r="K678" s="247"/>
      <c r="L678" s="247"/>
      <c r="M678" s="247"/>
      <c r="N678" s="247"/>
      <c r="O678" s="247"/>
      <c r="P678" s="247"/>
      <c r="Q678" s="247"/>
      <c r="R678" s="247"/>
      <c r="S678" s="247"/>
      <c r="T678" s="247"/>
      <c r="U678" s="247"/>
    </row>
    <row r="679" spans="1:21" ht="13" hidden="1" customHeight="1">
      <c r="A679" s="263"/>
      <c r="B679" s="247"/>
      <c r="C679" s="247"/>
      <c r="D679" s="287"/>
      <c r="E679" s="247"/>
      <c r="F679" s="288"/>
      <c r="G679" s="247"/>
      <c r="H679" s="247"/>
      <c r="I679" s="247"/>
      <c r="J679" s="247"/>
      <c r="K679" s="247"/>
      <c r="L679" s="247"/>
      <c r="M679" s="247"/>
      <c r="N679" s="247"/>
      <c r="O679" s="247"/>
      <c r="P679" s="247"/>
      <c r="Q679" s="247"/>
      <c r="R679" s="247"/>
      <c r="S679" s="247"/>
      <c r="T679" s="247"/>
      <c r="U679" s="247"/>
    </row>
    <row r="680" spans="1:21" ht="13" hidden="1" customHeight="1">
      <c r="A680" s="263"/>
      <c r="B680" s="247"/>
      <c r="C680" s="247"/>
      <c r="D680" s="287"/>
      <c r="E680" s="247"/>
      <c r="F680" s="288"/>
      <c r="G680" s="247"/>
      <c r="H680" s="247"/>
      <c r="I680" s="247"/>
      <c r="J680" s="247"/>
      <c r="K680" s="247"/>
      <c r="L680" s="247"/>
      <c r="M680" s="247"/>
      <c r="N680" s="247"/>
      <c r="O680" s="247"/>
      <c r="P680" s="247"/>
      <c r="Q680" s="247"/>
      <c r="R680" s="247"/>
      <c r="S680" s="247"/>
      <c r="T680" s="247"/>
      <c r="U680" s="247"/>
    </row>
    <row r="681" spans="1:21" ht="13" hidden="1" customHeight="1">
      <c r="A681" s="263"/>
      <c r="B681" s="247"/>
      <c r="C681" s="247"/>
      <c r="D681" s="287"/>
      <c r="E681" s="247"/>
      <c r="F681" s="288"/>
      <c r="G681" s="247"/>
      <c r="H681" s="247"/>
      <c r="I681" s="247"/>
      <c r="J681" s="247"/>
      <c r="K681" s="247"/>
      <c r="L681" s="247"/>
      <c r="M681" s="247"/>
      <c r="N681" s="247"/>
      <c r="O681" s="247"/>
      <c r="P681" s="247"/>
      <c r="Q681" s="247"/>
      <c r="R681" s="247"/>
      <c r="S681" s="247"/>
      <c r="T681" s="247"/>
      <c r="U681" s="247"/>
    </row>
    <row r="682" spans="1:21" ht="13" hidden="1" customHeight="1">
      <c r="A682" s="263"/>
      <c r="B682" s="247"/>
      <c r="C682" s="247"/>
      <c r="D682" s="287"/>
      <c r="E682" s="247"/>
      <c r="F682" s="288"/>
      <c r="G682" s="247"/>
      <c r="H682" s="247"/>
      <c r="I682" s="247"/>
      <c r="J682" s="247"/>
      <c r="K682" s="247"/>
      <c r="L682" s="247"/>
      <c r="M682" s="247"/>
      <c r="N682" s="247"/>
      <c r="O682" s="247"/>
      <c r="P682" s="247"/>
      <c r="Q682" s="247"/>
      <c r="R682" s="247"/>
      <c r="S682" s="247"/>
      <c r="T682" s="247"/>
      <c r="U682" s="247"/>
    </row>
    <row r="683" spans="1:21" ht="13" hidden="1" customHeight="1">
      <c r="A683" s="263"/>
      <c r="B683" s="247"/>
      <c r="C683" s="247"/>
      <c r="D683" s="287"/>
      <c r="E683" s="247"/>
      <c r="F683" s="288"/>
      <c r="G683" s="247"/>
      <c r="H683" s="247"/>
      <c r="I683" s="247"/>
      <c r="J683" s="247"/>
      <c r="K683" s="247"/>
      <c r="L683" s="247"/>
      <c r="M683" s="247"/>
      <c r="N683" s="247"/>
      <c r="O683" s="247"/>
      <c r="P683" s="247"/>
      <c r="Q683" s="247"/>
      <c r="R683" s="247"/>
      <c r="S683" s="247"/>
      <c r="T683" s="247"/>
      <c r="U683" s="247"/>
    </row>
    <row r="684" spans="1:21" ht="13" hidden="1" customHeight="1">
      <c r="A684" s="263"/>
      <c r="B684" s="247"/>
      <c r="C684" s="247"/>
      <c r="D684" s="287"/>
      <c r="E684" s="247"/>
      <c r="F684" s="288"/>
      <c r="G684" s="247"/>
      <c r="H684" s="247"/>
      <c r="I684" s="247"/>
      <c r="J684" s="247"/>
      <c r="K684" s="247"/>
      <c r="L684" s="247"/>
      <c r="M684" s="247"/>
      <c r="N684" s="247"/>
      <c r="O684" s="247"/>
      <c r="P684" s="247"/>
      <c r="Q684" s="247"/>
      <c r="R684" s="247"/>
      <c r="S684" s="247"/>
      <c r="T684" s="247"/>
      <c r="U684" s="247"/>
    </row>
    <row r="685" spans="1:21" ht="13" hidden="1" customHeight="1">
      <c r="A685" s="263"/>
      <c r="B685" s="247"/>
      <c r="C685" s="247"/>
      <c r="D685" s="287"/>
      <c r="E685" s="247"/>
      <c r="F685" s="288"/>
      <c r="G685" s="247"/>
      <c r="H685" s="247"/>
      <c r="I685" s="247"/>
      <c r="J685" s="247"/>
      <c r="K685" s="247"/>
      <c r="L685" s="247"/>
      <c r="M685" s="247"/>
      <c r="N685" s="247"/>
      <c r="O685" s="247"/>
      <c r="P685" s="247"/>
      <c r="Q685" s="247"/>
      <c r="R685" s="247"/>
      <c r="S685" s="247"/>
      <c r="T685" s="247"/>
      <c r="U685" s="247"/>
    </row>
    <row r="686" spans="1:21" ht="13" hidden="1" customHeight="1">
      <c r="A686" s="263"/>
      <c r="B686" s="247"/>
      <c r="C686" s="247"/>
      <c r="D686" s="287"/>
      <c r="E686" s="247"/>
      <c r="F686" s="288"/>
      <c r="G686" s="247"/>
      <c r="H686" s="247"/>
      <c r="I686" s="247"/>
      <c r="J686" s="247"/>
      <c r="K686" s="247"/>
      <c r="L686" s="247"/>
      <c r="M686" s="247"/>
      <c r="N686" s="247"/>
      <c r="O686" s="247"/>
      <c r="P686" s="247"/>
      <c r="Q686" s="247"/>
      <c r="R686" s="247"/>
      <c r="S686" s="247"/>
      <c r="T686" s="247"/>
      <c r="U686" s="247"/>
    </row>
    <row r="687" spans="1:21" ht="13" hidden="1" customHeight="1">
      <c r="A687" s="263"/>
      <c r="B687" s="247"/>
      <c r="C687" s="247"/>
      <c r="D687" s="287"/>
      <c r="E687" s="247"/>
      <c r="F687" s="288"/>
      <c r="G687" s="247"/>
      <c r="H687" s="247"/>
      <c r="I687" s="247"/>
      <c r="J687" s="247"/>
      <c r="K687" s="247"/>
      <c r="L687" s="247"/>
      <c r="M687" s="247"/>
      <c r="N687" s="247"/>
      <c r="O687" s="247"/>
      <c r="P687" s="247"/>
      <c r="Q687" s="247"/>
      <c r="R687" s="247"/>
      <c r="S687" s="247"/>
      <c r="T687" s="247"/>
      <c r="U687" s="247"/>
    </row>
    <row r="688" spans="1:21" ht="13" hidden="1" customHeight="1">
      <c r="A688" s="263"/>
      <c r="B688" s="247"/>
      <c r="C688" s="247"/>
      <c r="D688" s="287"/>
      <c r="E688" s="247"/>
      <c r="F688" s="288"/>
      <c r="G688" s="247"/>
      <c r="H688" s="247"/>
      <c r="I688" s="247"/>
      <c r="J688" s="247"/>
      <c r="K688" s="247"/>
      <c r="L688" s="247"/>
      <c r="M688" s="247"/>
      <c r="N688" s="247"/>
      <c r="O688" s="247"/>
      <c r="P688" s="247"/>
      <c r="Q688" s="247"/>
      <c r="R688" s="247"/>
      <c r="S688" s="247"/>
      <c r="T688" s="247"/>
      <c r="U688" s="247"/>
    </row>
    <row r="689" spans="1:21" ht="13" hidden="1" customHeight="1">
      <c r="A689" s="263"/>
      <c r="B689" s="247"/>
      <c r="C689" s="247"/>
      <c r="D689" s="287"/>
      <c r="E689" s="247"/>
      <c r="F689" s="288"/>
      <c r="G689" s="247"/>
      <c r="H689" s="247"/>
      <c r="I689" s="247"/>
      <c r="J689" s="247"/>
      <c r="K689" s="247"/>
      <c r="L689" s="247"/>
      <c r="M689" s="247"/>
      <c r="N689" s="247"/>
      <c r="O689" s="247"/>
      <c r="P689" s="247"/>
      <c r="Q689" s="247"/>
      <c r="R689" s="247"/>
      <c r="S689" s="247"/>
      <c r="T689" s="247"/>
      <c r="U689" s="247"/>
    </row>
    <row r="690" spans="1:21" ht="13" hidden="1" customHeight="1">
      <c r="A690" s="263"/>
      <c r="B690" s="247"/>
      <c r="C690" s="247"/>
      <c r="D690" s="287"/>
      <c r="E690" s="247"/>
      <c r="F690" s="288"/>
      <c r="G690" s="247"/>
      <c r="H690" s="247"/>
      <c r="I690" s="247"/>
      <c r="J690" s="247"/>
      <c r="K690" s="247"/>
      <c r="L690" s="247"/>
      <c r="M690" s="247"/>
      <c r="N690" s="247"/>
      <c r="O690" s="247"/>
      <c r="P690" s="247"/>
      <c r="Q690" s="247"/>
      <c r="R690" s="247"/>
      <c r="S690" s="247"/>
      <c r="T690" s="247"/>
      <c r="U690" s="247"/>
    </row>
    <row r="691" spans="1:21" ht="13" hidden="1" customHeight="1">
      <c r="A691" s="263"/>
      <c r="B691" s="247"/>
      <c r="C691" s="247"/>
      <c r="D691" s="287"/>
      <c r="E691" s="247"/>
      <c r="F691" s="288"/>
      <c r="G691" s="247"/>
      <c r="H691" s="247"/>
      <c r="I691" s="247"/>
      <c r="J691" s="247"/>
      <c r="K691" s="247"/>
      <c r="L691" s="247"/>
      <c r="M691" s="247"/>
      <c r="N691" s="247"/>
      <c r="O691" s="247"/>
      <c r="P691" s="247"/>
      <c r="Q691" s="247"/>
      <c r="R691" s="247"/>
      <c r="S691" s="247"/>
      <c r="T691" s="247"/>
      <c r="U691" s="247"/>
    </row>
    <row r="692" spans="1:21" ht="13" hidden="1" customHeight="1">
      <c r="A692" s="263"/>
      <c r="B692" s="247"/>
      <c r="C692" s="247"/>
      <c r="D692" s="287"/>
      <c r="E692" s="247"/>
      <c r="F692" s="288"/>
      <c r="G692" s="247"/>
      <c r="H692" s="247"/>
      <c r="I692" s="247"/>
      <c r="J692" s="247"/>
      <c r="K692" s="247"/>
      <c r="L692" s="247"/>
      <c r="M692" s="247"/>
      <c r="N692" s="247"/>
      <c r="O692" s="247"/>
      <c r="P692" s="247"/>
      <c r="Q692" s="247"/>
      <c r="R692" s="247"/>
      <c r="S692" s="247"/>
      <c r="T692" s="247"/>
      <c r="U692" s="247"/>
    </row>
    <row r="693" spans="1:21" ht="13" hidden="1" customHeight="1">
      <c r="A693" s="263"/>
      <c r="B693" s="247"/>
      <c r="C693" s="247"/>
      <c r="D693" s="287"/>
      <c r="E693" s="247"/>
      <c r="F693" s="288"/>
      <c r="G693" s="247"/>
      <c r="H693" s="247"/>
      <c r="I693" s="247"/>
      <c r="J693" s="247"/>
      <c r="K693" s="247"/>
      <c r="L693" s="247"/>
      <c r="M693" s="247"/>
      <c r="N693" s="247"/>
      <c r="O693" s="247"/>
      <c r="P693" s="247"/>
      <c r="Q693" s="247"/>
      <c r="R693" s="247"/>
      <c r="S693" s="247"/>
      <c r="T693" s="247"/>
      <c r="U693" s="247"/>
    </row>
    <row r="694" spans="1:21" ht="13" hidden="1" customHeight="1">
      <c r="A694" s="263"/>
      <c r="B694" s="247"/>
      <c r="C694" s="247"/>
      <c r="D694" s="287"/>
      <c r="E694" s="247"/>
      <c r="F694" s="288"/>
      <c r="G694" s="247"/>
      <c r="H694" s="247"/>
      <c r="I694" s="247"/>
      <c r="J694" s="247"/>
      <c r="K694" s="247"/>
      <c r="L694" s="247"/>
      <c r="M694" s="247"/>
      <c r="N694" s="247"/>
      <c r="O694" s="247"/>
      <c r="P694" s="247"/>
      <c r="Q694" s="247"/>
      <c r="R694" s="247"/>
      <c r="S694" s="247"/>
      <c r="T694" s="247"/>
      <c r="U694" s="247"/>
    </row>
    <row r="695" spans="1:21" ht="13" hidden="1" customHeight="1">
      <c r="A695" s="263"/>
      <c r="B695" s="247"/>
      <c r="C695" s="247"/>
      <c r="D695" s="287"/>
      <c r="E695" s="247"/>
      <c r="F695" s="288"/>
      <c r="G695" s="247"/>
      <c r="H695" s="247"/>
      <c r="I695" s="247"/>
      <c r="J695" s="247"/>
      <c r="K695" s="247"/>
      <c r="L695" s="247"/>
      <c r="M695" s="247"/>
      <c r="N695" s="247"/>
      <c r="O695" s="247"/>
      <c r="P695" s="247"/>
      <c r="Q695" s="247"/>
      <c r="R695" s="247"/>
      <c r="S695" s="247"/>
      <c r="T695" s="247"/>
      <c r="U695" s="247"/>
    </row>
    <row r="696" spans="1:21" ht="13" hidden="1" customHeight="1">
      <c r="A696" s="263"/>
      <c r="B696" s="247"/>
      <c r="C696" s="247"/>
      <c r="D696" s="287"/>
      <c r="E696" s="247"/>
      <c r="F696" s="288"/>
      <c r="G696" s="247"/>
      <c r="H696" s="247"/>
      <c r="I696" s="247"/>
      <c r="J696" s="247"/>
      <c r="K696" s="247"/>
      <c r="L696" s="247"/>
      <c r="M696" s="247"/>
      <c r="N696" s="247"/>
      <c r="O696" s="247"/>
      <c r="P696" s="247"/>
      <c r="Q696" s="247"/>
      <c r="R696" s="247"/>
      <c r="S696" s="247"/>
      <c r="T696" s="247"/>
      <c r="U696" s="247"/>
    </row>
    <row r="697" spans="1:21" ht="13" hidden="1" customHeight="1">
      <c r="A697" s="263"/>
      <c r="B697" s="247"/>
      <c r="C697" s="247"/>
      <c r="D697" s="287"/>
      <c r="E697" s="247"/>
      <c r="F697" s="288"/>
      <c r="G697" s="247"/>
      <c r="H697" s="247"/>
      <c r="I697" s="247"/>
      <c r="J697" s="247"/>
      <c r="K697" s="247"/>
      <c r="L697" s="247"/>
      <c r="M697" s="247"/>
      <c r="N697" s="247"/>
      <c r="O697" s="247"/>
      <c r="P697" s="247"/>
      <c r="Q697" s="247"/>
      <c r="R697" s="247"/>
      <c r="S697" s="247"/>
      <c r="T697" s="247"/>
      <c r="U697" s="247"/>
    </row>
    <row r="698" spans="1:21" ht="13" hidden="1" customHeight="1">
      <c r="A698" s="263"/>
      <c r="B698" s="247"/>
      <c r="C698" s="247"/>
      <c r="D698" s="287"/>
      <c r="E698" s="247"/>
      <c r="F698" s="288"/>
      <c r="G698" s="247"/>
      <c r="H698" s="247"/>
      <c r="I698" s="247"/>
      <c r="J698" s="247"/>
      <c r="K698" s="247"/>
      <c r="L698" s="247"/>
      <c r="M698" s="247"/>
      <c r="N698" s="247"/>
      <c r="O698" s="247"/>
      <c r="P698" s="247"/>
      <c r="Q698" s="247"/>
      <c r="R698" s="247"/>
      <c r="S698" s="247"/>
      <c r="T698" s="247"/>
      <c r="U698" s="247"/>
    </row>
    <row r="699" spans="1:21" ht="13" hidden="1" customHeight="1">
      <c r="A699" s="263"/>
      <c r="B699" s="247"/>
      <c r="C699" s="247"/>
      <c r="D699" s="287"/>
      <c r="E699" s="247"/>
      <c r="F699" s="288"/>
      <c r="G699" s="247"/>
      <c r="H699" s="247"/>
      <c r="I699" s="247"/>
      <c r="J699" s="247"/>
      <c r="K699" s="247"/>
      <c r="L699" s="247"/>
      <c r="M699" s="247"/>
      <c r="N699" s="247"/>
      <c r="O699" s="247"/>
      <c r="P699" s="247"/>
      <c r="Q699" s="247"/>
      <c r="R699" s="247"/>
      <c r="S699" s="247"/>
      <c r="T699" s="247"/>
      <c r="U699" s="247"/>
    </row>
    <row r="700" spans="1:21" ht="13" hidden="1" customHeight="1">
      <c r="A700" s="263"/>
      <c r="B700" s="247"/>
      <c r="C700" s="247"/>
      <c r="D700" s="287"/>
      <c r="E700" s="247"/>
      <c r="F700" s="288"/>
      <c r="G700" s="247"/>
      <c r="H700" s="247"/>
      <c r="I700" s="247"/>
      <c r="J700" s="247"/>
      <c r="K700" s="247"/>
      <c r="L700" s="247"/>
      <c r="M700" s="247"/>
      <c r="N700" s="247"/>
      <c r="O700" s="247"/>
      <c r="P700" s="247"/>
      <c r="Q700" s="247"/>
      <c r="R700" s="247"/>
      <c r="S700" s="247"/>
      <c r="T700" s="247"/>
      <c r="U700" s="247"/>
    </row>
    <row r="701" spans="1:21" ht="13" hidden="1" customHeight="1">
      <c r="A701" s="263"/>
      <c r="B701" s="247"/>
      <c r="C701" s="247"/>
      <c r="D701" s="287"/>
      <c r="E701" s="247"/>
      <c r="F701" s="288"/>
      <c r="G701" s="247"/>
      <c r="H701" s="247"/>
      <c r="I701" s="247"/>
      <c r="J701" s="247"/>
      <c r="K701" s="247"/>
      <c r="L701" s="247"/>
      <c r="M701" s="247"/>
      <c r="N701" s="247"/>
      <c r="O701" s="247"/>
      <c r="P701" s="247"/>
      <c r="Q701" s="247"/>
      <c r="R701" s="247"/>
      <c r="S701" s="247"/>
      <c r="T701" s="247"/>
      <c r="U701" s="247"/>
    </row>
    <row r="702" spans="1:21" ht="13" hidden="1" customHeight="1">
      <c r="A702" s="263"/>
      <c r="B702" s="247"/>
      <c r="C702" s="247"/>
      <c r="D702" s="287"/>
      <c r="E702" s="247"/>
      <c r="F702" s="288"/>
      <c r="G702" s="247"/>
      <c r="H702" s="247"/>
      <c r="I702" s="247"/>
      <c r="J702" s="247"/>
      <c r="K702" s="247"/>
      <c r="L702" s="247"/>
      <c r="M702" s="247"/>
      <c r="N702" s="247"/>
      <c r="O702" s="247"/>
      <c r="P702" s="247"/>
      <c r="Q702" s="247"/>
      <c r="R702" s="247"/>
      <c r="S702" s="247"/>
      <c r="T702" s="247"/>
      <c r="U702" s="247"/>
    </row>
    <row r="703" spans="1:21" ht="13" hidden="1" customHeight="1">
      <c r="A703" s="263"/>
      <c r="B703" s="247"/>
      <c r="C703" s="247"/>
      <c r="D703" s="287"/>
      <c r="E703" s="247"/>
      <c r="F703" s="288"/>
      <c r="G703" s="247"/>
      <c r="H703" s="247"/>
      <c r="I703" s="247"/>
      <c r="J703" s="247"/>
      <c r="K703" s="247"/>
      <c r="L703" s="247"/>
      <c r="M703" s="247"/>
      <c r="N703" s="247"/>
      <c r="O703" s="247"/>
      <c r="P703" s="247"/>
      <c r="Q703" s="247"/>
      <c r="R703" s="247"/>
      <c r="S703" s="247"/>
      <c r="T703" s="247"/>
      <c r="U703" s="247"/>
    </row>
    <row r="704" spans="1:21" ht="13" hidden="1" customHeight="1">
      <c r="A704" s="263"/>
      <c r="B704" s="247"/>
      <c r="C704" s="247"/>
      <c r="D704" s="287"/>
      <c r="E704" s="247"/>
      <c r="F704" s="288"/>
      <c r="G704" s="247"/>
      <c r="H704" s="247"/>
      <c r="I704" s="247"/>
      <c r="J704" s="247"/>
      <c r="K704" s="247"/>
      <c r="L704" s="247"/>
      <c r="M704" s="247"/>
      <c r="N704" s="247"/>
      <c r="O704" s="247"/>
      <c r="P704" s="247"/>
      <c r="Q704" s="247"/>
      <c r="R704" s="247"/>
      <c r="S704" s="247"/>
      <c r="T704" s="247"/>
      <c r="U704" s="247"/>
    </row>
    <row r="705" spans="1:21" ht="13" hidden="1" customHeight="1">
      <c r="A705" s="263"/>
      <c r="B705" s="247"/>
      <c r="C705" s="247"/>
      <c r="D705" s="287"/>
      <c r="E705" s="247"/>
      <c r="F705" s="288"/>
      <c r="G705" s="247"/>
      <c r="H705" s="247"/>
      <c r="I705" s="247"/>
      <c r="J705" s="247"/>
      <c r="K705" s="247"/>
      <c r="L705" s="247"/>
      <c r="M705" s="247"/>
      <c r="N705" s="247"/>
      <c r="O705" s="247"/>
      <c r="P705" s="247"/>
      <c r="Q705" s="247"/>
      <c r="R705" s="247"/>
      <c r="S705" s="247"/>
      <c r="T705" s="247"/>
      <c r="U705" s="247"/>
    </row>
    <row r="706" spans="1:21" ht="13" hidden="1" customHeight="1">
      <c r="A706" s="263"/>
      <c r="B706" s="247"/>
      <c r="C706" s="247"/>
      <c r="D706" s="287"/>
      <c r="E706" s="247"/>
      <c r="F706" s="288"/>
      <c r="G706" s="247"/>
      <c r="H706" s="247"/>
      <c r="I706" s="247"/>
      <c r="J706" s="247"/>
      <c r="K706" s="247"/>
      <c r="L706" s="247"/>
      <c r="M706" s="247"/>
      <c r="N706" s="247"/>
      <c r="O706" s="247"/>
      <c r="P706" s="247"/>
      <c r="Q706" s="247"/>
      <c r="R706" s="247"/>
      <c r="S706" s="247"/>
      <c r="T706" s="247"/>
      <c r="U706" s="247"/>
    </row>
    <row r="707" spans="1:21" ht="13" hidden="1" customHeight="1">
      <c r="A707" s="263"/>
      <c r="B707" s="247"/>
      <c r="C707" s="247"/>
      <c r="D707" s="287"/>
      <c r="E707" s="247"/>
      <c r="F707" s="288"/>
      <c r="G707" s="247"/>
      <c r="H707" s="247"/>
      <c r="I707" s="247"/>
      <c r="J707" s="247"/>
      <c r="K707" s="247"/>
      <c r="L707" s="247"/>
      <c r="M707" s="247"/>
      <c r="N707" s="247"/>
      <c r="O707" s="247"/>
      <c r="P707" s="247"/>
      <c r="Q707" s="247"/>
      <c r="R707" s="247"/>
      <c r="S707" s="247"/>
      <c r="T707" s="247"/>
      <c r="U707" s="247"/>
    </row>
    <row r="708" spans="1:21" ht="13" hidden="1" customHeight="1">
      <c r="A708" s="263"/>
      <c r="B708" s="247"/>
      <c r="C708" s="247"/>
      <c r="D708" s="287"/>
      <c r="E708" s="247"/>
      <c r="F708" s="288"/>
      <c r="G708" s="247"/>
      <c r="H708" s="247"/>
      <c r="I708" s="247"/>
      <c r="J708" s="247"/>
      <c r="K708" s="247"/>
      <c r="L708" s="247"/>
      <c r="M708" s="247"/>
      <c r="N708" s="247"/>
      <c r="O708" s="247"/>
      <c r="P708" s="247"/>
      <c r="Q708" s="247"/>
      <c r="R708" s="247"/>
      <c r="S708" s="247"/>
      <c r="T708" s="247"/>
      <c r="U708" s="247"/>
    </row>
    <row r="709" spans="1:21" ht="13" hidden="1" customHeight="1">
      <c r="A709" s="263"/>
      <c r="B709" s="247"/>
      <c r="C709" s="247"/>
      <c r="D709" s="287"/>
      <c r="E709" s="247"/>
      <c r="F709" s="288"/>
      <c r="G709" s="247"/>
      <c r="H709" s="247"/>
      <c r="I709" s="247"/>
      <c r="J709" s="247"/>
      <c r="K709" s="247"/>
      <c r="L709" s="247"/>
      <c r="M709" s="247"/>
      <c r="N709" s="247"/>
      <c r="O709" s="247"/>
      <c r="P709" s="247"/>
      <c r="Q709" s="247"/>
      <c r="R709" s="247"/>
      <c r="S709" s="247"/>
      <c r="T709" s="247"/>
      <c r="U709" s="247"/>
    </row>
    <row r="710" spans="1:21" ht="13" hidden="1" customHeight="1">
      <c r="A710" s="263"/>
      <c r="B710" s="247"/>
      <c r="C710" s="247"/>
      <c r="D710" s="287"/>
      <c r="E710" s="247"/>
      <c r="F710" s="288"/>
      <c r="G710" s="247"/>
      <c r="H710" s="247"/>
      <c r="I710" s="247"/>
      <c r="J710" s="247"/>
      <c r="K710" s="247"/>
      <c r="L710" s="247"/>
      <c r="M710" s="247"/>
      <c r="N710" s="247"/>
      <c r="O710" s="247"/>
      <c r="P710" s="247"/>
      <c r="Q710" s="247"/>
      <c r="R710" s="247"/>
      <c r="S710" s="247"/>
      <c r="T710" s="247"/>
      <c r="U710" s="247"/>
    </row>
    <row r="711" spans="1:21" ht="13" hidden="1" customHeight="1">
      <c r="A711" s="263"/>
      <c r="B711" s="247"/>
      <c r="C711" s="247"/>
      <c r="D711" s="287"/>
      <c r="E711" s="247"/>
      <c r="F711" s="288"/>
      <c r="G711" s="247"/>
      <c r="H711" s="247"/>
      <c r="I711" s="247"/>
      <c r="J711" s="247"/>
      <c r="K711" s="247"/>
      <c r="L711" s="247"/>
      <c r="M711" s="247"/>
      <c r="N711" s="247"/>
      <c r="O711" s="247"/>
      <c r="P711" s="247"/>
      <c r="Q711" s="247"/>
      <c r="R711" s="247"/>
      <c r="S711" s="247"/>
      <c r="T711" s="247"/>
      <c r="U711" s="247"/>
    </row>
    <row r="712" spans="1:21" ht="13" hidden="1" customHeight="1">
      <c r="A712" s="263"/>
      <c r="B712" s="247"/>
      <c r="C712" s="247"/>
      <c r="D712" s="287"/>
      <c r="E712" s="247"/>
      <c r="F712" s="288"/>
      <c r="G712" s="247"/>
      <c r="H712" s="247"/>
      <c r="I712" s="247"/>
      <c r="J712" s="247"/>
      <c r="K712" s="247"/>
      <c r="L712" s="247"/>
      <c r="M712" s="247"/>
      <c r="N712" s="247"/>
      <c r="O712" s="247"/>
      <c r="P712" s="247"/>
      <c r="Q712" s="247"/>
      <c r="R712" s="247"/>
      <c r="S712" s="247"/>
      <c r="T712" s="247"/>
      <c r="U712" s="247"/>
    </row>
    <row r="713" spans="1:21" ht="13" hidden="1" customHeight="1">
      <c r="A713" s="263"/>
      <c r="B713" s="247"/>
      <c r="C713" s="247"/>
      <c r="D713" s="287"/>
      <c r="E713" s="247"/>
      <c r="F713" s="288"/>
      <c r="G713" s="247"/>
      <c r="H713" s="247"/>
      <c r="I713" s="247"/>
      <c r="J713" s="247"/>
      <c r="K713" s="247"/>
      <c r="L713" s="247"/>
      <c r="M713" s="247"/>
      <c r="N713" s="247"/>
      <c r="O713" s="247"/>
      <c r="P713" s="247"/>
      <c r="Q713" s="247"/>
      <c r="R713" s="247"/>
      <c r="S713" s="247"/>
      <c r="T713" s="247"/>
      <c r="U713" s="247"/>
    </row>
    <row r="714" spans="1:21" ht="13" hidden="1" customHeight="1">
      <c r="A714" s="263"/>
      <c r="B714" s="247"/>
      <c r="C714" s="247"/>
      <c r="D714" s="287"/>
      <c r="E714" s="247"/>
      <c r="F714" s="288"/>
      <c r="G714" s="247"/>
      <c r="H714" s="247"/>
      <c r="I714" s="247"/>
      <c r="J714" s="247"/>
      <c r="K714" s="247"/>
      <c r="L714" s="247"/>
      <c r="M714" s="247"/>
      <c r="N714" s="247"/>
      <c r="O714" s="247"/>
      <c r="P714" s="247"/>
      <c r="Q714" s="247"/>
      <c r="R714" s="247"/>
      <c r="S714" s="247"/>
      <c r="T714" s="247"/>
      <c r="U714" s="247"/>
    </row>
    <row r="715" spans="1:21" ht="13" hidden="1" customHeight="1">
      <c r="A715" s="263"/>
      <c r="B715" s="247"/>
      <c r="C715" s="247"/>
      <c r="D715" s="287"/>
      <c r="E715" s="247"/>
      <c r="F715" s="288"/>
      <c r="G715" s="247"/>
      <c r="H715" s="247"/>
      <c r="I715" s="247"/>
      <c r="J715" s="247"/>
      <c r="K715" s="247"/>
      <c r="L715" s="247"/>
      <c r="M715" s="247"/>
      <c r="N715" s="247"/>
      <c r="O715" s="247"/>
      <c r="P715" s="247"/>
      <c r="Q715" s="247"/>
      <c r="R715" s="247"/>
      <c r="S715" s="247"/>
      <c r="T715" s="247"/>
      <c r="U715" s="247"/>
    </row>
    <row r="716" spans="1:21" ht="13" hidden="1" customHeight="1">
      <c r="A716" s="263"/>
      <c r="B716" s="247"/>
      <c r="C716" s="247"/>
      <c r="D716" s="287"/>
      <c r="E716" s="247"/>
      <c r="F716" s="288"/>
      <c r="G716" s="247"/>
      <c r="H716" s="247"/>
      <c r="I716" s="247"/>
      <c r="J716" s="247"/>
      <c r="K716" s="247"/>
      <c r="L716" s="247"/>
      <c r="M716" s="247"/>
      <c r="N716" s="247"/>
      <c r="O716" s="247"/>
      <c r="P716" s="247"/>
      <c r="Q716" s="247"/>
      <c r="R716" s="247"/>
      <c r="S716" s="247"/>
      <c r="T716" s="247"/>
      <c r="U716" s="247"/>
    </row>
    <row r="717" spans="1:21" ht="13" hidden="1" customHeight="1">
      <c r="A717" s="263"/>
      <c r="B717" s="247"/>
      <c r="C717" s="247"/>
      <c r="D717" s="287"/>
      <c r="E717" s="247"/>
      <c r="F717" s="288"/>
      <c r="G717" s="247"/>
      <c r="H717" s="247"/>
      <c r="I717" s="247"/>
      <c r="J717" s="247"/>
      <c r="K717" s="247"/>
      <c r="L717" s="247"/>
      <c r="M717" s="247"/>
      <c r="N717" s="247"/>
      <c r="O717" s="247"/>
      <c r="P717" s="247"/>
      <c r="Q717" s="247"/>
      <c r="R717" s="247"/>
      <c r="S717" s="247"/>
      <c r="T717" s="247"/>
      <c r="U717" s="247"/>
    </row>
    <row r="718" spans="1:21" ht="13" hidden="1" customHeight="1">
      <c r="A718" s="263"/>
      <c r="B718" s="247"/>
      <c r="C718" s="247"/>
      <c r="D718" s="287"/>
      <c r="E718" s="247"/>
      <c r="F718" s="288"/>
      <c r="G718" s="247"/>
      <c r="H718" s="247"/>
      <c r="I718" s="247"/>
      <c r="J718" s="247"/>
      <c r="K718" s="247"/>
      <c r="L718" s="247"/>
      <c r="M718" s="247"/>
      <c r="N718" s="247"/>
      <c r="O718" s="247"/>
      <c r="P718" s="247"/>
      <c r="Q718" s="247"/>
      <c r="R718" s="247"/>
      <c r="S718" s="247"/>
      <c r="T718" s="247"/>
      <c r="U718" s="247"/>
    </row>
    <row r="719" spans="1:21" ht="13" hidden="1" customHeight="1">
      <c r="A719" s="263"/>
      <c r="B719" s="247"/>
      <c r="C719" s="247"/>
      <c r="D719" s="287"/>
      <c r="E719" s="247"/>
      <c r="F719" s="288"/>
      <c r="G719" s="247"/>
      <c r="H719" s="247"/>
      <c r="I719" s="247"/>
      <c r="J719" s="247"/>
      <c r="K719" s="247"/>
      <c r="L719" s="247"/>
      <c r="M719" s="247"/>
      <c r="N719" s="247"/>
      <c r="O719" s="247"/>
      <c r="P719" s="247"/>
      <c r="Q719" s="247"/>
      <c r="R719" s="247"/>
      <c r="S719" s="247"/>
      <c r="T719" s="247"/>
      <c r="U719" s="247"/>
    </row>
    <row r="720" spans="1:21" ht="13" hidden="1" customHeight="1">
      <c r="A720" s="263"/>
      <c r="B720" s="247"/>
      <c r="C720" s="247"/>
      <c r="D720" s="287"/>
      <c r="E720" s="247"/>
      <c r="F720" s="288"/>
      <c r="G720" s="247"/>
      <c r="H720" s="247"/>
      <c r="I720" s="247"/>
      <c r="J720" s="247"/>
      <c r="K720" s="247"/>
      <c r="L720" s="247"/>
      <c r="M720" s="247"/>
      <c r="N720" s="247"/>
      <c r="O720" s="247"/>
      <c r="P720" s="247"/>
      <c r="Q720" s="247"/>
      <c r="R720" s="247"/>
      <c r="S720" s="247"/>
      <c r="T720" s="247"/>
      <c r="U720" s="247"/>
    </row>
    <row r="721" spans="1:21" ht="13" hidden="1" customHeight="1">
      <c r="A721" s="263"/>
      <c r="B721" s="247"/>
      <c r="C721" s="247"/>
      <c r="D721" s="287"/>
      <c r="E721" s="247"/>
      <c r="F721" s="288"/>
      <c r="G721" s="247"/>
      <c r="H721" s="247"/>
      <c r="I721" s="247"/>
      <c r="J721" s="247"/>
      <c r="K721" s="247"/>
      <c r="L721" s="247"/>
      <c r="M721" s="247"/>
      <c r="N721" s="247"/>
      <c r="O721" s="247"/>
      <c r="P721" s="247"/>
      <c r="Q721" s="247"/>
      <c r="R721" s="247"/>
      <c r="S721" s="247"/>
      <c r="T721" s="247"/>
      <c r="U721" s="247"/>
    </row>
    <row r="722" spans="1:21" ht="13" hidden="1" customHeight="1">
      <c r="A722" s="263"/>
      <c r="B722" s="247"/>
      <c r="C722" s="247"/>
      <c r="D722" s="287"/>
      <c r="E722" s="247"/>
      <c r="F722" s="288"/>
      <c r="G722" s="247"/>
      <c r="H722" s="247"/>
      <c r="I722" s="247"/>
      <c r="J722" s="247"/>
      <c r="K722" s="247"/>
      <c r="L722" s="247"/>
      <c r="M722" s="247"/>
      <c r="N722" s="247"/>
      <c r="O722" s="247"/>
      <c r="P722" s="247"/>
      <c r="Q722" s="247"/>
      <c r="R722" s="247"/>
      <c r="S722" s="247"/>
      <c r="T722" s="247"/>
      <c r="U722" s="247"/>
    </row>
    <row r="723" spans="1:21" ht="13" hidden="1" customHeight="1">
      <c r="A723" s="263"/>
      <c r="B723" s="247"/>
      <c r="C723" s="247"/>
      <c r="D723" s="287"/>
      <c r="E723" s="247"/>
      <c r="F723" s="288"/>
      <c r="G723" s="247"/>
      <c r="H723" s="247"/>
      <c r="I723" s="247"/>
      <c r="J723" s="247"/>
      <c r="K723" s="247"/>
      <c r="L723" s="247"/>
      <c r="M723" s="247"/>
      <c r="N723" s="247"/>
      <c r="O723" s="247"/>
      <c r="P723" s="247"/>
      <c r="Q723" s="247"/>
      <c r="R723" s="247"/>
      <c r="S723" s="247"/>
      <c r="T723" s="247"/>
      <c r="U723" s="247"/>
    </row>
    <row r="724" spans="1:21" ht="13" hidden="1" customHeight="1">
      <c r="A724" s="263"/>
      <c r="B724" s="247"/>
      <c r="C724" s="247"/>
      <c r="D724" s="287"/>
      <c r="E724" s="247"/>
      <c r="F724" s="288"/>
      <c r="G724" s="247"/>
      <c r="H724" s="247"/>
      <c r="I724" s="247"/>
      <c r="J724" s="247"/>
      <c r="K724" s="247"/>
      <c r="L724" s="247"/>
      <c r="M724" s="247"/>
      <c r="N724" s="247"/>
      <c r="O724" s="247"/>
      <c r="P724" s="247"/>
      <c r="Q724" s="247"/>
      <c r="R724" s="247"/>
      <c r="S724" s="247"/>
      <c r="T724" s="247"/>
      <c r="U724" s="247"/>
    </row>
    <row r="725" spans="1:21" ht="13" hidden="1" customHeight="1">
      <c r="A725" s="263"/>
      <c r="B725" s="247"/>
      <c r="C725" s="247"/>
      <c r="D725" s="287"/>
      <c r="E725" s="247"/>
      <c r="F725" s="288"/>
      <c r="G725" s="247"/>
      <c r="H725" s="247"/>
      <c r="I725" s="247"/>
      <c r="J725" s="247"/>
      <c r="K725" s="247"/>
      <c r="L725" s="247"/>
      <c r="M725" s="247"/>
      <c r="N725" s="247"/>
      <c r="O725" s="247"/>
      <c r="P725" s="247"/>
      <c r="Q725" s="247"/>
      <c r="R725" s="247"/>
      <c r="S725" s="247"/>
      <c r="T725" s="247"/>
      <c r="U725" s="247"/>
    </row>
    <row r="726" spans="1:21" ht="13" hidden="1" customHeight="1">
      <c r="A726" s="263"/>
      <c r="B726" s="247"/>
      <c r="C726" s="247"/>
      <c r="D726" s="287"/>
      <c r="E726" s="247"/>
      <c r="F726" s="288"/>
      <c r="G726" s="247"/>
      <c r="H726" s="247"/>
      <c r="I726" s="247"/>
      <c r="J726" s="247"/>
      <c r="K726" s="247"/>
      <c r="L726" s="247"/>
      <c r="M726" s="247"/>
      <c r="N726" s="247"/>
      <c r="O726" s="247"/>
      <c r="P726" s="247"/>
      <c r="Q726" s="247"/>
      <c r="R726" s="247"/>
      <c r="S726" s="247"/>
      <c r="T726" s="247"/>
      <c r="U726" s="247"/>
    </row>
    <row r="727" spans="1:21" ht="13" hidden="1" customHeight="1">
      <c r="A727" s="263"/>
      <c r="B727" s="247"/>
      <c r="C727" s="247"/>
      <c r="D727" s="287"/>
      <c r="E727" s="247"/>
      <c r="F727" s="288"/>
      <c r="G727" s="247"/>
      <c r="H727" s="247"/>
      <c r="I727" s="247"/>
      <c r="J727" s="247"/>
      <c r="K727" s="247"/>
      <c r="L727" s="247"/>
      <c r="M727" s="247"/>
      <c r="N727" s="247"/>
      <c r="O727" s="247"/>
      <c r="P727" s="247"/>
      <c r="Q727" s="247"/>
      <c r="R727" s="247"/>
      <c r="S727" s="247"/>
      <c r="T727" s="247"/>
      <c r="U727" s="247"/>
    </row>
    <row r="728" spans="1:21" ht="13" hidden="1" customHeight="1">
      <c r="A728" s="263"/>
      <c r="B728" s="247"/>
      <c r="C728" s="247"/>
      <c r="D728" s="287"/>
      <c r="E728" s="247"/>
      <c r="F728" s="288"/>
      <c r="G728" s="247"/>
      <c r="H728" s="247"/>
      <c r="I728" s="247"/>
      <c r="J728" s="247"/>
      <c r="K728" s="247"/>
      <c r="L728" s="247"/>
      <c r="M728" s="247"/>
      <c r="N728" s="247"/>
      <c r="O728" s="247"/>
      <c r="P728" s="247"/>
      <c r="Q728" s="247"/>
      <c r="R728" s="247"/>
      <c r="S728" s="247"/>
      <c r="T728" s="247"/>
      <c r="U728" s="247"/>
    </row>
    <row r="729" spans="1:21" ht="13" hidden="1" customHeight="1">
      <c r="A729" s="263"/>
      <c r="B729" s="247"/>
      <c r="C729" s="247"/>
      <c r="D729" s="287"/>
      <c r="E729" s="247"/>
      <c r="F729" s="288"/>
      <c r="G729" s="247"/>
      <c r="H729" s="247"/>
      <c r="I729" s="247"/>
      <c r="J729" s="247"/>
      <c r="K729" s="247"/>
      <c r="L729" s="247"/>
      <c r="M729" s="247"/>
      <c r="N729" s="247"/>
      <c r="O729" s="247"/>
      <c r="P729" s="247"/>
      <c r="Q729" s="247"/>
      <c r="R729" s="247"/>
      <c r="S729" s="247"/>
      <c r="T729" s="247"/>
      <c r="U729" s="247"/>
    </row>
    <row r="730" spans="1:21" ht="13" hidden="1" customHeight="1">
      <c r="A730" s="263"/>
      <c r="B730" s="247"/>
      <c r="C730" s="247"/>
      <c r="D730" s="287"/>
      <c r="E730" s="247"/>
      <c r="F730" s="288"/>
      <c r="G730" s="247"/>
      <c r="H730" s="247"/>
      <c r="I730" s="247"/>
      <c r="J730" s="247"/>
      <c r="K730" s="247"/>
      <c r="L730" s="247"/>
      <c r="M730" s="247"/>
      <c r="N730" s="247"/>
      <c r="O730" s="247"/>
      <c r="P730" s="247"/>
      <c r="Q730" s="247"/>
      <c r="R730" s="247"/>
      <c r="S730" s="247"/>
      <c r="T730" s="247"/>
      <c r="U730" s="247"/>
    </row>
    <row r="731" spans="1:21" ht="13" hidden="1" customHeight="1">
      <c r="A731" s="263"/>
      <c r="B731" s="247"/>
      <c r="C731" s="247"/>
      <c r="D731" s="287"/>
      <c r="E731" s="247"/>
      <c r="F731" s="288"/>
      <c r="G731" s="247"/>
      <c r="H731" s="247"/>
      <c r="I731" s="247"/>
      <c r="J731" s="247"/>
      <c r="K731" s="247"/>
      <c r="L731" s="247"/>
      <c r="M731" s="247"/>
      <c r="N731" s="247"/>
      <c r="O731" s="247"/>
      <c r="P731" s="247"/>
      <c r="Q731" s="247"/>
      <c r="R731" s="247"/>
      <c r="S731" s="247"/>
      <c r="T731" s="247"/>
      <c r="U731" s="247"/>
    </row>
    <row r="732" spans="1:21" ht="13" hidden="1" customHeight="1">
      <c r="A732" s="263"/>
      <c r="B732" s="247"/>
      <c r="C732" s="247"/>
      <c r="D732" s="287"/>
      <c r="E732" s="247"/>
      <c r="F732" s="288"/>
      <c r="G732" s="247"/>
      <c r="H732" s="247"/>
      <c r="I732" s="247"/>
      <c r="J732" s="247"/>
      <c r="K732" s="247"/>
      <c r="L732" s="247"/>
      <c r="M732" s="247"/>
      <c r="N732" s="247"/>
      <c r="O732" s="247"/>
      <c r="P732" s="247"/>
      <c r="Q732" s="247"/>
      <c r="R732" s="247"/>
      <c r="S732" s="247"/>
      <c r="T732" s="247"/>
      <c r="U732" s="247"/>
    </row>
    <row r="733" spans="1:21" ht="13" hidden="1" customHeight="1">
      <c r="A733" s="263"/>
      <c r="B733" s="247"/>
      <c r="C733" s="247"/>
      <c r="D733" s="287"/>
      <c r="E733" s="247"/>
      <c r="F733" s="288"/>
      <c r="G733" s="247"/>
      <c r="H733" s="247"/>
      <c r="I733" s="247"/>
      <c r="J733" s="247"/>
      <c r="K733" s="247"/>
      <c r="L733" s="247"/>
      <c r="M733" s="247"/>
      <c r="N733" s="247"/>
      <c r="O733" s="247"/>
      <c r="P733" s="247"/>
      <c r="Q733" s="247"/>
      <c r="R733" s="247"/>
      <c r="S733" s="247"/>
      <c r="T733" s="247"/>
      <c r="U733" s="247"/>
    </row>
    <row r="734" spans="1:21" ht="13" hidden="1" customHeight="1">
      <c r="A734" s="263"/>
      <c r="B734" s="247"/>
      <c r="C734" s="247"/>
      <c r="D734" s="287"/>
      <c r="E734" s="247"/>
      <c r="F734" s="288"/>
      <c r="G734" s="247"/>
      <c r="H734" s="247"/>
      <c r="I734" s="247"/>
      <c r="J734" s="247"/>
      <c r="K734" s="247"/>
      <c r="L734" s="247"/>
      <c r="M734" s="247"/>
      <c r="N734" s="247"/>
      <c r="O734" s="247"/>
      <c r="P734" s="247"/>
      <c r="Q734" s="247"/>
      <c r="R734" s="247"/>
      <c r="S734" s="247"/>
      <c r="T734" s="247"/>
      <c r="U734" s="247"/>
    </row>
    <row r="735" spans="1:21" ht="13" hidden="1" customHeight="1">
      <c r="A735" s="263"/>
      <c r="B735" s="247"/>
      <c r="C735" s="247"/>
      <c r="D735" s="287"/>
      <c r="E735" s="247"/>
      <c r="F735" s="288"/>
      <c r="G735" s="247"/>
      <c r="H735" s="247"/>
      <c r="I735" s="247"/>
      <c r="J735" s="247"/>
      <c r="K735" s="247"/>
      <c r="L735" s="247"/>
      <c r="M735" s="247"/>
      <c r="N735" s="247"/>
      <c r="O735" s="247"/>
      <c r="P735" s="247"/>
      <c r="Q735" s="247"/>
      <c r="R735" s="247"/>
      <c r="S735" s="247"/>
      <c r="T735" s="247"/>
      <c r="U735" s="247"/>
    </row>
    <row r="736" spans="1:21" ht="13" hidden="1" customHeight="1">
      <c r="A736" s="263"/>
      <c r="B736" s="247"/>
      <c r="C736" s="247"/>
      <c r="D736" s="287"/>
      <c r="E736" s="247"/>
      <c r="F736" s="288"/>
      <c r="G736" s="247"/>
      <c r="H736" s="247"/>
      <c r="I736" s="247"/>
      <c r="J736" s="247"/>
      <c r="K736" s="247"/>
      <c r="L736" s="247"/>
      <c r="M736" s="247"/>
      <c r="N736" s="247"/>
      <c r="O736" s="247"/>
      <c r="P736" s="247"/>
      <c r="Q736" s="247"/>
      <c r="R736" s="247"/>
      <c r="S736" s="247"/>
      <c r="T736" s="247"/>
      <c r="U736" s="247"/>
    </row>
    <row r="737" spans="1:21" ht="13" hidden="1" customHeight="1">
      <c r="A737" s="263"/>
      <c r="B737" s="247"/>
      <c r="C737" s="247"/>
      <c r="D737" s="287"/>
      <c r="E737" s="247"/>
      <c r="F737" s="288"/>
      <c r="G737" s="247"/>
      <c r="H737" s="247"/>
      <c r="I737" s="247"/>
      <c r="J737" s="247"/>
      <c r="K737" s="247"/>
      <c r="L737" s="247"/>
      <c r="M737" s="247"/>
      <c r="N737" s="247"/>
      <c r="O737" s="247"/>
      <c r="P737" s="247"/>
      <c r="Q737" s="247"/>
      <c r="R737" s="247"/>
      <c r="S737" s="247"/>
      <c r="T737" s="247"/>
      <c r="U737" s="247"/>
    </row>
    <row r="738" spans="1:21" ht="13" hidden="1" customHeight="1">
      <c r="A738" s="263"/>
      <c r="B738" s="247"/>
      <c r="C738" s="247"/>
      <c r="D738" s="287"/>
      <c r="E738" s="247"/>
      <c r="F738" s="288"/>
      <c r="G738" s="247"/>
      <c r="H738" s="247"/>
      <c r="I738" s="247"/>
      <c r="J738" s="247"/>
      <c r="K738" s="247"/>
      <c r="L738" s="247"/>
      <c r="M738" s="247"/>
      <c r="N738" s="247"/>
      <c r="O738" s="247"/>
      <c r="P738" s="247"/>
      <c r="Q738" s="247"/>
      <c r="R738" s="247"/>
      <c r="S738" s="247"/>
      <c r="T738" s="247"/>
      <c r="U738" s="247"/>
    </row>
    <row r="739" spans="1:21" ht="13" hidden="1" customHeight="1">
      <c r="A739" s="263"/>
      <c r="B739" s="247"/>
      <c r="C739" s="247"/>
      <c r="D739" s="287"/>
      <c r="E739" s="247"/>
      <c r="F739" s="288"/>
      <c r="G739" s="247"/>
      <c r="H739" s="247"/>
      <c r="I739" s="247"/>
      <c r="J739" s="247"/>
      <c r="K739" s="247"/>
      <c r="L739" s="247"/>
      <c r="M739" s="247"/>
      <c r="N739" s="247"/>
      <c r="O739" s="247"/>
      <c r="P739" s="247"/>
      <c r="Q739" s="247"/>
      <c r="R739" s="247"/>
      <c r="S739" s="247"/>
      <c r="T739" s="247"/>
      <c r="U739" s="247"/>
    </row>
    <row r="740" spans="1:21" ht="13" hidden="1" customHeight="1">
      <c r="A740" s="263"/>
      <c r="B740" s="247"/>
      <c r="C740" s="247"/>
      <c r="D740" s="287"/>
      <c r="E740" s="247"/>
      <c r="F740" s="288"/>
      <c r="G740" s="247"/>
      <c r="H740" s="247"/>
      <c r="I740" s="247"/>
      <c r="J740" s="247"/>
      <c r="K740" s="247"/>
      <c r="L740" s="247"/>
      <c r="M740" s="247"/>
      <c r="N740" s="247"/>
      <c r="O740" s="247"/>
      <c r="P740" s="247"/>
      <c r="Q740" s="247"/>
      <c r="R740" s="247"/>
      <c r="S740" s="247"/>
      <c r="T740" s="247"/>
      <c r="U740" s="247"/>
    </row>
    <row r="741" spans="1:21" ht="13" hidden="1" customHeight="1">
      <c r="A741" s="263"/>
      <c r="B741" s="247"/>
      <c r="C741" s="247"/>
      <c r="D741" s="287"/>
      <c r="E741" s="247"/>
      <c r="F741" s="288"/>
      <c r="G741" s="247"/>
      <c r="H741" s="247"/>
      <c r="I741" s="247"/>
      <c r="J741" s="247"/>
      <c r="K741" s="247"/>
      <c r="L741" s="247"/>
      <c r="M741" s="247"/>
      <c r="N741" s="247"/>
      <c r="O741" s="247"/>
      <c r="P741" s="247"/>
      <c r="Q741" s="247"/>
      <c r="R741" s="247"/>
      <c r="S741" s="247"/>
      <c r="T741" s="247"/>
      <c r="U741" s="247"/>
    </row>
    <row r="742" spans="1:21" ht="13" hidden="1" customHeight="1">
      <c r="A742" s="263"/>
      <c r="B742" s="247"/>
      <c r="C742" s="247"/>
      <c r="D742" s="287"/>
      <c r="E742" s="247"/>
      <c r="F742" s="288"/>
      <c r="G742" s="247"/>
      <c r="H742" s="247"/>
      <c r="I742" s="247"/>
      <c r="J742" s="247"/>
      <c r="K742" s="247"/>
      <c r="L742" s="247"/>
      <c r="M742" s="247"/>
      <c r="N742" s="247"/>
      <c r="O742" s="247"/>
      <c r="P742" s="247"/>
      <c r="Q742" s="247"/>
      <c r="R742" s="247"/>
      <c r="S742" s="247"/>
      <c r="T742" s="247"/>
      <c r="U742" s="247"/>
    </row>
    <row r="743" spans="1:21" ht="13" hidden="1" customHeight="1">
      <c r="A743" s="263"/>
      <c r="B743" s="247"/>
      <c r="C743" s="247"/>
      <c r="D743" s="287"/>
      <c r="E743" s="247"/>
      <c r="F743" s="288"/>
      <c r="G743" s="247"/>
      <c r="H743" s="247"/>
      <c r="I743" s="247"/>
      <c r="J743" s="247"/>
      <c r="K743" s="247"/>
      <c r="L743" s="247"/>
      <c r="M743" s="247"/>
      <c r="N743" s="247"/>
      <c r="O743" s="247"/>
      <c r="P743" s="247"/>
      <c r="Q743" s="247"/>
      <c r="R743" s="247"/>
      <c r="S743" s="247"/>
      <c r="T743" s="247"/>
      <c r="U743" s="247"/>
    </row>
    <row r="744" spans="1:21" ht="13" hidden="1" customHeight="1">
      <c r="A744" s="263"/>
      <c r="B744" s="247"/>
      <c r="C744" s="247"/>
      <c r="D744" s="287"/>
      <c r="E744" s="247"/>
      <c r="F744" s="288"/>
      <c r="G744" s="247"/>
      <c r="H744" s="247"/>
      <c r="I744" s="247"/>
      <c r="J744" s="247"/>
      <c r="K744" s="247"/>
      <c r="L744" s="247"/>
      <c r="M744" s="247"/>
      <c r="N744" s="247"/>
      <c r="O744" s="247"/>
      <c r="P744" s="247"/>
      <c r="Q744" s="247"/>
      <c r="R744" s="247"/>
      <c r="S744" s="247"/>
      <c r="T744" s="247"/>
      <c r="U744" s="247"/>
    </row>
    <row r="745" spans="1:21" ht="13" hidden="1" customHeight="1">
      <c r="A745" s="263"/>
      <c r="B745" s="247"/>
      <c r="C745" s="247"/>
      <c r="D745" s="287"/>
      <c r="E745" s="247"/>
      <c r="F745" s="288"/>
      <c r="G745" s="247"/>
      <c r="H745" s="247"/>
      <c r="I745" s="247"/>
      <c r="J745" s="247"/>
      <c r="K745" s="247"/>
      <c r="L745" s="247"/>
      <c r="M745" s="247"/>
      <c r="N745" s="247"/>
      <c r="O745" s="247"/>
      <c r="P745" s="247"/>
      <c r="Q745" s="247"/>
      <c r="R745" s="247"/>
      <c r="S745" s="247"/>
      <c r="T745" s="247"/>
      <c r="U745" s="247"/>
    </row>
    <row r="746" spans="1:21" ht="13" hidden="1" customHeight="1">
      <c r="A746" s="263"/>
      <c r="B746" s="247"/>
      <c r="C746" s="247"/>
      <c r="D746" s="287"/>
      <c r="E746" s="247"/>
      <c r="F746" s="288"/>
      <c r="G746" s="247"/>
      <c r="H746" s="247"/>
      <c r="I746" s="247"/>
      <c r="J746" s="247"/>
      <c r="K746" s="247"/>
      <c r="L746" s="247"/>
      <c r="M746" s="247"/>
      <c r="N746" s="247"/>
      <c r="O746" s="247"/>
      <c r="P746" s="247"/>
      <c r="Q746" s="247"/>
      <c r="R746" s="247"/>
      <c r="S746" s="247"/>
      <c r="T746" s="247"/>
      <c r="U746" s="247"/>
    </row>
    <row r="747" spans="1:21" ht="13" hidden="1" customHeight="1">
      <c r="A747" s="263"/>
      <c r="B747" s="247"/>
      <c r="C747" s="247"/>
      <c r="D747" s="287"/>
      <c r="E747" s="247"/>
      <c r="F747" s="288"/>
      <c r="G747" s="247"/>
      <c r="H747" s="247"/>
      <c r="I747" s="247"/>
      <c r="J747" s="247"/>
      <c r="K747" s="247"/>
      <c r="L747" s="247"/>
      <c r="M747" s="247"/>
      <c r="N747" s="247"/>
      <c r="O747" s="247"/>
      <c r="P747" s="247"/>
      <c r="Q747" s="247"/>
      <c r="R747" s="247"/>
      <c r="S747" s="247"/>
      <c r="T747" s="247"/>
      <c r="U747" s="247"/>
    </row>
    <row r="748" spans="1:21" ht="13" hidden="1" customHeight="1">
      <c r="A748" s="263"/>
      <c r="B748" s="247"/>
      <c r="C748" s="247"/>
      <c r="D748" s="287"/>
      <c r="E748" s="247"/>
      <c r="F748" s="288"/>
      <c r="G748" s="247"/>
      <c r="H748" s="247"/>
      <c r="I748" s="247"/>
      <c r="J748" s="247"/>
      <c r="K748" s="247"/>
      <c r="L748" s="247"/>
      <c r="M748" s="247"/>
      <c r="N748" s="247"/>
      <c r="O748" s="247"/>
      <c r="P748" s="247"/>
      <c r="Q748" s="247"/>
      <c r="R748" s="247"/>
      <c r="S748" s="247"/>
      <c r="T748" s="247"/>
      <c r="U748" s="247"/>
    </row>
    <row r="749" spans="1:21" ht="13" hidden="1" customHeight="1">
      <c r="A749" s="263"/>
      <c r="B749" s="247"/>
      <c r="C749" s="247"/>
      <c r="D749" s="287"/>
      <c r="E749" s="247"/>
      <c r="F749" s="288"/>
      <c r="G749" s="247"/>
      <c r="H749" s="247"/>
      <c r="I749" s="247"/>
      <c r="J749" s="247"/>
      <c r="K749" s="247"/>
      <c r="L749" s="247"/>
      <c r="M749" s="247"/>
      <c r="N749" s="247"/>
      <c r="O749" s="247"/>
      <c r="P749" s="247"/>
      <c r="Q749" s="247"/>
      <c r="R749" s="247"/>
      <c r="S749" s="247"/>
      <c r="T749" s="247"/>
      <c r="U749" s="247"/>
    </row>
    <row r="750" spans="1:21" ht="13" hidden="1" customHeight="1">
      <c r="A750" s="263"/>
      <c r="B750" s="247"/>
      <c r="C750" s="247"/>
      <c r="D750" s="287"/>
      <c r="E750" s="247"/>
      <c r="F750" s="288"/>
      <c r="G750" s="247"/>
      <c r="H750" s="247"/>
      <c r="I750" s="247"/>
      <c r="J750" s="247"/>
      <c r="K750" s="247"/>
      <c r="L750" s="247"/>
      <c r="M750" s="247"/>
      <c r="N750" s="247"/>
      <c r="O750" s="247"/>
      <c r="P750" s="247"/>
      <c r="Q750" s="247"/>
      <c r="R750" s="247"/>
      <c r="S750" s="247"/>
      <c r="T750" s="247"/>
      <c r="U750" s="247"/>
    </row>
    <row r="751" spans="1:21" ht="13" hidden="1" customHeight="1">
      <c r="A751" s="263"/>
      <c r="B751" s="247"/>
      <c r="C751" s="247"/>
      <c r="D751" s="287"/>
      <c r="E751" s="247"/>
      <c r="F751" s="288"/>
      <c r="G751" s="247"/>
      <c r="H751" s="247"/>
      <c r="I751" s="247"/>
      <c r="J751" s="247"/>
      <c r="K751" s="247"/>
      <c r="L751" s="247"/>
      <c r="M751" s="247"/>
      <c r="N751" s="247"/>
      <c r="O751" s="247"/>
      <c r="P751" s="247"/>
      <c r="Q751" s="247"/>
      <c r="R751" s="247"/>
      <c r="S751" s="247"/>
      <c r="T751" s="247"/>
      <c r="U751" s="247"/>
    </row>
    <row r="752" spans="1:21" ht="13" hidden="1" customHeight="1">
      <c r="A752" s="263"/>
      <c r="B752" s="247"/>
      <c r="C752" s="247"/>
      <c r="D752" s="287"/>
      <c r="E752" s="247"/>
      <c r="F752" s="288"/>
      <c r="G752" s="247"/>
      <c r="H752" s="247"/>
      <c r="I752" s="247"/>
      <c r="J752" s="247"/>
      <c r="K752" s="247"/>
      <c r="L752" s="247"/>
      <c r="M752" s="247"/>
      <c r="N752" s="247"/>
      <c r="O752" s="247"/>
      <c r="P752" s="247"/>
      <c r="Q752" s="247"/>
      <c r="R752" s="247"/>
      <c r="S752" s="247"/>
      <c r="T752" s="247"/>
      <c r="U752" s="247"/>
    </row>
    <row r="753" spans="1:21" ht="13" hidden="1" customHeight="1">
      <c r="A753" s="263"/>
      <c r="B753" s="247"/>
      <c r="C753" s="247"/>
      <c r="D753" s="287"/>
      <c r="E753" s="247"/>
      <c r="F753" s="288"/>
      <c r="G753" s="247"/>
      <c r="H753" s="247"/>
      <c r="I753" s="247"/>
      <c r="J753" s="247"/>
      <c r="K753" s="247"/>
      <c r="L753" s="247"/>
      <c r="M753" s="247"/>
      <c r="N753" s="247"/>
      <c r="O753" s="247"/>
      <c r="P753" s="247"/>
      <c r="Q753" s="247"/>
      <c r="R753" s="247"/>
      <c r="S753" s="247"/>
      <c r="T753" s="247"/>
      <c r="U753" s="247"/>
    </row>
    <row r="754" spans="1:21" ht="13" hidden="1" customHeight="1">
      <c r="A754" s="263"/>
      <c r="B754" s="247"/>
      <c r="C754" s="247"/>
      <c r="D754" s="287"/>
      <c r="E754" s="247"/>
      <c r="F754" s="288"/>
      <c r="G754" s="247"/>
      <c r="H754" s="247"/>
      <c r="I754" s="247"/>
      <c r="J754" s="247"/>
      <c r="K754" s="247"/>
      <c r="L754" s="247"/>
      <c r="M754" s="247"/>
      <c r="N754" s="247"/>
      <c r="O754" s="247"/>
      <c r="P754" s="247"/>
      <c r="Q754" s="247"/>
      <c r="R754" s="247"/>
      <c r="S754" s="247"/>
      <c r="T754" s="247"/>
      <c r="U754" s="247"/>
    </row>
    <row r="755" spans="1:21" ht="13" hidden="1" customHeight="1">
      <c r="A755" s="263"/>
      <c r="B755" s="247"/>
      <c r="C755" s="247"/>
      <c r="D755" s="287"/>
      <c r="E755" s="247"/>
      <c r="F755" s="288"/>
      <c r="G755" s="247"/>
      <c r="H755" s="247"/>
      <c r="I755" s="247"/>
      <c r="J755" s="247"/>
      <c r="K755" s="247"/>
      <c r="L755" s="247"/>
      <c r="M755" s="247"/>
      <c r="N755" s="247"/>
      <c r="O755" s="247"/>
      <c r="P755" s="247"/>
      <c r="Q755" s="247"/>
      <c r="R755" s="247"/>
      <c r="S755" s="247"/>
      <c r="T755" s="247"/>
      <c r="U755" s="247"/>
    </row>
    <row r="756" spans="1:21" ht="13" hidden="1" customHeight="1">
      <c r="A756" s="263"/>
      <c r="B756" s="247"/>
      <c r="C756" s="247"/>
      <c r="D756" s="287"/>
      <c r="E756" s="247"/>
      <c r="F756" s="288"/>
      <c r="G756" s="247"/>
      <c r="H756" s="247"/>
      <c r="I756" s="247"/>
      <c r="J756" s="247"/>
      <c r="K756" s="247"/>
      <c r="L756" s="247"/>
      <c r="M756" s="247"/>
      <c r="N756" s="247"/>
      <c r="O756" s="247"/>
      <c r="P756" s="247"/>
      <c r="Q756" s="247"/>
      <c r="R756" s="247"/>
      <c r="S756" s="247"/>
      <c r="T756" s="247"/>
      <c r="U756" s="247"/>
    </row>
    <row r="757" spans="1:21" ht="13" hidden="1" customHeight="1">
      <c r="A757" s="263"/>
      <c r="B757" s="247"/>
      <c r="C757" s="247"/>
      <c r="D757" s="287"/>
      <c r="E757" s="247"/>
      <c r="F757" s="288"/>
      <c r="G757" s="247"/>
      <c r="H757" s="247"/>
      <c r="I757" s="247"/>
      <c r="J757" s="247"/>
      <c r="K757" s="247"/>
      <c r="L757" s="247"/>
      <c r="M757" s="247"/>
      <c r="N757" s="247"/>
      <c r="O757" s="247"/>
      <c r="P757" s="247"/>
      <c r="Q757" s="247"/>
      <c r="R757" s="247"/>
      <c r="S757" s="247"/>
      <c r="T757" s="247"/>
      <c r="U757" s="247"/>
    </row>
    <row r="758" spans="1:21" ht="13" hidden="1" customHeight="1">
      <c r="A758" s="263"/>
      <c r="B758" s="247"/>
      <c r="C758" s="247"/>
      <c r="D758" s="287"/>
      <c r="E758" s="247"/>
      <c r="F758" s="288"/>
      <c r="G758" s="247"/>
      <c r="H758" s="247"/>
      <c r="I758" s="247"/>
      <c r="J758" s="247"/>
      <c r="K758" s="247"/>
      <c r="L758" s="247"/>
      <c r="M758" s="247"/>
      <c r="N758" s="247"/>
      <c r="O758" s="247"/>
      <c r="P758" s="247"/>
      <c r="Q758" s="247"/>
      <c r="R758" s="247"/>
      <c r="S758" s="247"/>
      <c r="T758" s="247"/>
      <c r="U758" s="247"/>
    </row>
    <row r="759" spans="1:21" ht="13" hidden="1" customHeight="1">
      <c r="A759" s="263"/>
      <c r="B759" s="247"/>
      <c r="C759" s="247"/>
      <c r="D759" s="287"/>
      <c r="E759" s="247"/>
      <c r="F759" s="288"/>
      <c r="G759" s="247"/>
      <c r="H759" s="247"/>
      <c r="I759" s="247"/>
      <c r="J759" s="247"/>
      <c r="K759" s="247"/>
      <c r="L759" s="247"/>
      <c r="M759" s="247"/>
      <c r="N759" s="247"/>
      <c r="O759" s="247"/>
      <c r="P759" s="247"/>
      <c r="Q759" s="247"/>
      <c r="R759" s="247"/>
      <c r="S759" s="247"/>
      <c r="T759" s="247"/>
      <c r="U759" s="247"/>
    </row>
    <row r="760" spans="1:21" ht="13" hidden="1" customHeight="1">
      <c r="A760" s="263"/>
      <c r="B760" s="247"/>
      <c r="C760" s="247"/>
      <c r="D760" s="287"/>
      <c r="E760" s="247"/>
      <c r="F760" s="288"/>
      <c r="G760" s="247"/>
      <c r="H760" s="247"/>
      <c r="I760" s="247"/>
      <c r="J760" s="247"/>
      <c r="K760" s="247"/>
      <c r="L760" s="247"/>
      <c r="M760" s="247"/>
      <c r="N760" s="247"/>
      <c r="O760" s="247"/>
      <c r="P760" s="247"/>
      <c r="Q760" s="247"/>
      <c r="R760" s="247"/>
      <c r="S760" s="247"/>
      <c r="T760" s="247"/>
      <c r="U760" s="247"/>
    </row>
    <row r="761" spans="1:21" ht="13" hidden="1" customHeight="1">
      <c r="A761" s="263"/>
      <c r="B761" s="247"/>
      <c r="C761" s="247"/>
      <c r="D761" s="287"/>
      <c r="E761" s="247"/>
      <c r="F761" s="288"/>
      <c r="G761" s="247"/>
      <c r="H761" s="247"/>
      <c r="I761" s="247"/>
      <c r="J761" s="247"/>
      <c r="K761" s="247"/>
      <c r="L761" s="247"/>
      <c r="M761" s="247"/>
      <c r="N761" s="247"/>
      <c r="O761" s="247"/>
      <c r="P761" s="247"/>
      <c r="Q761" s="247"/>
      <c r="R761" s="247"/>
      <c r="S761" s="247"/>
      <c r="T761" s="247"/>
      <c r="U761" s="247"/>
    </row>
    <row r="762" spans="1:21" ht="13" hidden="1" customHeight="1">
      <c r="A762" s="263"/>
      <c r="B762" s="247"/>
      <c r="C762" s="247"/>
      <c r="D762" s="287"/>
      <c r="E762" s="247"/>
      <c r="F762" s="288"/>
      <c r="G762" s="247"/>
      <c r="H762" s="247"/>
      <c r="I762" s="247"/>
      <c r="J762" s="247"/>
      <c r="K762" s="247"/>
      <c r="L762" s="247"/>
      <c r="M762" s="247"/>
      <c r="N762" s="247"/>
      <c r="O762" s="247"/>
      <c r="P762" s="247"/>
      <c r="Q762" s="247"/>
      <c r="R762" s="247"/>
      <c r="S762" s="247"/>
      <c r="T762" s="247"/>
      <c r="U762" s="247"/>
    </row>
    <row r="763" spans="1:21" ht="13" hidden="1" customHeight="1">
      <c r="A763" s="263"/>
      <c r="B763" s="247"/>
      <c r="C763" s="247"/>
      <c r="D763" s="287"/>
      <c r="E763" s="247"/>
      <c r="F763" s="288"/>
      <c r="G763" s="247"/>
      <c r="H763" s="247"/>
      <c r="I763" s="247"/>
      <c r="J763" s="247"/>
      <c r="K763" s="247"/>
      <c r="L763" s="247"/>
      <c r="M763" s="247"/>
      <c r="N763" s="247"/>
      <c r="O763" s="247"/>
      <c r="P763" s="247"/>
      <c r="Q763" s="247"/>
      <c r="R763" s="247"/>
      <c r="S763" s="247"/>
      <c r="T763" s="247"/>
      <c r="U763" s="247"/>
    </row>
    <row r="764" spans="1:21" ht="13" hidden="1" customHeight="1">
      <c r="A764" s="263"/>
      <c r="B764" s="247"/>
      <c r="C764" s="247"/>
      <c r="D764" s="287"/>
      <c r="E764" s="247"/>
      <c r="F764" s="288"/>
      <c r="G764" s="247"/>
      <c r="H764" s="247"/>
      <c r="I764" s="247"/>
      <c r="J764" s="247"/>
      <c r="K764" s="247"/>
      <c r="L764" s="247"/>
      <c r="M764" s="247"/>
      <c r="N764" s="247"/>
      <c r="O764" s="247"/>
      <c r="P764" s="247"/>
      <c r="Q764" s="247"/>
      <c r="R764" s="247"/>
      <c r="S764" s="247"/>
      <c r="T764" s="247"/>
      <c r="U764" s="247"/>
    </row>
    <row r="765" spans="1:21" ht="13" hidden="1" customHeight="1">
      <c r="A765" s="263"/>
      <c r="B765" s="247"/>
      <c r="C765" s="247"/>
      <c r="D765" s="287"/>
      <c r="E765" s="247"/>
      <c r="F765" s="288"/>
      <c r="G765" s="247"/>
      <c r="H765" s="247"/>
      <c r="I765" s="247"/>
      <c r="J765" s="247"/>
      <c r="K765" s="247"/>
      <c r="L765" s="247"/>
      <c r="M765" s="247"/>
      <c r="N765" s="247"/>
      <c r="O765" s="247"/>
      <c r="P765" s="247"/>
      <c r="Q765" s="247"/>
      <c r="R765" s="247"/>
      <c r="S765" s="247"/>
      <c r="T765" s="247"/>
      <c r="U765" s="247"/>
    </row>
    <row r="766" spans="1:21" ht="13" hidden="1" customHeight="1">
      <c r="A766" s="263"/>
      <c r="B766" s="247"/>
      <c r="C766" s="247"/>
      <c r="D766" s="287"/>
      <c r="E766" s="247"/>
      <c r="F766" s="288"/>
      <c r="G766" s="247"/>
      <c r="H766" s="247"/>
      <c r="I766" s="247"/>
      <c r="J766" s="247"/>
      <c r="K766" s="247"/>
      <c r="L766" s="247"/>
      <c r="M766" s="247"/>
      <c r="N766" s="247"/>
      <c r="O766" s="247"/>
      <c r="P766" s="247"/>
      <c r="Q766" s="247"/>
      <c r="R766" s="247"/>
      <c r="S766" s="247"/>
      <c r="T766" s="247"/>
      <c r="U766" s="247"/>
    </row>
    <row r="767" spans="1:21" ht="13" hidden="1" customHeight="1">
      <c r="A767" s="263"/>
      <c r="B767" s="247"/>
      <c r="C767" s="247"/>
      <c r="D767" s="287"/>
      <c r="E767" s="247"/>
      <c r="F767" s="288"/>
      <c r="G767" s="247"/>
      <c r="H767" s="247"/>
      <c r="I767" s="247"/>
      <c r="J767" s="247"/>
      <c r="K767" s="247"/>
      <c r="L767" s="247"/>
      <c r="M767" s="247"/>
      <c r="N767" s="247"/>
      <c r="O767" s="247"/>
      <c r="P767" s="247"/>
      <c r="Q767" s="247"/>
      <c r="R767" s="247"/>
      <c r="S767" s="247"/>
      <c r="T767" s="247"/>
      <c r="U767" s="247"/>
    </row>
    <row r="768" spans="1:21" ht="13" hidden="1" customHeight="1">
      <c r="A768" s="263"/>
      <c r="B768" s="247"/>
      <c r="C768" s="247"/>
      <c r="D768" s="287"/>
      <c r="E768" s="247"/>
      <c r="F768" s="288"/>
      <c r="G768" s="247"/>
      <c r="H768" s="247"/>
      <c r="I768" s="247"/>
      <c r="J768" s="247"/>
      <c r="K768" s="247"/>
      <c r="L768" s="247"/>
      <c r="M768" s="247"/>
      <c r="N768" s="247"/>
      <c r="O768" s="247"/>
      <c r="P768" s="247"/>
      <c r="Q768" s="247"/>
      <c r="R768" s="247"/>
      <c r="S768" s="247"/>
      <c r="T768" s="247"/>
      <c r="U768" s="247"/>
    </row>
    <row r="769" spans="1:21" ht="13" hidden="1" customHeight="1">
      <c r="A769" s="263"/>
      <c r="B769" s="247"/>
      <c r="C769" s="247"/>
      <c r="D769" s="287"/>
      <c r="E769" s="247"/>
      <c r="F769" s="288"/>
      <c r="G769" s="247"/>
      <c r="H769" s="247"/>
      <c r="I769" s="247"/>
      <c r="J769" s="247"/>
      <c r="K769" s="247"/>
      <c r="L769" s="247"/>
      <c r="M769" s="247"/>
      <c r="N769" s="247"/>
      <c r="O769" s="247"/>
      <c r="P769" s="247"/>
      <c r="Q769" s="247"/>
      <c r="R769" s="247"/>
      <c r="S769" s="247"/>
      <c r="T769" s="247"/>
      <c r="U769" s="247"/>
    </row>
    <row r="770" spans="1:21" ht="13" hidden="1" customHeight="1">
      <c r="A770" s="263"/>
      <c r="B770" s="247"/>
      <c r="C770" s="247"/>
      <c r="D770" s="287"/>
      <c r="E770" s="247"/>
      <c r="F770" s="288"/>
      <c r="G770" s="247"/>
      <c r="H770" s="247"/>
      <c r="I770" s="247"/>
      <c r="J770" s="247"/>
      <c r="K770" s="247"/>
      <c r="L770" s="247"/>
      <c r="M770" s="247"/>
      <c r="N770" s="247"/>
      <c r="O770" s="247"/>
      <c r="P770" s="247"/>
      <c r="Q770" s="247"/>
      <c r="R770" s="247"/>
      <c r="S770" s="247"/>
      <c r="T770" s="247"/>
      <c r="U770" s="247"/>
    </row>
    <row r="771" spans="1:21" ht="13" hidden="1" customHeight="1">
      <c r="A771" s="263"/>
      <c r="B771" s="247"/>
      <c r="C771" s="247"/>
      <c r="D771" s="287"/>
      <c r="E771" s="247"/>
      <c r="F771" s="288"/>
      <c r="G771" s="247"/>
      <c r="H771" s="247"/>
      <c r="I771" s="247"/>
      <c r="J771" s="247"/>
      <c r="K771" s="247"/>
      <c r="L771" s="247"/>
      <c r="M771" s="247"/>
      <c r="N771" s="247"/>
      <c r="O771" s="247"/>
      <c r="P771" s="247"/>
      <c r="Q771" s="247"/>
      <c r="R771" s="247"/>
      <c r="S771" s="247"/>
      <c r="T771" s="247"/>
      <c r="U771" s="247"/>
    </row>
    <row r="772" spans="1:21" ht="13" hidden="1" customHeight="1">
      <c r="A772" s="263"/>
      <c r="B772" s="247"/>
      <c r="C772" s="247"/>
      <c r="D772" s="287"/>
      <c r="E772" s="247"/>
      <c r="F772" s="288"/>
      <c r="G772" s="247"/>
      <c r="H772" s="247"/>
      <c r="I772" s="247"/>
      <c r="J772" s="247"/>
      <c r="K772" s="247"/>
      <c r="L772" s="247"/>
      <c r="M772" s="247"/>
      <c r="N772" s="247"/>
      <c r="O772" s="247"/>
      <c r="P772" s="247"/>
      <c r="Q772" s="247"/>
      <c r="R772" s="247"/>
      <c r="S772" s="247"/>
      <c r="T772" s="247"/>
      <c r="U772" s="247"/>
    </row>
    <row r="773" spans="1:21" ht="13" hidden="1" customHeight="1">
      <c r="A773" s="263"/>
      <c r="B773" s="247"/>
      <c r="C773" s="247"/>
      <c r="D773" s="287"/>
      <c r="E773" s="247"/>
      <c r="F773" s="288"/>
      <c r="G773" s="247"/>
      <c r="H773" s="247"/>
      <c r="I773" s="247"/>
      <c r="J773" s="247"/>
      <c r="K773" s="247"/>
      <c r="L773" s="247"/>
      <c r="M773" s="247"/>
      <c r="N773" s="247"/>
      <c r="O773" s="247"/>
      <c r="P773" s="247"/>
      <c r="Q773" s="247"/>
      <c r="R773" s="247"/>
      <c r="S773" s="247"/>
      <c r="T773" s="247"/>
      <c r="U773" s="247"/>
    </row>
    <row r="774" spans="1:21" ht="13" hidden="1" customHeight="1">
      <c r="A774" s="263"/>
      <c r="B774" s="247"/>
      <c r="C774" s="247"/>
      <c r="D774" s="287"/>
      <c r="E774" s="247"/>
      <c r="F774" s="288"/>
      <c r="G774" s="247"/>
      <c r="H774" s="247"/>
      <c r="I774" s="247"/>
      <c r="J774" s="247"/>
      <c r="K774" s="247"/>
      <c r="L774" s="247"/>
      <c r="M774" s="247"/>
      <c r="N774" s="247"/>
      <c r="O774" s="247"/>
      <c r="P774" s="247"/>
      <c r="Q774" s="247"/>
      <c r="R774" s="247"/>
      <c r="S774" s="247"/>
      <c r="T774" s="247"/>
      <c r="U774" s="247"/>
    </row>
    <row r="775" spans="1:21" ht="13" hidden="1" customHeight="1">
      <c r="A775" s="263"/>
      <c r="B775" s="247"/>
      <c r="C775" s="247"/>
      <c r="D775" s="287"/>
      <c r="E775" s="247"/>
      <c r="F775" s="288"/>
      <c r="G775" s="247"/>
      <c r="H775" s="247"/>
      <c r="I775" s="247"/>
      <c r="J775" s="247"/>
      <c r="K775" s="247"/>
      <c r="L775" s="247"/>
      <c r="M775" s="247"/>
      <c r="N775" s="247"/>
      <c r="O775" s="247"/>
      <c r="P775" s="247"/>
      <c r="Q775" s="247"/>
      <c r="R775" s="247"/>
      <c r="S775" s="247"/>
      <c r="T775" s="247"/>
      <c r="U775" s="247"/>
    </row>
    <row r="776" spans="1:21" ht="13" hidden="1" customHeight="1">
      <c r="A776" s="263"/>
      <c r="B776" s="247"/>
      <c r="C776" s="247"/>
      <c r="D776" s="287"/>
      <c r="E776" s="247"/>
      <c r="F776" s="288"/>
      <c r="G776" s="247"/>
      <c r="H776" s="247"/>
      <c r="I776" s="247"/>
      <c r="J776" s="247"/>
      <c r="K776" s="247"/>
      <c r="L776" s="247"/>
      <c r="M776" s="247"/>
      <c r="N776" s="247"/>
      <c r="O776" s="247"/>
      <c r="P776" s="247"/>
      <c r="Q776" s="247"/>
      <c r="R776" s="247"/>
      <c r="S776" s="247"/>
      <c r="T776" s="247"/>
      <c r="U776" s="247"/>
    </row>
    <row r="777" spans="1:21" ht="13" hidden="1" customHeight="1">
      <c r="A777" s="263"/>
      <c r="B777" s="247"/>
      <c r="C777" s="247"/>
      <c r="D777" s="287"/>
      <c r="E777" s="247"/>
      <c r="F777" s="288"/>
      <c r="G777" s="247"/>
      <c r="H777" s="247"/>
      <c r="I777" s="247"/>
      <c r="J777" s="247"/>
      <c r="K777" s="247"/>
      <c r="L777" s="247"/>
      <c r="M777" s="247"/>
      <c r="N777" s="247"/>
      <c r="O777" s="247"/>
      <c r="P777" s="247"/>
      <c r="Q777" s="247"/>
      <c r="R777" s="247"/>
      <c r="S777" s="247"/>
      <c r="T777" s="247"/>
      <c r="U777" s="247"/>
    </row>
    <row r="778" spans="1:21" ht="13" hidden="1" customHeight="1">
      <c r="A778" s="263"/>
      <c r="B778" s="247"/>
      <c r="C778" s="247"/>
      <c r="D778" s="287"/>
      <c r="E778" s="247"/>
      <c r="F778" s="288"/>
      <c r="G778" s="247"/>
      <c r="H778" s="247"/>
      <c r="I778" s="247"/>
      <c r="J778" s="247"/>
      <c r="K778" s="247"/>
      <c r="L778" s="247"/>
      <c r="M778" s="247"/>
      <c r="N778" s="247"/>
      <c r="O778" s="247"/>
      <c r="P778" s="247"/>
      <c r="Q778" s="247"/>
      <c r="R778" s="247"/>
      <c r="S778" s="247"/>
      <c r="T778" s="247"/>
      <c r="U778" s="247"/>
    </row>
    <row r="779" spans="1:21" ht="13" hidden="1" customHeight="1">
      <c r="A779" s="263"/>
      <c r="B779" s="247"/>
      <c r="C779" s="247"/>
      <c r="D779" s="287"/>
      <c r="E779" s="247"/>
      <c r="F779" s="288"/>
      <c r="G779" s="247"/>
      <c r="H779" s="247"/>
      <c r="I779" s="247"/>
      <c r="J779" s="247"/>
      <c r="K779" s="247"/>
      <c r="L779" s="247"/>
      <c r="M779" s="247"/>
      <c r="N779" s="247"/>
      <c r="O779" s="247"/>
      <c r="P779" s="247"/>
      <c r="Q779" s="247"/>
      <c r="R779" s="247"/>
      <c r="S779" s="247"/>
      <c r="T779" s="247"/>
      <c r="U779" s="247"/>
    </row>
    <row r="780" spans="1:21" ht="13" hidden="1" customHeight="1">
      <c r="A780" s="263"/>
      <c r="B780" s="247"/>
      <c r="C780" s="247"/>
      <c r="D780" s="287"/>
      <c r="E780" s="247"/>
      <c r="F780" s="288"/>
      <c r="G780" s="247"/>
      <c r="H780" s="247"/>
      <c r="I780" s="247"/>
      <c r="J780" s="247"/>
      <c r="K780" s="247"/>
      <c r="L780" s="247"/>
      <c r="M780" s="247"/>
      <c r="N780" s="247"/>
      <c r="O780" s="247"/>
      <c r="P780" s="247"/>
      <c r="Q780" s="247"/>
      <c r="R780" s="247"/>
      <c r="S780" s="247"/>
      <c r="T780" s="247"/>
      <c r="U780" s="247"/>
    </row>
    <row r="781" spans="1:21" ht="13" hidden="1" customHeight="1">
      <c r="A781" s="263"/>
      <c r="B781" s="247"/>
      <c r="C781" s="247"/>
      <c r="D781" s="287"/>
      <c r="E781" s="247"/>
      <c r="F781" s="288"/>
      <c r="G781" s="247"/>
      <c r="H781" s="247"/>
      <c r="I781" s="247"/>
      <c r="J781" s="247"/>
      <c r="K781" s="247"/>
      <c r="L781" s="247"/>
      <c r="M781" s="247"/>
      <c r="N781" s="247"/>
      <c r="O781" s="247"/>
      <c r="P781" s="247"/>
      <c r="Q781" s="247"/>
      <c r="R781" s="247"/>
      <c r="S781" s="247"/>
      <c r="T781" s="247"/>
      <c r="U781" s="247"/>
    </row>
    <row r="782" spans="1:21" ht="13" hidden="1" customHeight="1">
      <c r="A782" s="263"/>
      <c r="B782" s="247"/>
      <c r="C782" s="247"/>
      <c r="D782" s="287"/>
      <c r="E782" s="247"/>
      <c r="F782" s="288"/>
      <c r="G782" s="247"/>
      <c r="H782" s="247"/>
      <c r="I782" s="247"/>
      <c r="J782" s="247"/>
      <c r="K782" s="247"/>
      <c r="L782" s="247"/>
      <c r="M782" s="247"/>
      <c r="N782" s="247"/>
      <c r="O782" s="247"/>
      <c r="P782" s="247"/>
      <c r="Q782" s="247"/>
      <c r="R782" s="247"/>
      <c r="S782" s="247"/>
      <c r="T782" s="247"/>
      <c r="U782" s="247"/>
    </row>
    <row r="783" spans="1:21" ht="13" hidden="1" customHeight="1">
      <c r="A783" s="263"/>
      <c r="B783" s="247"/>
      <c r="C783" s="247"/>
      <c r="D783" s="287"/>
      <c r="E783" s="247"/>
      <c r="F783" s="288"/>
      <c r="G783" s="247"/>
      <c r="H783" s="247"/>
      <c r="I783" s="247"/>
      <c r="J783" s="247"/>
      <c r="K783" s="247"/>
      <c r="L783" s="247"/>
      <c r="M783" s="247"/>
      <c r="N783" s="247"/>
      <c r="O783" s="247"/>
      <c r="P783" s="247"/>
      <c r="Q783" s="247"/>
      <c r="R783" s="247"/>
      <c r="S783" s="247"/>
      <c r="T783" s="247"/>
      <c r="U783" s="247"/>
    </row>
    <row r="784" spans="1:21" ht="13" hidden="1" customHeight="1">
      <c r="A784" s="263"/>
      <c r="B784" s="247"/>
      <c r="C784" s="247"/>
      <c r="D784" s="287"/>
      <c r="E784" s="247"/>
      <c r="F784" s="288"/>
      <c r="G784" s="247"/>
      <c r="H784" s="247"/>
      <c r="I784" s="247"/>
      <c r="J784" s="247"/>
      <c r="K784" s="247"/>
      <c r="L784" s="247"/>
      <c r="M784" s="247"/>
      <c r="N784" s="247"/>
      <c r="O784" s="247"/>
      <c r="P784" s="247"/>
      <c r="Q784" s="247"/>
      <c r="R784" s="247"/>
      <c r="S784" s="247"/>
      <c r="T784" s="247"/>
      <c r="U784" s="247"/>
    </row>
    <row r="785" spans="1:21" ht="13" hidden="1" customHeight="1">
      <c r="A785" s="263"/>
      <c r="B785" s="247"/>
      <c r="C785" s="247"/>
      <c r="D785" s="287"/>
      <c r="E785" s="247"/>
      <c r="F785" s="288"/>
      <c r="G785" s="247"/>
      <c r="H785" s="247"/>
      <c r="I785" s="247"/>
      <c r="J785" s="247"/>
      <c r="K785" s="247"/>
      <c r="L785" s="247"/>
      <c r="M785" s="247"/>
      <c r="N785" s="247"/>
      <c r="O785" s="247"/>
      <c r="P785" s="247"/>
      <c r="Q785" s="247"/>
      <c r="R785" s="247"/>
      <c r="S785" s="247"/>
      <c r="T785" s="247"/>
      <c r="U785" s="247"/>
    </row>
    <row r="786" spans="1:21" ht="13" hidden="1" customHeight="1">
      <c r="A786" s="263"/>
      <c r="B786" s="247"/>
      <c r="C786" s="247"/>
      <c r="D786" s="287"/>
      <c r="E786" s="247"/>
      <c r="F786" s="288"/>
      <c r="G786" s="247"/>
      <c r="H786" s="247"/>
      <c r="I786" s="247"/>
      <c r="J786" s="247"/>
      <c r="K786" s="247"/>
      <c r="L786" s="247"/>
      <c r="M786" s="247"/>
      <c r="N786" s="247"/>
      <c r="O786" s="247"/>
      <c r="P786" s="247"/>
      <c r="Q786" s="247"/>
      <c r="R786" s="247"/>
      <c r="S786" s="247"/>
      <c r="T786" s="247"/>
      <c r="U786" s="247"/>
    </row>
    <row r="787" spans="1:21" ht="13" hidden="1" customHeight="1">
      <c r="A787" s="263"/>
      <c r="B787" s="247"/>
      <c r="C787" s="247"/>
      <c r="D787" s="287"/>
      <c r="E787" s="247"/>
      <c r="F787" s="288"/>
      <c r="G787" s="247"/>
      <c r="H787" s="247"/>
      <c r="I787" s="247"/>
      <c r="J787" s="247"/>
      <c r="K787" s="247"/>
      <c r="L787" s="247"/>
      <c r="M787" s="247"/>
      <c r="N787" s="247"/>
      <c r="O787" s="247"/>
      <c r="P787" s="247"/>
      <c r="Q787" s="247"/>
      <c r="R787" s="247"/>
      <c r="S787" s="247"/>
      <c r="T787" s="247"/>
      <c r="U787" s="247"/>
    </row>
    <row r="788" spans="1:21" ht="13" hidden="1" customHeight="1">
      <c r="A788" s="263"/>
      <c r="B788" s="247"/>
      <c r="C788" s="247"/>
      <c r="D788" s="287"/>
      <c r="E788" s="247"/>
      <c r="F788" s="288"/>
      <c r="G788" s="247"/>
      <c r="H788" s="247"/>
      <c r="I788" s="247"/>
      <c r="J788" s="247"/>
      <c r="K788" s="247"/>
      <c r="L788" s="247"/>
      <c r="M788" s="247"/>
      <c r="N788" s="247"/>
      <c r="O788" s="247"/>
      <c r="P788" s="247"/>
      <c r="Q788" s="247"/>
      <c r="R788" s="247"/>
      <c r="S788" s="247"/>
      <c r="T788" s="247"/>
      <c r="U788" s="247"/>
    </row>
    <row r="789" spans="1:21" ht="13" hidden="1" customHeight="1">
      <c r="A789" s="263"/>
      <c r="B789" s="247"/>
      <c r="C789" s="247"/>
      <c r="D789" s="287"/>
      <c r="E789" s="247"/>
      <c r="F789" s="288"/>
      <c r="G789" s="247"/>
      <c r="H789" s="247"/>
      <c r="I789" s="247"/>
      <c r="J789" s="247"/>
      <c r="K789" s="247"/>
      <c r="L789" s="247"/>
      <c r="M789" s="247"/>
      <c r="N789" s="247"/>
      <c r="O789" s="247"/>
      <c r="P789" s="247"/>
      <c r="Q789" s="247"/>
      <c r="R789" s="247"/>
      <c r="S789" s="247"/>
      <c r="T789" s="247"/>
      <c r="U789" s="247"/>
    </row>
    <row r="790" spans="1:21" ht="13" hidden="1" customHeight="1">
      <c r="A790" s="263"/>
      <c r="B790" s="247"/>
      <c r="C790" s="247"/>
      <c r="D790" s="287"/>
      <c r="E790" s="247"/>
      <c r="F790" s="288"/>
      <c r="G790" s="247"/>
      <c r="H790" s="247"/>
      <c r="I790" s="247"/>
      <c r="J790" s="247"/>
      <c r="K790" s="247"/>
      <c r="L790" s="247"/>
      <c r="M790" s="247"/>
      <c r="N790" s="247"/>
      <c r="O790" s="247"/>
      <c r="P790" s="247"/>
      <c r="Q790" s="247"/>
      <c r="R790" s="247"/>
      <c r="S790" s="247"/>
      <c r="T790" s="247"/>
      <c r="U790" s="247"/>
    </row>
    <row r="791" spans="1:21" ht="13" hidden="1" customHeight="1">
      <c r="A791" s="263"/>
      <c r="B791" s="247"/>
      <c r="C791" s="247"/>
      <c r="D791" s="287"/>
      <c r="E791" s="247"/>
      <c r="F791" s="288"/>
      <c r="G791" s="247"/>
      <c r="H791" s="247"/>
      <c r="I791" s="247"/>
      <c r="J791" s="247"/>
      <c r="K791" s="247"/>
      <c r="L791" s="247"/>
      <c r="M791" s="247"/>
      <c r="N791" s="247"/>
      <c r="O791" s="247"/>
      <c r="P791" s="247"/>
      <c r="Q791" s="247"/>
      <c r="R791" s="247"/>
      <c r="S791" s="247"/>
      <c r="T791" s="247"/>
      <c r="U791" s="247"/>
    </row>
    <row r="792" spans="1:21" ht="13" hidden="1" customHeight="1">
      <c r="A792" s="263"/>
      <c r="B792" s="247"/>
      <c r="C792" s="247"/>
      <c r="D792" s="287"/>
      <c r="E792" s="247"/>
      <c r="F792" s="288"/>
      <c r="G792" s="247"/>
      <c r="H792" s="247"/>
      <c r="I792" s="247"/>
      <c r="J792" s="247"/>
      <c r="K792" s="247"/>
      <c r="L792" s="247"/>
      <c r="M792" s="247"/>
      <c r="N792" s="247"/>
      <c r="O792" s="247"/>
      <c r="P792" s="247"/>
      <c r="Q792" s="247"/>
      <c r="R792" s="247"/>
      <c r="S792" s="247"/>
      <c r="T792" s="247"/>
      <c r="U792" s="247"/>
    </row>
    <row r="793" spans="1:21" ht="13" hidden="1" customHeight="1">
      <c r="A793" s="263"/>
      <c r="B793" s="247"/>
      <c r="C793" s="247"/>
      <c r="D793" s="287"/>
      <c r="E793" s="247"/>
      <c r="F793" s="288"/>
      <c r="G793" s="247"/>
      <c r="H793" s="247"/>
      <c r="I793" s="247"/>
      <c r="J793" s="247"/>
      <c r="K793" s="247"/>
      <c r="L793" s="247"/>
      <c r="M793" s="247"/>
      <c r="N793" s="247"/>
      <c r="O793" s="247"/>
      <c r="P793" s="247"/>
      <c r="Q793" s="247"/>
      <c r="R793" s="247"/>
      <c r="S793" s="247"/>
      <c r="T793" s="247"/>
      <c r="U793" s="247"/>
    </row>
    <row r="794" spans="1:21" ht="13" hidden="1" customHeight="1">
      <c r="A794" s="263"/>
      <c r="B794" s="247"/>
      <c r="C794" s="247"/>
      <c r="D794" s="287"/>
      <c r="E794" s="247"/>
      <c r="F794" s="288"/>
      <c r="G794" s="247"/>
      <c r="H794" s="247"/>
      <c r="I794" s="247"/>
      <c r="J794" s="247"/>
      <c r="K794" s="247"/>
      <c r="L794" s="247"/>
      <c r="M794" s="247"/>
      <c r="N794" s="247"/>
      <c r="O794" s="247"/>
      <c r="P794" s="247"/>
      <c r="Q794" s="247"/>
      <c r="R794" s="247"/>
      <c r="S794" s="247"/>
      <c r="T794" s="247"/>
      <c r="U794" s="247"/>
    </row>
    <row r="795" spans="1:21" ht="13" hidden="1" customHeight="1">
      <c r="A795" s="263"/>
      <c r="B795" s="247"/>
      <c r="C795" s="247"/>
      <c r="D795" s="287"/>
      <c r="E795" s="247"/>
      <c r="F795" s="288"/>
      <c r="G795" s="247"/>
      <c r="H795" s="247"/>
      <c r="I795" s="247"/>
      <c r="J795" s="247"/>
      <c r="K795" s="247"/>
      <c r="L795" s="247"/>
      <c r="M795" s="247"/>
      <c r="N795" s="247"/>
      <c r="O795" s="247"/>
      <c r="P795" s="247"/>
      <c r="Q795" s="247"/>
      <c r="R795" s="247"/>
      <c r="S795" s="247"/>
      <c r="T795" s="247"/>
      <c r="U795" s="247"/>
    </row>
    <row r="796" spans="1:21" ht="13" hidden="1" customHeight="1">
      <c r="A796" s="263"/>
      <c r="B796" s="247"/>
      <c r="C796" s="247"/>
      <c r="D796" s="287"/>
      <c r="E796" s="247"/>
      <c r="F796" s="288"/>
      <c r="G796" s="247"/>
      <c r="H796" s="247"/>
      <c r="I796" s="247"/>
      <c r="J796" s="247"/>
      <c r="K796" s="247"/>
      <c r="L796" s="247"/>
      <c r="M796" s="247"/>
      <c r="N796" s="247"/>
      <c r="O796" s="247"/>
      <c r="P796" s="247"/>
      <c r="Q796" s="247"/>
      <c r="R796" s="247"/>
      <c r="S796" s="247"/>
      <c r="T796" s="247"/>
      <c r="U796" s="247"/>
    </row>
    <row r="797" spans="1:21" ht="13" hidden="1" customHeight="1">
      <c r="A797" s="263"/>
      <c r="B797" s="247"/>
      <c r="C797" s="247"/>
      <c r="D797" s="287"/>
      <c r="E797" s="247"/>
      <c r="F797" s="288"/>
      <c r="G797" s="247"/>
      <c r="H797" s="247"/>
      <c r="I797" s="247"/>
      <c r="J797" s="247"/>
      <c r="K797" s="247"/>
      <c r="L797" s="247"/>
      <c r="M797" s="247"/>
      <c r="N797" s="247"/>
      <c r="O797" s="247"/>
      <c r="P797" s="247"/>
      <c r="Q797" s="247"/>
      <c r="R797" s="247"/>
      <c r="S797" s="247"/>
      <c r="T797" s="247"/>
      <c r="U797" s="247"/>
    </row>
    <row r="798" spans="1:21" ht="13" hidden="1" customHeight="1">
      <c r="A798" s="263"/>
      <c r="B798" s="247"/>
      <c r="C798" s="247"/>
      <c r="D798" s="287"/>
      <c r="E798" s="247"/>
      <c r="F798" s="288"/>
      <c r="G798" s="247"/>
      <c r="H798" s="247"/>
      <c r="I798" s="247"/>
      <c r="J798" s="247"/>
      <c r="K798" s="247"/>
      <c r="L798" s="247"/>
      <c r="M798" s="247"/>
      <c r="N798" s="247"/>
      <c r="O798" s="247"/>
      <c r="P798" s="247"/>
      <c r="Q798" s="247"/>
      <c r="R798" s="247"/>
      <c r="S798" s="247"/>
      <c r="T798" s="247"/>
      <c r="U798" s="247"/>
    </row>
    <row r="799" spans="1:21" ht="13" hidden="1" customHeight="1">
      <c r="A799" s="263"/>
      <c r="B799" s="247"/>
      <c r="C799" s="247"/>
      <c r="D799" s="287"/>
      <c r="E799" s="247"/>
      <c r="F799" s="288"/>
      <c r="G799" s="247"/>
      <c r="H799" s="247"/>
      <c r="I799" s="247"/>
      <c r="J799" s="247"/>
      <c r="K799" s="247"/>
      <c r="L799" s="247"/>
      <c r="M799" s="247"/>
      <c r="N799" s="247"/>
      <c r="O799" s="247"/>
      <c r="P799" s="247"/>
      <c r="Q799" s="247"/>
      <c r="R799" s="247"/>
      <c r="S799" s="247"/>
      <c r="T799" s="247"/>
      <c r="U799" s="247"/>
    </row>
    <row r="800" spans="1:21" ht="13" hidden="1" customHeight="1">
      <c r="A800" s="263"/>
      <c r="B800" s="247"/>
      <c r="C800" s="247"/>
      <c r="D800" s="287"/>
      <c r="E800" s="247"/>
      <c r="F800" s="288"/>
      <c r="G800" s="247"/>
      <c r="H800" s="247"/>
      <c r="I800" s="247"/>
      <c r="J800" s="247"/>
      <c r="K800" s="247"/>
      <c r="L800" s="247"/>
      <c r="M800" s="247"/>
      <c r="N800" s="247"/>
      <c r="O800" s="247"/>
      <c r="P800" s="247"/>
      <c r="Q800" s="247"/>
      <c r="R800" s="247"/>
      <c r="S800" s="247"/>
      <c r="T800" s="247"/>
      <c r="U800" s="247"/>
    </row>
    <row r="801" spans="1:21" ht="13" hidden="1" customHeight="1">
      <c r="A801" s="263"/>
      <c r="B801" s="247"/>
      <c r="C801" s="247"/>
      <c r="D801" s="287"/>
      <c r="E801" s="247"/>
      <c r="F801" s="288"/>
      <c r="G801" s="247"/>
      <c r="H801" s="247"/>
      <c r="I801" s="247"/>
      <c r="J801" s="247"/>
      <c r="K801" s="247"/>
      <c r="L801" s="247"/>
      <c r="M801" s="247"/>
      <c r="N801" s="247"/>
      <c r="O801" s="247"/>
      <c r="P801" s="247"/>
      <c r="Q801" s="247"/>
      <c r="R801" s="247"/>
      <c r="S801" s="247"/>
      <c r="T801" s="247"/>
      <c r="U801" s="247"/>
    </row>
    <row r="802" spans="1:21" ht="13" hidden="1" customHeight="1">
      <c r="A802" s="263"/>
      <c r="B802" s="247"/>
      <c r="C802" s="247"/>
      <c r="D802" s="287"/>
      <c r="E802" s="247"/>
      <c r="F802" s="288"/>
      <c r="G802" s="247"/>
      <c r="H802" s="247"/>
      <c r="I802" s="247"/>
      <c r="J802" s="247"/>
      <c r="K802" s="247"/>
      <c r="L802" s="247"/>
      <c r="M802" s="247"/>
      <c r="N802" s="247"/>
      <c r="O802" s="247"/>
      <c r="P802" s="247"/>
      <c r="Q802" s="247"/>
      <c r="R802" s="247"/>
      <c r="S802" s="247"/>
      <c r="T802" s="247"/>
      <c r="U802" s="247"/>
    </row>
    <row r="803" spans="1:21" ht="13" hidden="1" customHeight="1">
      <c r="A803" s="263"/>
      <c r="B803" s="247"/>
      <c r="C803" s="247"/>
      <c r="D803" s="287"/>
      <c r="E803" s="247"/>
      <c r="F803" s="288"/>
      <c r="G803" s="247"/>
      <c r="H803" s="247"/>
      <c r="I803" s="247"/>
      <c r="J803" s="247"/>
      <c r="K803" s="247"/>
      <c r="L803" s="247"/>
      <c r="M803" s="247"/>
      <c r="N803" s="247"/>
      <c r="O803" s="247"/>
      <c r="P803" s="247"/>
      <c r="Q803" s="247"/>
      <c r="R803" s="247"/>
      <c r="S803" s="247"/>
      <c r="T803" s="247"/>
      <c r="U803" s="247"/>
    </row>
    <row r="804" spans="1:21" ht="13" hidden="1" customHeight="1">
      <c r="A804" s="263"/>
      <c r="B804" s="247"/>
      <c r="C804" s="247"/>
      <c r="D804" s="287"/>
      <c r="E804" s="247"/>
      <c r="F804" s="288"/>
      <c r="G804" s="247"/>
      <c r="H804" s="247"/>
      <c r="I804" s="247"/>
      <c r="J804" s="247"/>
      <c r="K804" s="247"/>
      <c r="L804" s="247"/>
      <c r="M804" s="247"/>
      <c r="N804" s="247"/>
      <c r="O804" s="247"/>
      <c r="P804" s="247"/>
      <c r="Q804" s="247"/>
      <c r="R804" s="247"/>
      <c r="S804" s="247"/>
      <c r="T804" s="247"/>
      <c r="U804" s="247"/>
    </row>
    <row r="805" spans="1:21" ht="13" hidden="1" customHeight="1">
      <c r="A805" s="263"/>
      <c r="B805" s="247"/>
      <c r="C805" s="247"/>
      <c r="D805" s="287"/>
      <c r="E805" s="247"/>
      <c r="F805" s="288"/>
      <c r="G805" s="247"/>
      <c r="H805" s="247"/>
      <c r="I805" s="247"/>
      <c r="J805" s="247"/>
      <c r="K805" s="247"/>
      <c r="L805" s="247"/>
      <c r="M805" s="247"/>
      <c r="N805" s="247"/>
      <c r="O805" s="247"/>
      <c r="P805" s="247"/>
      <c r="Q805" s="247"/>
      <c r="R805" s="247"/>
      <c r="S805" s="247"/>
      <c r="T805" s="247"/>
      <c r="U805" s="247"/>
    </row>
    <row r="806" spans="1:21" ht="13" hidden="1" customHeight="1">
      <c r="A806" s="263"/>
      <c r="B806" s="247"/>
      <c r="C806" s="247"/>
      <c r="D806" s="287"/>
      <c r="E806" s="247"/>
      <c r="F806" s="288"/>
      <c r="G806" s="247"/>
      <c r="H806" s="247"/>
      <c r="I806" s="247"/>
      <c r="J806" s="247"/>
      <c r="K806" s="247"/>
      <c r="L806" s="247"/>
      <c r="M806" s="247"/>
      <c r="N806" s="247"/>
      <c r="O806" s="247"/>
      <c r="P806" s="247"/>
      <c r="Q806" s="247"/>
      <c r="R806" s="247"/>
      <c r="S806" s="247"/>
      <c r="T806" s="247"/>
      <c r="U806" s="247"/>
    </row>
    <row r="807" spans="1:21" ht="13" hidden="1" customHeight="1">
      <c r="A807" s="263"/>
      <c r="B807" s="247"/>
      <c r="C807" s="247"/>
      <c r="D807" s="287"/>
      <c r="E807" s="247"/>
      <c r="F807" s="288"/>
      <c r="G807" s="247"/>
      <c r="H807" s="247"/>
      <c r="I807" s="247"/>
      <c r="J807" s="247"/>
      <c r="K807" s="247"/>
      <c r="L807" s="247"/>
      <c r="M807" s="247"/>
      <c r="N807" s="247"/>
      <c r="O807" s="247"/>
      <c r="P807" s="247"/>
      <c r="Q807" s="247"/>
      <c r="R807" s="247"/>
      <c r="S807" s="247"/>
      <c r="T807" s="247"/>
      <c r="U807" s="247"/>
    </row>
    <row r="808" spans="1:21" ht="13" hidden="1" customHeight="1">
      <c r="A808" s="263"/>
      <c r="B808" s="247"/>
      <c r="C808" s="247"/>
      <c r="D808" s="287"/>
      <c r="E808" s="247"/>
      <c r="F808" s="288"/>
      <c r="G808" s="247"/>
      <c r="H808" s="247"/>
      <c r="I808" s="247"/>
      <c r="J808" s="247"/>
      <c r="K808" s="247"/>
      <c r="L808" s="247"/>
      <c r="M808" s="247"/>
      <c r="N808" s="247"/>
      <c r="O808" s="247"/>
      <c r="P808" s="247"/>
      <c r="Q808" s="247"/>
      <c r="R808" s="247"/>
      <c r="S808" s="247"/>
      <c r="T808" s="247"/>
      <c r="U808" s="247"/>
    </row>
    <row r="809" spans="1:21" ht="13" hidden="1" customHeight="1">
      <c r="A809" s="263"/>
      <c r="B809" s="247"/>
      <c r="C809" s="247"/>
      <c r="D809" s="287"/>
      <c r="E809" s="247"/>
      <c r="F809" s="288"/>
      <c r="G809" s="247"/>
      <c r="H809" s="247"/>
      <c r="I809" s="247"/>
      <c r="J809" s="247"/>
      <c r="K809" s="247"/>
      <c r="L809" s="247"/>
      <c r="M809" s="247"/>
      <c r="N809" s="247"/>
      <c r="O809" s="247"/>
      <c r="P809" s="247"/>
      <c r="Q809" s="247"/>
      <c r="R809" s="247"/>
      <c r="S809" s="247"/>
      <c r="T809" s="247"/>
      <c r="U809" s="247"/>
    </row>
    <row r="810" spans="1:21" ht="13" hidden="1" customHeight="1">
      <c r="A810" s="263"/>
      <c r="B810" s="247"/>
      <c r="C810" s="247"/>
      <c r="D810" s="287"/>
      <c r="E810" s="247"/>
      <c r="F810" s="288"/>
      <c r="G810" s="247"/>
      <c r="H810" s="247"/>
      <c r="I810" s="247"/>
      <c r="J810" s="247"/>
      <c r="K810" s="247"/>
      <c r="L810" s="247"/>
      <c r="M810" s="247"/>
      <c r="N810" s="247"/>
      <c r="O810" s="247"/>
      <c r="P810" s="247"/>
      <c r="Q810" s="247"/>
      <c r="R810" s="247"/>
      <c r="S810" s="247"/>
      <c r="T810" s="247"/>
      <c r="U810" s="247"/>
    </row>
    <row r="811" spans="1:21" ht="13" hidden="1" customHeight="1">
      <c r="A811" s="263"/>
      <c r="B811" s="247"/>
      <c r="C811" s="247"/>
      <c r="D811" s="287"/>
      <c r="E811" s="247"/>
      <c r="F811" s="288"/>
      <c r="G811" s="247"/>
      <c r="H811" s="247"/>
      <c r="I811" s="247"/>
      <c r="J811" s="247"/>
      <c r="K811" s="247"/>
      <c r="L811" s="247"/>
      <c r="M811" s="247"/>
      <c r="N811" s="247"/>
      <c r="O811" s="247"/>
      <c r="P811" s="247"/>
      <c r="Q811" s="247"/>
      <c r="R811" s="247"/>
      <c r="S811" s="247"/>
      <c r="T811" s="247"/>
      <c r="U811" s="247"/>
    </row>
    <row r="812" spans="1:21" ht="13" hidden="1" customHeight="1">
      <c r="A812" s="263"/>
      <c r="B812" s="247"/>
      <c r="C812" s="247"/>
      <c r="D812" s="287"/>
      <c r="E812" s="247"/>
      <c r="F812" s="288"/>
      <c r="G812" s="247"/>
      <c r="H812" s="247"/>
      <c r="I812" s="247"/>
      <c r="J812" s="247"/>
      <c r="K812" s="247"/>
      <c r="L812" s="247"/>
      <c r="M812" s="247"/>
      <c r="N812" s="247"/>
      <c r="O812" s="247"/>
      <c r="P812" s="247"/>
      <c r="Q812" s="247"/>
      <c r="R812" s="247"/>
      <c r="S812" s="247"/>
      <c r="T812" s="247"/>
      <c r="U812" s="247"/>
    </row>
    <row r="813" spans="1:21" ht="13" hidden="1" customHeight="1">
      <c r="A813" s="263"/>
      <c r="B813" s="247"/>
      <c r="C813" s="247"/>
      <c r="D813" s="287"/>
      <c r="E813" s="247"/>
      <c r="F813" s="288"/>
      <c r="G813" s="247"/>
      <c r="H813" s="247"/>
      <c r="I813" s="247"/>
      <c r="J813" s="247"/>
      <c r="K813" s="247"/>
      <c r="L813" s="247"/>
      <c r="M813" s="247"/>
      <c r="N813" s="247"/>
      <c r="O813" s="247"/>
      <c r="P813" s="247"/>
      <c r="Q813" s="247"/>
      <c r="R813" s="247"/>
      <c r="S813" s="247"/>
      <c r="T813" s="247"/>
      <c r="U813" s="247"/>
    </row>
    <row r="814" spans="1:21" ht="13" hidden="1" customHeight="1">
      <c r="A814" s="263"/>
      <c r="B814" s="247"/>
      <c r="C814" s="247"/>
      <c r="D814" s="287"/>
      <c r="E814" s="247"/>
      <c r="F814" s="288"/>
      <c r="G814" s="247"/>
      <c r="H814" s="247"/>
      <c r="I814" s="247"/>
      <c r="J814" s="247"/>
      <c r="K814" s="247"/>
      <c r="L814" s="247"/>
      <c r="M814" s="247"/>
      <c r="N814" s="247"/>
      <c r="O814" s="247"/>
      <c r="P814" s="247"/>
      <c r="Q814" s="247"/>
      <c r="R814" s="247"/>
      <c r="S814" s="247"/>
      <c r="T814" s="247"/>
      <c r="U814" s="247"/>
    </row>
    <row r="815" spans="1:21" ht="13" hidden="1" customHeight="1">
      <c r="A815" s="263"/>
      <c r="B815" s="247"/>
      <c r="C815" s="247"/>
      <c r="D815" s="287"/>
      <c r="E815" s="247"/>
      <c r="F815" s="288"/>
      <c r="G815" s="247"/>
      <c r="H815" s="247"/>
      <c r="I815" s="247"/>
      <c r="J815" s="247"/>
      <c r="K815" s="247"/>
      <c r="L815" s="247"/>
      <c r="M815" s="247"/>
      <c r="N815" s="247"/>
      <c r="O815" s="247"/>
      <c r="P815" s="247"/>
      <c r="Q815" s="247"/>
      <c r="R815" s="247"/>
      <c r="S815" s="247"/>
      <c r="T815" s="247"/>
      <c r="U815" s="247"/>
    </row>
    <row r="816" spans="1:21" ht="13" hidden="1" customHeight="1">
      <c r="A816" s="263"/>
      <c r="B816" s="247"/>
      <c r="C816" s="247"/>
      <c r="D816" s="287"/>
      <c r="E816" s="247"/>
      <c r="F816" s="288"/>
      <c r="G816" s="247"/>
      <c r="H816" s="247"/>
      <c r="I816" s="247"/>
      <c r="J816" s="247"/>
      <c r="K816" s="247"/>
      <c r="L816" s="247"/>
      <c r="M816" s="247"/>
      <c r="N816" s="247"/>
      <c r="O816" s="247"/>
      <c r="P816" s="247"/>
      <c r="Q816" s="247"/>
      <c r="R816" s="247"/>
      <c r="S816" s="247"/>
      <c r="T816" s="247"/>
      <c r="U816" s="247"/>
    </row>
    <row r="817" spans="1:21" ht="13" hidden="1" customHeight="1">
      <c r="A817" s="263"/>
      <c r="B817" s="247"/>
      <c r="C817" s="247"/>
      <c r="D817" s="287"/>
      <c r="E817" s="247"/>
      <c r="F817" s="288"/>
      <c r="G817" s="247"/>
      <c r="H817" s="247"/>
      <c r="I817" s="247"/>
      <c r="J817" s="247"/>
      <c r="K817" s="247"/>
      <c r="L817" s="247"/>
      <c r="M817" s="247"/>
      <c r="N817" s="247"/>
      <c r="O817" s="247"/>
      <c r="P817" s="247"/>
      <c r="Q817" s="247"/>
      <c r="R817" s="247"/>
      <c r="S817" s="247"/>
      <c r="T817" s="247"/>
      <c r="U817" s="247"/>
    </row>
    <row r="818" spans="1:21" ht="13" hidden="1" customHeight="1">
      <c r="A818" s="263"/>
      <c r="B818" s="247"/>
      <c r="C818" s="247"/>
      <c r="D818" s="287"/>
      <c r="E818" s="247"/>
      <c r="F818" s="288"/>
      <c r="G818" s="247"/>
      <c r="H818" s="247"/>
      <c r="I818" s="247"/>
      <c r="J818" s="247"/>
      <c r="K818" s="247"/>
      <c r="L818" s="247"/>
      <c r="M818" s="247"/>
      <c r="N818" s="247"/>
      <c r="O818" s="247"/>
      <c r="P818" s="247"/>
      <c r="Q818" s="247"/>
      <c r="R818" s="247"/>
      <c r="S818" s="247"/>
      <c r="T818" s="247"/>
      <c r="U818" s="247"/>
    </row>
    <row r="819" spans="1:21" ht="13" hidden="1" customHeight="1">
      <c r="A819" s="263"/>
      <c r="B819" s="247"/>
      <c r="C819" s="247"/>
      <c r="D819" s="287"/>
      <c r="E819" s="247"/>
      <c r="F819" s="288"/>
      <c r="G819" s="247"/>
      <c r="H819" s="247"/>
      <c r="I819" s="247"/>
      <c r="J819" s="247"/>
      <c r="K819" s="247"/>
      <c r="L819" s="247"/>
      <c r="M819" s="247"/>
      <c r="N819" s="247"/>
      <c r="O819" s="247"/>
      <c r="P819" s="247"/>
      <c r="Q819" s="247"/>
      <c r="R819" s="247"/>
      <c r="S819" s="247"/>
      <c r="T819" s="247"/>
      <c r="U819" s="247"/>
    </row>
    <row r="820" spans="1:21" ht="13" hidden="1" customHeight="1">
      <c r="A820" s="263"/>
      <c r="B820" s="247"/>
      <c r="C820" s="247"/>
      <c r="D820" s="287"/>
      <c r="E820" s="247"/>
      <c r="F820" s="288"/>
      <c r="G820" s="247"/>
      <c r="H820" s="247"/>
      <c r="I820" s="247"/>
      <c r="J820" s="247"/>
      <c r="K820" s="247"/>
      <c r="L820" s="247"/>
      <c r="M820" s="247"/>
      <c r="N820" s="247"/>
      <c r="O820" s="247"/>
      <c r="P820" s="247"/>
      <c r="Q820" s="247"/>
      <c r="R820" s="247"/>
      <c r="S820" s="247"/>
      <c r="T820" s="247"/>
      <c r="U820" s="247"/>
    </row>
    <row r="821" spans="1:21" ht="13" hidden="1" customHeight="1">
      <c r="A821" s="263"/>
      <c r="B821" s="247"/>
      <c r="C821" s="247"/>
      <c r="D821" s="287"/>
      <c r="E821" s="247"/>
      <c r="F821" s="288"/>
      <c r="G821" s="247"/>
      <c r="H821" s="247"/>
      <c r="I821" s="247"/>
      <c r="J821" s="247"/>
      <c r="K821" s="247"/>
      <c r="L821" s="247"/>
      <c r="M821" s="247"/>
      <c r="N821" s="247"/>
      <c r="O821" s="247"/>
      <c r="P821" s="247"/>
      <c r="Q821" s="247"/>
      <c r="R821" s="247"/>
      <c r="S821" s="247"/>
      <c r="T821" s="247"/>
      <c r="U821" s="247"/>
    </row>
    <row r="822" spans="1:21" ht="13" hidden="1" customHeight="1">
      <c r="A822" s="263"/>
      <c r="B822" s="247"/>
      <c r="C822" s="247"/>
      <c r="D822" s="287"/>
      <c r="E822" s="247"/>
      <c r="F822" s="288"/>
      <c r="G822" s="247"/>
      <c r="H822" s="247"/>
      <c r="I822" s="247"/>
      <c r="J822" s="247"/>
      <c r="K822" s="247"/>
      <c r="L822" s="247"/>
      <c r="M822" s="247"/>
      <c r="N822" s="247"/>
      <c r="O822" s="247"/>
      <c r="P822" s="247"/>
      <c r="Q822" s="247"/>
      <c r="R822" s="247"/>
      <c r="S822" s="247"/>
      <c r="T822" s="247"/>
      <c r="U822" s="247"/>
    </row>
    <row r="823" spans="1:21" ht="13" hidden="1" customHeight="1">
      <c r="A823" s="263"/>
      <c r="B823" s="247"/>
      <c r="C823" s="247"/>
      <c r="D823" s="287"/>
      <c r="E823" s="247"/>
      <c r="F823" s="288"/>
      <c r="G823" s="247"/>
      <c r="H823" s="247"/>
      <c r="I823" s="247"/>
      <c r="J823" s="247"/>
      <c r="K823" s="247"/>
      <c r="L823" s="247"/>
      <c r="M823" s="247"/>
      <c r="N823" s="247"/>
      <c r="O823" s="247"/>
      <c r="P823" s="247"/>
      <c r="Q823" s="247"/>
      <c r="R823" s="247"/>
      <c r="S823" s="247"/>
      <c r="T823" s="247"/>
      <c r="U823" s="247"/>
    </row>
    <row r="824" spans="1:21" ht="13" hidden="1" customHeight="1">
      <c r="A824" s="263"/>
      <c r="B824" s="247"/>
      <c r="C824" s="247"/>
      <c r="D824" s="287"/>
      <c r="E824" s="247"/>
      <c r="F824" s="288"/>
      <c r="G824" s="247"/>
      <c r="H824" s="247"/>
      <c r="I824" s="247"/>
      <c r="J824" s="247"/>
      <c r="K824" s="247"/>
      <c r="L824" s="247"/>
      <c r="M824" s="247"/>
      <c r="N824" s="247"/>
      <c r="O824" s="247"/>
      <c r="P824" s="247"/>
      <c r="Q824" s="247"/>
      <c r="R824" s="247"/>
      <c r="S824" s="247"/>
      <c r="T824" s="247"/>
      <c r="U824" s="247"/>
    </row>
    <row r="825" spans="1:21" ht="13" hidden="1" customHeight="1">
      <c r="A825" s="263"/>
      <c r="B825" s="247"/>
      <c r="C825" s="247"/>
      <c r="D825" s="287"/>
      <c r="E825" s="247"/>
      <c r="F825" s="288"/>
      <c r="G825" s="247"/>
      <c r="H825" s="247"/>
      <c r="I825" s="247"/>
      <c r="J825" s="247"/>
      <c r="K825" s="247"/>
      <c r="L825" s="247"/>
      <c r="M825" s="247"/>
      <c r="N825" s="247"/>
      <c r="O825" s="247"/>
      <c r="P825" s="247"/>
      <c r="Q825" s="247"/>
      <c r="R825" s="247"/>
      <c r="S825" s="247"/>
      <c r="T825" s="247"/>
      <c r="U825" s="247"/>
    </row>
    <row r="826" spans="1:21" ht="13" hidden="1" customHeight="1">
      <c r="A826" s="263"/>
      <c r="B826" s="247"/>
      <c r="C826" s="247"/>
      <c r="D826" s="287"/>
      <c r="E826" s="247"/>
      <c r="F826" s="288"/>
      <c r="G826" s="247"/>
      <c r="H826" s="247"/>
      <c r="I826" s="247"/>
      <c r="J826" s="247"/>
      <c r="K826" s="247"/>
      <c r="L826" s="247"/>
      <c r="M826" s="247"/>
      <c r="N826" s="247"/>
      <c r="O826" s="247"/>
      <c r="P826" s="247"/>
      <c r="Q826" s="247"/>
      <c r="R826" s="247"/>
      <c r="S826" s="247"/>
      <c r="T826" s="247"/>
      <c r="U826" s="247"/>
    </row>
    <row r="827" spans="1:21" ht="13" hidden="1" customHeight="1">
      <c r="A827" s="263"/>
      <c r="B827" s="247"/>
      <c r="C827" s="247"/>
      <c r="D827" s="287"/>
      <c r="E827" s="247"/>
      <c r="F827" s="288"/>
      <c r="G827" s="247"/>
      <c r="H827" s="247"/>
      <c r="I827" s="247"/>
      <c r="J827" s="247"/>
      <c r="K827" s="247"/>
      <c r="L827" s="247"/>
      <c r="M827" s="247"/>
      <c r="N827" s="247"/>
      <c r="O827" s="247"/>
      <c r="P827" s="247"/>
      <c r="Q827" s="247"/>
      <c r="R827" s="247"/>
      <c r="S827" s="247"/>
      <c r="T827" s="247"/>
      <c r="U827" s="247"/>
    </row>
    <row r="828" spans="1:21" ht="13" hidden="1" customHeight="1">
      <c r="A828" s="263"/>
      <c r="B828" s="247"/>
      <c r="C828" s="247"/>
      <c r="D828" s="287"/>
      <c r="E828" s="247"/>
      <c r="F828" s="288"/>
      <c r="G828" s="247"/>
      <c r="H828" s="247"/>
      <c r="I828" s="247"/>
      <c r="J828" s="247"/>
      <c r="K828" s="247"/>
      <c r="L828" s="247"/>
      <c r="M828" s="247"/>
      <c r="N828" s="247"/>
      <c r="O828" s="247"/>
      <c r="P828" s="247"/>
      <c r="Q828" s="247"/>
      <c r="R828" s="247"/>
      <c r="S828" s="247"/>
      <c r="T828" s="247"/>
      <c r="U828" s="247"/>
    </row>
    <row r="829" spans="1:21" ht="13" hidden="1" customHeight="1">
      <c r="A829" s="263"/>
      <c r="B829" s="247"/>
      <c r="C829" s="247"/>
      <c r="D829" s="287"/>
      <c r="E829" s="247"/>
      <c r="F829" s="288"/>
      <c r="G829" s="247"/>
      <c r="H829" s="247"/>
      <c r="I829" s="247"/>
      <c r="J829" s="247"/>
      <c r="K829" s="247"/>
      <c r="L829" s="247"/>
      <c r="M829" s="247"/>
      <c r="N829" s="247"/>
      <c r="O829" s="247"/>
      <c r="P829" s="247"/>
      <c r="Q829" s="247"/>
      <c r="R829" s="247"/>
      <c r="S829" s="247"/>
      <c r="T829" s="247"/>
      <c r="U829" s="247"/>
    </row>
    <row r="830" spans="1:21" ht="13" hidden="1" customHeight="1">
      <c r="A830" s="263"/>
      <c r="B830" s="247"/>
      <c r="C830" s="247"/>
      <c r="D830" s="287"/>
      <c r="E830" s="247"/>
      <c r="F830" s="288"/>
      <c r="G830" s="247"/>
      <c r="H830" s="247"/>
      <c r="I830" s="247"/>
      <c r="J830" s="247"/>
      <c r="K830" s="247"/>
      <c r="L830" s="247"/>
      <c r="M830" s="247"/>
      <c r="N830" s="247"/>
      <c r="O830" s="247"/>
      <c r="P830" s="247"/>
      <c r="Q830" s="247"/>
      <c r="R830" s="247"/>
      <c r="S830" s="247"/>
      <c r="T830" s="247"/>
      <c r="U830" s="247"/>
    </row>
    <row r="831" spans="1:21" ht="13" hidden="1" customHeight="1">
      <c r="A831" s="263"/>
      <c r="B831" s="247"/>
      <c r="C831" s="247"/>
      <c r="D831" s="287"/>
      <c r="E831" s="247"/>
      <c r="F831" s="288"/>
      <c r="G831" s="247"/>
      <c r="H831" s="247"/>
      <c r="I831" s="247"/>
      <c r="J831" s="247"/>
      <c r="K831" s="247"/>
      <c r="L831" s="247"/>
      <c r="M831" s="247"/>
      <c r="N831" s="247"/>
      <c r="O831" s="247"/>
      <c r="P831" s="247"/>
      <c r="Q831" s="247"/>
      <c r="R831" s="247"/>
      <c r="S831" s="247"/>
      <c r="T831" s="247"/>
      <c r="U831" s="247"/>
    </row>
    <row r="832" spans="1:21" ht="13" hidden="1" customHeight="1">
      <c r="A832" s="263"/>
      <c r="B832" s="247"/>
      <c r="C832" s="247"/>
      <c r="D832" s="287"/>
      <c r="E832" s="247"/>
      <c r="F832" s="288"/>
      <c r="G832" s="247"/>
      <c r="H832" s="247"/>
      <c r="I832" s="247"/>
      <c r="J832" s="247"/>
      <c r="K832" s="247"/>
      <c r="L832" s="247"/>
      <c r="M832" s="247"/>
      <c r="N832" s="247"/>
      <c r="O832" s="247"/>
      <c r="P832" s="247"/>
      <c r="Q832" s="247"/>
      <c r="R832" s="247"/>
      <c r="S832" s="247"/>
      <c r="T832" s="247"/>
      <c r="U832" s="247"/>
    </row>
    <row r="833" spans="1:21" ht="13" hidden="1" customHeight="1">
      <c r="A833" s="263"/>
      <c r="B833" s="247"/>
      <c r="C833" s="247"/>
      <c r="D833" s="287"/>
      <c r="E833" s="247"/>
      <c r="F833" s="288"/>
      <c r="G833" s="247"/>
      <c r="H833" s="247"/>
      <c r="I833" s="247"/>
      <c r="J833" s="247"/>
      <c r="K833" s="247"/>
      <c r="L833" s="247"/>
      <c r="M833" s="247"/>
      <c r="N833" s="247"/>
      <c r="O833" s="247"/>
      <c r="P833" s="247"/>
      <c r="Q833" s="247"/>
      <c r="R833" s="247"/>
      <c r="S833" s="247"/>
      <c r="T833" s="247"/>
      <c r="U833" s="247"/>
    </row>
    <row r="834" spans="1:21" ht="13" hidden="1" customHeight="1">
      <c r="A834" s="263"/>
      <c r="B834" s="247"/>
      <c r="C834" s="247"/>
      <c r="D834" s="287"/>
      <c r="E834" s="247"/>
      <c r="F834" s="288"/>
      <c r="G834" s="247"/>
      <c r="H834" s="247"/>
      <c r="I834" s="247"/>
      <c r="J834" s="247"/>
      <c r="K834" s="247"/>
      <c r="L834" s="247"/>
      <c r="M834" s="247"/>
      <c r="N834" s="247"/>
      <c r="O834" s="247"/>
      <c r="P834" s="247"/>
      <c r="Q834" s="247"/>
      <c r="R834" s="247"/>
      <c r="S834" s="247"/>
      <c r="T834" s="247"/>
      <c r="U834" s="247"/>
    </row>
    <row r="835" spans="1:21" ht="13" hidden="1" customHeight="1">
      <c r="A835" s="263"/>
      <c r="B835" s="247"/>
      <c r="C835" s="247"/>
      <c r="D835" s="287"/>
      <c r="E835" s="247"/>
      <c r="F835" s="288"/>
      <c r="G835" s="247"/>
      <c r="H835" s="247"/>
      <c r="I835" s="247"/>
      <c r="J835" s="247"/>
      <c r="K835" s="247"/>
      <c r="L835" s="247"/>
      <c r="M835" s="247"/>
      <c r="N835" s="247"/>
      <c r="O835" s="247"/>
      <c r="P835" s="247"/>
      <c r="Q835" s="247"/>
      <c r="R835" s="247"/>
      <c r="S835" s="247"/>
      <c r="T835" s="247"/>
      <c r="U835" s="247"/>
    </row>
    <row r="836" spans="1:21" ht="13" hidden="1" customHeight="1">
      <c r="A836" s="263"/>
      <c r="B836" s="247"/>
      <c r="C836" s="247"/>
      <c r="D836" s="287"/>
      <c r="E836" s="247"/>
      <c r="F836" s="288"/>
      <c r="G836" s="247"/>
      <c r="H836" s="247"/>
      <c r="I836" s="247"/>
      <c r="J836" s="247"/>
      <c r="K836" s="247"/>
      <c r="L836" s="247"/>
      <c r="M836" s="247"/>
      <c r="N836" s="247"/>
      <c r="O836" s="247"/>
      <c r="P836" s="247"/>
      <c r="Q836" s="247"/>
      <c r="R836" s="247"/>
      <c r="S836" s="247"/>
      <c r="T836" s="247"/>
      <c r="U836" s="247"/>
    </row>
    <row r="837" spans="1:21" ht="13" hidden="1" customHeight="1">
      <c r="A837" s="263"/>
      <c r="B837" s="247"/>
      <c r="C837" s="247"/>
      <c r="D837" s="287"/>
      <c r="E837" s="247"/>
      <c r="F837" s="288"/>
      <c r="G837" s="247"/>
      <c r="H837" s="247"/>
      <c r="I837" s="247"/>
      <c r="J837" s="247"/>
      <c r="K837" s="247"/>
      <c r="L837" s="247"/>
      <c r="M837" s="247"/>
      <c r="N837" s="247"/>
      <c r="O837" s="247"/>
      <c r="P837" s="247"/>
      <c r="Q837" s="247"/>
      <c r="R837" s="247"/>
      <c r="S837" s="247"/>
      <c r="T837" s="247"/>
      <c r="U837" s="247"/>
    </row>
    <row r="838" spans="1:21" ht="13" hidden="1" customHeight="1">
      <c r="A838" s="263"/>
      <c r="B838" s="247"/>
      <c r="C838" s="247"/>
      <c r="D838" s="287"/>
      <c r="E838" s="247"/>
      <c r="F838" s="288"/>
      <c r="G838" s="247"/>
      <c r="H838" s="247"/>
      <c r="I838" s="247"/>
      <c r="J838" s="247"/>
      <c r="K838" s="247"/>
      <c r="L838" s="247"/>
      <c r="M838" s="247"/>
      <c r="N838" s="247"/>
      <c r="O838" s="247"/>
      <c r="P838" s="247"/>
      <c r="Q838" s="247"/>
      <c r="R838" s="247"/>
      <c r="S838" s="247"/>
      <c r="T838" s="247"/>
      <c r="U838" s="247"/>
    </row>
    <row r="839" spans="1:21" ht="13" hidden="1" customHeight="1">
      <c r="A839" s="263"/>
      <c r="B839" s="247"/>
      <c r="C839" s="247"/>
      <c r="D839" s="287"/>
      <c r="E839" s="247"/>
      <c r="F839" s="288"/>
      <c r="G839" s="247"/>
      <c r="H839" s="247"/>
      <c r="I839" s="247"/>
      <c r="J839" s="247"/>
      <c r="K839" s="247"/>
      <c r="L839" s="247"/>
      <c r="M839" s="247"/>
      <c r="N839" s="247"/>
      <c r="O839" s="247"/>
      <c r="P839" s="247"/>
      <c r="Q839" s="247"/>
      <c r="R839" s="247"/>
      <c r="S839" s="247"/>
      <c r="T839" s="247"/>
      <c r="U839" s="247"/>
    </row>
    <row r="840" spans="1:21" ht="13" hidden="1" customHeight="1">
      <c r="A840" s="263"/>
      <c r="B840" s="247"/>
      <c r="C840" s="247"/>
      <c r="D840" s="287"/>
      <c r="E840" s="247"/>
      <c r="F840" s="288"/>
      <c r="G840" s="247"/>
      <c r="H840" s="247"/>
      <c r="I840" s="247"/>
      <c r="J840" s="247"/>
      <c r="K840" s="247"/>
      <c r="L840" s="247"/>
      <c r="M840" s="247"/>
      <c r="N840" s="247"/>
      <c r="O840" s="247"/>
      <c r="P840" s="247"/>
      <c r="Q840" s="247"/>
      <c r="R840" s="247"/>
      <c r="S840" s="247"/>
      <c r="T840" s="247"/>
      <c r="U840" s="247"/>
    </row>
    <row r="841" spans="1:21" ht="13" hidden="1" customHeight="1">
      <c r="A841" s="263"/>
      <c r="B841" s="247"/>
      <c r="C841" s="247"/>
      <c r="D841" s="287"/>
      <c r="E841" s="247"/>
      <c r="F841" s="288"/>
      <c r="G841" s="247"/>
      <c r="H841" s="247"/>
      <c r="I841" s="247"/>
      <c r="J841" s="247"/>
      <c r="K841" s="247"/>
      <c r="L841" s="247"/>
      <c r="M841" s="247"/>
      <c r="N841" s="247"/>
      <c r="O841" s="247"/>
      <c r="P841" s="247"/>
      <c r="Q841" s="247"/>
      <c r="R841" s="247"/>
      <c r="S841" s="247"/>
      <c r="T841" s="247"/>
      <c r="U841" s="247"/>
    </row>
    <row r="842" spans="1:21" ht="13" hidden="1" customHeight="1">
      <c r="A842" s="263"/>
      <c r="B842" s="247"/>
      <c r="C842" s="247"/>
      <c r="D842" s="287"/>
      <c r="E842" s="247"/>
      <c r="F842" s="288"/>
      <c r="G842" s="247"/>
      <c r="H842" s="247"/>
      <c r="I842" s="247"/>
      <c r="J842" s="247"/>
      <c r="K842" s="247"/>
      <c r="L842" s="247"/>
      <c r="M842" s="247"/>
      <c r="N842" s="247"/>
      <c r="O842" s="247"/>
      <c r="P842" s="247"/>
      <c r="Q842" s="247"/>
      <c r="R842" s="247"/>
      <c r="S842" s="247"/>
      <c r="T842" s="247"/>
      <c r="U842" s="247"/>
    </row>
    <row r="843" spans="1:21" ht="13" hidden="1" customHeight="1">
      <c r="A843" s="263"/>
      <c r="B843" s="247"/>
      <c r="C843" s="247"/>
      <c r="D843" s="287"/>
      <c r="E843" s="247"/>
      <c r="F843" s="288"/>
      <c r="G843" s="247"/>
      <c r="H843" s="247"/>
      <c r="I843" s="247"/>
      <c r="J843" s="247"/>
      <c r="K843" s="247"/>
      <c r="L843" s="247"/>
      <c r="M843" s="247"/>
      <c r="N843" s="247"/>
      <c r="O843" s="247"/>
      <c r="P843" s="247"/>
      <c r="Q843" s="247"/>
      <c r="R843" s="247"/>
      <c r="S843" s="247"/>
      <c r="T843" s="247"/>
      <c r="U843" s="247"/>
    </row>
    <row r="844" spans="1:21" ht="13" hidden="1" customHeight="1">
      <c r="A844" s="263"/>
      <c r="B844" s="247"/>
      <c r="C844" s="247"/>
      <c r="D844" s="287"/>
      <c r="E844" s="247"/>
      <c r="F844" s="288"/>
      <c r="G844" s="247"/>
      <c r="H844" s="247"/>
      <c r="I844" s="247"/>
      <c r="J844" s="247"/>
      <c r="K844" s="247"/>
      <c r="L844" s="247"/>
      <c r="M844" s="247"/>
      <c r="N844" s="247"/>
      <c r="O844" s="247"/>
      <c r="P844" s="247"/>
      <c r="Q844" s="247"/>
      <c r="R844" s="247"/>
      <c r="S844" s="247"/>
      <c r="T844" s="247"/>
      <c r="U844" s="247"/>
    </row>
    <row r="845" spans="1:21" ht="13" hidden="1" customHeight="1">
      <c r="A845" s="263"/>
      <c r="B845" s="247"/>
      <c r="C845" s="247"/>
      <c r="D845" s="287"/>
      <c r="E845" s="247"/>
      <c r="F845" s="288"/>
      <c r="G845" s="247"/>
      <c r="H845" s="247"/>
      <c r="I845" s="247"/>
      <c r="J845" s="247"/>
      <c r="K845" s="247"/>
      <c r="L845" s="247"/>
      <c r="M845" s="247"/>
      <c r="N845" s="247"/>
      <c r="O845" s="247"/>
      <c r="P845" s="247"/>
      <c r="Q845" s="247"/>
      <c r="R845" s="247"/>
      <c r="S845" s="247"/>
      <c r="T845" s="247"/>
      <c r="U845" s="247"/>
    </row>
    <row r="846" spans="1:21" ht="13" hidden="1" customHeight="1">
      <c r="A846" s="263"/>
      <c r="B846" s="247"/>
      <c r="C846" s="247"/>
      <c r="D846" s="287"/>
      <c r="E846" s="247"/>
      <c r="F846" s="288"/>
      <c r="G846" s="247"/>
      <c r="H846" s="247"/>
      <c r="I846" s="247"/>
      <c r="J846" s="247"/>
      <c r="K846" s="247"/>
      <c r="L846" s="247"/>
      <c r="M846" s="247"/>
      <c r="N846" s="247"/>
      <c r="O846" s="247"/>
      <c r="P846" s="247"/>
      <c r="Q846" s="247"/>
      <c r="R846" s="247"/>
      <c r="S846" s="247"/>
      <c r="T846" s="247"/>
      <c r="U846" s="247"/>
    </row>
    <row r="847" spans="1:21" ht="13" hidden="1" customHeight="1">
      <c r="A847" s="263"/>
      <c r="B847" s="247"/>
      <c r="C847" s="247"/>
      <c r="D847" s="287"/>
      <c r="E847" s="247"/>
      <c r="F847" s="288"/>
      <c r="G847" s="247"/>
      <c r="H847" s="247"/>
      <c r="I847" s="247"/>
      <c r="J847" s="247"/>
      <c r="K847" s="247"/>
      <c r="L847" s="247"/>
      <c r="M847" s="247"/>
      <c r="N847" s="247"/>
      <c r="O847" s="247"/>
      <c r="P847" s="247"/>
      <c r="Q847" s="247"/>
      <c r="R847" s="247"/>
      <c r="S847" s="247"/>
      <c r="T847" s="247"/>
      <c r="U847" s="247"/>
    </row>
    <row r="848" spans="1:21" ht="13" hidden="1" customHeight="1">
      <c r="A848" s="263"/>
      <c r="B848" s="247"/>
      <c r="C848" s="247"/>
      <c r="D848" s="287"/>
      <c r="E848" s="247"/>
      <c r="F848" s="288"/>
      <c r="G848" s="247"/>
      <c r="H848" s="247"/>
      <c r="I848" s="247"/>
      <c r="J848" s="247"/>
      <c r="K848" s="247"/>
      <c r="L848" s="247"/>
      <c r="M848" s="247"/>
      <c r="N848" s="247"/>
      <c r="O848" s="247"/>
      <c r="P848" s="247"/>
      <c r="Q848" s="247"/>
      <c r="R848" s="247"/>
      <c r="S848" s="247"/>
      <c r="T848" s="247"/>
      <c r="U848" s="247"/>
    </row>
    <row r="849" spans="1:21" ht="13" hidden="1" customHeight="1">
      <c r="A849" s="263"/>
      <c r="B849" s="247"/>
      <c r="C849" s="247"/>
      <c r="D849" s="287"/>
      <c r="E849" s="247"/>
      <c r="F849" s="288"/>
      <c r="G849" s="247"/>
      <c r="H849" s="247"/>
      <c r="I849" s="247"/>
      <c r="J849" s="247"/>
      <c r="K849" s="247"/>
      <c r="L849" s="247"/>
      <c r="M849" s="247"/>
      <c r="N849" s="247"/>
      <c r="O849" s="247"/>
      <c r="P849" s="247"/>
      <c r="Q849" s="247"/>
      <c r="R849" s="247"/>
      <c r="S849" s="247"/>
      <c r="T849" s="247"/>
      <c r="U849" s="247"/>
    </row>
    <row r="850" spans="1:21" ht="13" hidden="1" customHeight="1">
      <c r="A850" s="263"/>
      <c r="B850" s="247"/>
      <c r="C850" s="247"/>
      <c r="D850" s="287"/>
      <c r="E850" s="247"/>
      <c r="F850" s="288"/>
      <c r="G850" s="247"/>
      <c r="H850" s="247"/>
      <c r="I850" s="247"/>
      <c r="J850" s="247"/>
      <c r="K850" s="247"/>
      <c r="L850" s="247"/>
      <c r="M850" s="247"/>
      <c r="N850" s="247"/>
      <c r="O850" s="247"/>
      <c r="P850" s="247"/>
      <c r="Q850" s="247"/>
      <c r="R850" s="247"/>
      <c r="S850" s="247"/>
      <c r="T850" s="247"/>
      <c r="U850" s="247"/>
    </row>
    <row r="851" spans="1:21" ht="13" hidden="1" customHeight="1">
      <c r="A851" s="263"/>
      <c r="B851" s="247"/>
      <c r="C851" s="247"/>
      <c r="D851" s="287"/>
      <c r="E851" s="247"/>
      <c r="F851" s="288"/>
      <c r="G851" s="247"/>
      <c r="H851" s="247"/>
      <c r="I851" s="247"/>
      <c r="J851" s="247"/>
      <c r="K851" s="247"/>
      <c r="L851" s="247"/>
      <c r="M851" s="247"/>
      <c r="N851" s="247"/>
      <c r="O851" s="247"/>
      <c r="P851" s="247"/>
      <c r="Q851" s="247"/>
      <c r="R851" s="247"/>
      <c r="S851" s="247"/>
      <c r="T851" s="247"/>
      <c r="U851" s="247"/>
    </row>
    <row r="852" spans="1:21" ht="13" hidden="1" customHeight="1">
      <c r="A852" s="263"/>
      <c r="B852" s="247"/>
      <c r="C852" s="247"/>
      <c r="D852" s="287"/>
      <c r="E852" s="247"/>
      <c r="F852" s="288"/>
      <c r="G852" s="247"/>
      <c r="H852" s="247"/>
      <c r="I852" s="247"/>
      <c r="J852" s="247"/>
      <c r="K852" s="247"/>
      <c r="L852" s="247"/>
      <c r="M852" s="247"/>
      <c r="N852" s="247"/>
      <c r="O852" s="247"/>
      <c r="P852" s="247"/>
      <c r="Q852" s="247"/>
      <c r="R852" s="247"/>
      <c r="S852" s="247"/>
      <c r="T852" s="247"/>
      <c r="U852" s="247"/>
    </row>
    <row r="853" spans="1:21" ht="13" hidden="1" customHeight="1">
      <c r="A853" s="263"/>
      <c r="B853" s="247"/>
      <c r="C853" s="247"/>
      <c r="D853" s="287"/>
      <c r="E853" s="247"/>
      <c r="F853" s="288"/>
      <c r="G853" s="247"/>
      <c r="H853" s="247"/>
      <c r="I853" s="247"/>
      <c r="J853" s="247"/>
      <c r="K853" s="247"/>
      <c r="L853" s="247"/>
      <c r="M853" s="247"/>
      <c r="N853" s="247"/>
      <c r="O853" s="247"/>
      <c r="P853" s="247"/>
      <c r="Q853" s="247"/>
      <c r="R853" s="247"/>
      <c r="S853" s="247"/>
      <c r="T853" s="247"/>
      <c r="U853" s="247"/>
    </row>
    <row r="854" spans="1:21" ht="13" hidden="1" customHeight="1">
      <c r="A854" s="263"/>
      <c r="B854" s="247"/>
      <c r="C854" s="247"/>
      <c r="D854" s="287"/>
      <c r="E854" s="247"/>
      <c r="F854" s="288"/>
      <c r="G854" s="247"/>
      <c r="H854" s="247"/>
      <c r="I854" s="247"/>
      <c r="J854" s="247"/>
      <c r="K854" s="247"/>
      <c r="L854" s="247"/>
      <c r="M854" s="247"/>
      <c r="N854" s="247"/>
      <c r="O854" s="247"/>
      <c r="P854" s="247"/>
      <c r="Q854" s="247"/>
      <c r="R854" s="247"/>
      <c r="S854" s="247"/>
      <c r="T854" s="247"/>
      <c r="U854" s="247"/>
    </row>
    <row r="855" spans="1:21" ht="13" hidden="1" customHeight="1">
      <c r="A855" s="263"/>
      <c r="B855" s="247"/>
      <c r="C855" s="247"/>
      <c r="D855" s="287"/>
      <c r="E855" s="247"/>
      <c r="F855" s="288"/>
      <c r="G855" s="247"/>
      <c r="H855" s="247"/>
      <c r="I855" s="247"/>
      <c r="J855" s="247"/>
      <c r="K855" s="247"/>
      <c r="L855" s="247"/>
      <c r="M855" s="247"/>
      <c r="N855" s="247"/>
      <c r="O855" s="247"/>
      <c r="P855" s="247"/>
      <c r="Q855" s="247"/>
      <c r="R855" s="247"/>
      <c r="S855" s="247"/>
      <c r="T855" s="247"/>
      <c r="U855" s="247"/>
    </row>
    <row r="856" spans="1:21" ht="13" hidden="1" customHeight="1">
      <c r="A856" s="263"/>
      <c r="B856" s="247"/>
      <c r="C856" s="247"/>
      <c r="D856" s="287"/>
      <c r="E856" s="247"/>
      <c r="F856" s="288"/>
      <c r="G856" s="247"/>
      <c r="H856" s="247"/>
      <c r="I856" s="247"/>
      <c r="J856" s="247"/>
      <c r="K856" s="247"/>
      <c r="L856" s="247"/>
      <c r="M856" s="247"/>
      <c r="N856" s="247"/>
      <c r="O856" s="247"/>
      <c r="P856" s="247"/>
      <c r="Q856" s="247"/>
      <c r="R856" s="247"/>
      <c r="S856" s="247"/>
      <c r="T856" s="247"/>
      <c r="U856" s="247"/>
    </row>
    <row r="857" spans="1:21" ht="13" hidden="1" customHeight="1">
      <c r="A857" s="263"/>
      <c r="B857" s="247"/>
      <c r="C857" s="247"/>
      <c r="D857" s="287"/>
      <c r="E857" s="247"/>
      <c r="F857" s="288"/>
      <c r="G857" s="247"/>
      <c r="H857" s="247"/>
      <c r="I857" s="247"/>
      <c r="J857" s="247"/>
      <c r="K857" s="247"/>
      <c r="L857" s="247"/>
      <c r="M857" s="247"/>
      <c r="N857" s="247"/>
      <c r="O857" s="247"/>
      <c r="P857" s="247"/>
      <c r="Q857" s="247"/>
      <c r="R857" s="247"/>
      <c r="S857" s="247"/>
      <c r="T857" s="247"/>
      <c r="U857" s="247"/>
    </row>
    <row r="858" spans="1:21" ht="13" hidden="1" customHeight="1">
      <c r="A858" s="263"/>
      <c r="B858" s="247"/>
      <c r="C858" s="247"/>
      <c r="D858" s="287"/>
      <c r="E858" s="247"/>
      <c r="F858" s="288"/>
      <c r="G858" s="247"/>
      <c r="H858" s="247"/>
      <c r="I858" s="247"/>
      <c r="J858" s="247"/>
      <c r="K858" s="247"/>
      <c r="L858" s="247"/>
      <c r="M858" s="247"/>
      <c r="N858" s="247"/>
      <c r="O858" s="247"/>
      <c r="P858" s="247"/>
      <c r="Q858" s="247"/>
      <c r="R858" s="247"/>
      <c r="S858" s="247"/>
      <c r="T858" s="247"/>
      <c r="U858" s="247"/>
    </row>
    <row r="859" spans="1:21" ht="13" hidden="1" customHeight="1">
      <c r="A859" s="263"/>
      <c r="B859" s="247"/>
      <c r="C859" s="247"/>
      <c r="D859" s="287"/>
      <c r="E859" s="247"/>
      <c r="F859" s="288"/>
      <c r="G859" s="247"/>
      <c r="H859" s="247"/>
      <c r="I859" s="247"/>
      <c r="J859" s="247"/>
      <c r="K859" s="247"/>
      <c r="L859" s="247"/>
      <c r="M859" s="247"/>
      <c r="N859" s="247"/>
      <c r="O859" s="247"/>
      <c r="P859" s="247"/>
      <c r="Q859" s="247"/>
      <c r="R859" s="247"/>
      <c r="S859" s="247"/>
      <c r="T859" s="247"/>
      <c r="U859" s="247"/>
    </row>
    <row r="860" spans="1:21" ht="13" hidden="1" customHeight="1">
      <c r="A860" s="263"/>
      <c r="B860" s="247"/>
      <c r="C860" s="247"/>
      <c r="D860" s="287"/>
      <c r="E860" s="247"/>
      <c r="F860" s="288"/>
      <c r="G860" s="247"/>
      <c r="H860" s="247"/>
      <c r="I860" s="247"/>
      <c r="J860" s="247"/>
      <c r="K860" s="247"/>
      <c r="L860" s="247"/>
      <c r="M860" s="247"/>
      <c r="N860" s="247"/>
      <c r="O860" s="247"/>
      <c r="P860" s="247"/>
      <c r="Q860" s="247"/>
      <c r="R860" s="247"/>
      <c r="S860" s="247"/>
      <c r="T860" s="247"/>
      <c r="U860" s="247"/>
    </row>
    <row r="861" spans="1:21" ht="13" hidden="1" customHeight="1">
      <c r="A861" s="263"/>
      <c r="B861" s="247"/>
      <c r="C861" s="247"/>
      <c r="D861" s="287"/>
      <c r="E861" s="247"/>
      <c r="F861" s="288"/>
      <c r="G861" s="247"/>
      <c r="H861" s="247"/>
      <c r="I861" s="247"/>
      <c r="J861" s="247"/>
      <c r="K861" s="247"/>
      <c r="L861" s="247"/>
      <c r="M861" s="247"/>
      <c r="N861" s="247"/>
      <c r="O861" s="247"/>
      <c r="P861" s="247"/>
      <c r="Q861" s="247"/>
      <c r="R861" s="247"/>
      <c r="S861" s="247"/>
      <c r="T861" s="247"/>
      <c r="U861" s="247"/>
    </row>
    <row r="862" spans="1:21" ht="13" hidden="1" customHeight="1">
      <c r="A862" s="263"/>
      <c r="B862" s="247"/>
      <c r="C862" s="247"/>
      <c r="D862" s="287"/>
      <c r="E862" s="247"/>
      <c r="F862" s="288"/>
      <c r="G862" s="247"/>
      <c r="H862" s="247"/>
      <c r="I862" s="247"/>
      <c r="J862" s="247"/>
      <c r="K862" s="247"/>
      <c r="L862" s="247"/>
      <c r="M862" s="247"/>
      <c r="N862" s="247"/>
      <c r="O862" s="247"/>
      <c r="P862" s="247"/>
      <c r="Q862" s="247"/>
      <c r="R862" s="247"/>
      <c r="S862" s="247"/>
      <c r="T862" s="247"/>
      <c r="U862" s="247"/>
    </row>
    <row r="863" spans="1:21" ht="13" hidden="1" customHeight="1">
      <c r="A863" s="263"/>
      <c r="B863" s="247"/>
      <c r="C863" s="247"/>
      <c r="D863" s="287"/>
      <c r="E863" s="247"/>
      <c r="F863" s="288"/>
      <c r="G863" s="247"/>
      <c r="H863" s="247"/>
      <c r="I863" s="247"/>
      <c r="J863" s="247"/>
      <c r="K863" s="247"/>
      <c r="L863" s="247"/>
      <c r="M863" s="247"/>
      <c r="N863" s="247"/>
      <c r="O863" s="247"/>
      <c r="P863" s="247"/>
      <c r="Q863" s="247"/>
      <c r="R863" s="247"/>
      <c r="S863" s="247"/>
      <c r="T863" s="247"/>
      <c r="U863" s="247"/>
    </row>
    <row r="864" spans="1:21" ht="13" hidden="1" customHeight="1">
      <c r="A864" s="263"/>
      <c r="B864" s="247"/>
      <c r="C864" s="247"/>
      <c r="D864" s="287"/>
      <c r="E864" s="247"/>
      <c r="F864" s="288"/>
      <c r="G864" s="247"/>
      <c r="H864" s="247"/>
      <c r="I864" s="247"/>
      <c r="J864" s="247"/>
      <c r="K864" s="247"/>
      <c r="L864" s="247"/>
      <c r="M864" s="247"/>
      <c r="N864" s="247"/>
      <c r="O864" s="247"/>
      <c r="P864" s="247"/>
      <c r="Q864" s="247"/>
      <c r="R864" s="247"/>
      <c r="S864" s="247"/>
      <c r="T864" s="247"/>
      <c r="U864" s="247"/>
    </row>
    <row r="865" spans="1:21" ht="13" hidden="1" customHeight="1">
      <c r="A865" s="263"/>
      <c r="B865" s="247"/>
      <c r="C865" s="247"/>
      <c r="D865" s="287"/>
      <c r="E865" s="247"/>
      <c r="F865" s="288"/>
      <c r="G865" s="247"/>
      <c r="H865" s="247"/>
      <c r="I865" s="247"/>
      <c r="J865" s="247"/>
      <c r="K865" s="247"/>
      <c r="L865" s="247"/>
      <c r="M865" s="247"/>
      <c r="N865" s="247"/>
      <c r="O865" s="247"/>
      <c r="P865" s="247"/>
      <c r="Q865" s="247"/>
      <c r="R865" s="247"/>
      <c r="S865" s="247"/>
      <c r="T865" s="247"/>
      <c r="U865" s="247"/>
    </row>
    <row r="866" spans="1:21" ht="13" hidden="1" customHeight="1">
      <c r="A866" s="263"/>
      <c r="B866" s="247"/>
      <c r="C866" s="247"/>
      <c r="D866" s="287"/>
      <c r="E866" s="247"/>
      <c r="F866" s="288"/>
      <c r="G866" s="247"/>
      <c r="H866" s="247"/>
      <c r="I866" s="247"/>
      <c r="J866" s="247"/>
      <c r="K866" s="247"/>
      <c r="L866" s="247"/>
      <c r="M866" s="247"/>
      <c r="N866" s="247"/>
      <c r="O866" s="247"/>
      <c r="P866" s="247"/>
      <c r="Q866" s="247"/>
      <c r="R866" s="247"/>
      <c r="S866" s="247"/>
      <c r="T866" s="247"/>
      <c r="U866" s="247"/>
    </row>
    <row r="867" spans="1:21" ht="13" hidden="1" customHeight="1">
      <c r="A867" s="263"/>
      <c r="B867" s="247"/>
      <c r="C867" s="247"/>
      <c r="D867" s="287"/>
      <c r="E867" s="247"/>
      <c r="F867" s="288"/>
      <c r="G867" s="247"/>
      <c r="H867" s="247"/>
      <c r="I867" s="247"/>
      <c r="J867" s="247"/>
      <c r="K867" s="247"/>
      <c r="L867" s="247"/>
      <c r="M867" s="247"/>
      <c r="N867" s="247"/>
      <c r="O867" s="247"/>
      <c r="P867" s="247"/>
      <c r="Q867" s="247"/>
      <c r="R867" s="247"/>
      <c r="S867" s="247"/>
      <c r="T867" s="247"/>
      <c r="U867" s="247"/>
    </row>
    <row r="868" spans="1:21" ht="13" hidden="1" customHeight="1">
      <c r="A868" s="263"/>
      <c r="B868" s="247"/>
      <c r="C868" s="247"/>
      <c r="D868" s="287"/>
      <c r="E868" s="247"/>
      <c r="F868" s="288"/>
      <c r="G868" s="247"/>
      <c r="H868" s="247"/>
      <c r="I868" s="247"/>
      <c r="J868" s="247"/>
      <c r="K868" s="247"/>
      <c r="L868" s="247"/>
      <c r="M868" s="247"/>
      <c r="N868" s="247"/>
      <c r="O868" s="247"/>
      <c r="P868" s="247"/>
      <c r="Q868" s="247"/>
      <c r="R868" s="247"/>
      <c r="S868" s="247"/>
      <c r="T868" s="247"/>
      <c r="U868" s="247"/>
    </row>
    <row r="869" spans="1:21" ht="13" hidden="1" customHeight="1">
      <c r="A869" s="263"/>
      <c r="B869" s="247"/>
      <c r="C869" s="247"/>
      <c r="D869" s="287"/>
      <c r="E869" s="247"/>
      <c r="F869" s="288"/>
      <c r="G869" s="247"/>
      <c r="H869" s="247"/>
      <c r="I869" s="247"/>
      <c r="J869" s="247"/>
      <c r="K869" s="247"/>
      <c r="L869" s="247"/>
      <c r="M869" s="247"/>
      <c r="N869" s="247"/>
      <c r="O869" s="247"/>
      <c r="P869" s="247"/>
      <c r="Q869" s="247"/>
      <c r="R869" s="247"/>
      <c r="S869" s="247"/>
      <c r="T869" s="247"/>
      <c r="U869" s="247"/>
    </row>
    <row r="870" spans="1:21" ht="13" hidden="1" customHeight="1">
      <c r="A870" s="263"/>
      <c r="B870" s="247"/>
      <c r="C870" s="247"/>
      <c r="D870" s="287"/>
      <c r="E870" s="247"/>
      <c r="F870" s="288"/>
      <c r="G870" s="247"/>
      <c r="H870" s="247"/>
      <c r="I870" s="247"/>
      <c r="J870" s="247"/>
      <c r="K870" s="247"/>
      <c r="L870" s="247"/>
      <c r="M870" s="247"/>
      <c r="N870" s="247"/>
      <c r="O870" s="247"/>
      <c r="P870" s="247"/>
      <c r="Q870" s="247"/>
      <c r="R870" s="247"/>
      <c r="S870" s="247"/>
      <c r="T870" s="247"/>
      <c r="U870" s="247"/>
    </row>
    <row r="871" spans="1:21" ht="13" hidden="1" customHeight="1">
      <c r="A871" s="263"/>
      <c r="B871" s="247"/>
      <c r="C871" s="247"/>
      <c r="D871" s="287"/>
      <c r="E871" s="247"/>
      <c r="F871" s="288"/>
      <c r="G871" s="247"/>
      <c r="H871" s="247"/>
      <c r="I871" s="247"/>
      <c r="J871" s="247"/>
      <c r="K871" s="247"/>
      <c r="L871" s="247"/>
      <c r="M871" s="247"/>
      <c r="N871" s="247"/>
      <c r="O871" s="247"/>
      <c r="P871" s="247"/>
      <c r="Q871" s="247"/>
      <c r="R871" s="247"/>
      <c r="S871" s="247"/>
      <c r="T871" s="247"/>
      <c r="U871" s="247"/>
    </row>
    <row r="872" spans="1:21" ht="13" hidden="1" customHeight="1">
      <c r="A872" s="263"/>
      <c r="B872" s="247"/>
      <c r="C872" s="247"/>
      <c r="D872" s="287"/>
      <c r="E872" s="247"/>
      <c r="F872" s="288"/>
      <c r="G872" s="247"/>
      <c r="H872" s="247"/>
      <c r="I872" s="247"/>
      <c r="J872" s="247"/>
      <c r="K872" s="247"/>
      <c r="L872" s="247"/>
      <c r="M872" s="247"/>
      <c r="N872" s="247"/>
      <c r="O872" s="247"/>
      <c r="P872" s="247"/>
      <c r="Q872" s="247"/>
      <c r="R872" s="247"/>
      <c r="S872" s="247"/>
      <c r="T872" s="247"/>
      <c r="U872" s="247"/>
    </row>
    <row r="873" spans="1:21" ht="13" hidden="1" customHeight="1">
      <c r="A873" s="263"/>
      <c r="B873" s="247"/>
      <c r="C873" s="247"/>
      <c r="D873" s="287"/>
      <c r="E873" s="247"/>
      <c r="F873" s="288"/>
      <c r="G873" s="247"/>
      <c r="H873" s="247"/>
      <c r="I873" s="247"/>
      <c r="J873" s="247"/>
      <c r="K873" s="247"/>
      <c r="L873" s="247"/>
      <c r="M873" s="247"/>
      <c r="N873" s="247"/>
      <c r="O873" s="247"/>
      <c r="P873" s="247"/>
      <c r="Q873" s="247"/>
      <c r="R873" s="247"/>
      <c r="S873" s="247"/>
      <c r="T873" s="247"/>
      <c r="U873" s="247"/>
    </row>
    <row r="874" spans="1:21" ht="13" hidden="1" customHeight="1">
      <c r="A874" s="263"/>
      <c r="B874" s="247"/>
      <c r="C874" s="247"/>
      <c r="D874" s="287"/>
      <c r="E874" s="247"/>
      <c r="F874" s="288"/>
      <c r="G874" s="247"/>
      <c r="H874" s="247"/>
      <c r="I874" s="247"/>
      <c r="J874" s="247"/>
      <c r="K874" s="247"/>
      <c r="L874" s="247"/>
      <c r="M874" s="247"/>
      <c r="N874" s="247"/>
      <c r="O874" s="247"/>
      <c r="P874" s="247"/>
      <c r="Q874" s="247"/>
      <c r="R874" s="247"/>
      <c r="S874" s="247"/>
      <c r="T874" s="247"/>
      <c r="U874" s="247"/>
    </row>
    <row r="875" spans="1:21" ht="13" hidden="1" customHeight="1">
      <c r="A875" s="263"/>
      <c r="B875" s="247"/>
      <c r="C875" s="247"/>
      <c r="D875" s="287"/>
      <c r="E875" s="247"/>
      <c r="F875" s="288"/>
      <c r="G875" s="247"/>
      <c r="H875" s="247"/>
      <c r="I875" s="247"/>
      <c r="J875" s="247"/>
      <c r="K875" s="247"/>
      <c r="L875" s="247"/>
      <c r="M875" s="247"/>
      <c r="N875" s="247"/>
      <c r="O875" s="247"/>
      <c r="P875" s="247"/>
      <c r="Q875" s="247"/>
      <c r="R875" s="247"/>
      <c r="S875" s="247"/>
      <c r="T875" s="247"/>
      <c r="U875" s="247"/>
    </row>
    <row r="876" spans="1:21" ht="13" hidden="1" customHeight="1">
      <c r="A876" s="263"/>
      <c r="B876" s="247"/>
      <c r="C876" s="247"/>
      <c r="D876" s="287"/>
      <c r="E876" s="247"/>
      <c r="F876" s="288"/>
      <c r="G876" s="247"/>
      <c r="H876" s="247"/>
      <c r="I876" s="247"/>
      <c r="J876" s="247"/>
      <c r="K876" s="247"/>
      <c r="L876" s="247"/>
      <c r="M876" s="247"/>
      <c r="N876" s="247"/>
      <c r="O876" s="247"/>
      <c r="P876" s="247"/>
      <c r="Q876" s="247"/>
      <c r="R876" s="247"/>
      <c r="S876" s="247"/>
      <c r="T876" s="247"/>
      <c r="U876" s="247"/>
    </row>
    <row r="877" spans="1:21" ht="13" hidden="1" customHeight="1">
      <c r="A877" s="263"/>
      <c r="B877" s="247"/>
      <c r="C877" s="247"/>
      <c r="D877" s="287"/>
      <c r="E877" s="247"/>
      <c r="F877" s="288"/>
      <c r="G877" s="247"/>
      <c r="H877" s="247"/>
      <c r="I877" s="247"/>
      <c r="J877" s="247"/>
      <c r="K877" s="247"/>
      <c r="L877" s="247"/>
      <c r="M877" s="247"/>
      <c r="N877" s="247"/>
      <c r="O877" s="247"/>
      <c r="P877" s="247"/>
      <c r="Q877" s="247"/>
      <c r="R877" s="247"/>
      <c r="S877" s="247"/>
      <c r="T877" s="247"/>
      <c r="U877" s="247"/>
    </row>
    <row r="878" spans="1:21" ht="13" hidden="1" customHeight="1">
      <c r="A878" s="263"/>
      <c r="B878" s="247"/>
      <c r="C878" s="247"/>
      <c r="D878" s="287"/>
      <c r="E878" s="247"/>
      <c r="F878" s="288"/>
      <c r="G878" s="247"/>
      <c r="H878" s="247"/>
      <c r="I878" s="247"/>
      <c r="J878" s="247"/>
      <c r="K878" s="247"/>
      <c r="L878" s="247"/>
      <c r="M878" s="247"/>
      <c r="N878" s="247"/>
      <c r="O878" s="247"/>
      <c r="P878" s="247"/>
      <c r="Q878" s="247"/>
      <c r="R878" s="247"/>
      <c r="S878" s="247"/>
      <c r="T878" s="247"/>
      <c r="U878" s="247"/>
    </row>
    <row r="879" spans="1:21" ht="13" hidden="1" customHeight="1">
      <c r="A879" s="263"/>
      <c r="B879" s="247"/>
      <c r="C879" s="247"/>
      <c r="D879" s="287"/>
      <c r="E879" s="247"/>
      <c r="F879" s="288"/>
      <c r="G879" s="247"/>
      <c r="H879" s="247"/>
      <c r="I879" s="247"/>
      <c r="J879" s="247"/>
      <c r="K879" s="247"/>
      <c r="L879" s="247"/>
      <c r="M879" s="247"/>
      <c r="N879" s="247"/>
      <c r="O879" s="247"/>
      <c r="P879" s="247"/>
      <c r="Q879" s="247"/>
      <c r="R879" s="247"/>
      <c r="S879" s="247"/>
      <c r="T879" s="247"/>
      <c r="U879" s="247"/>
    </row>
    <row r="880" spans="1:21" ht="13" hidden="1" customHeight="1">
      <c r="A880" s="263"/>
      <c r="B880" s="247"/>
      <c r="C880" s="247"/>
      <c r="D880" s="287"/>
      <c r="E880" s="247"/>
      <c r="F880" s="288"/>
      <c r="G880" s="247"/>
      <c r="H880" s="247"/>
      <c r="I880" s="247"/>
      <c r="J880" s="247"/>
      <c r="K880" s="247"/>
      <c r="L880" s="247"/>
      <c r="M880" s="247"/>
      <c r="N880" s="247"/>
      <c r="O880" s="247"/>
      <c r="P880" s="247"/>
      <c r="Q880" s="247"/>
      <c r="R880" s="247"/>
      <c r="S880" s="247"/>
      <c r="T880" s="247"/>
      <c r="U880" s="247"/>
    </row>
    <row r="881" spans="1:21" ht="13" hidden="1" customHeight="1">
      <c r="A881" s="263"/>
      <c r="B881" s="247"/>
      <c r="C881" s="247"/>
      <c r="D881" s="287"/>
      <c r="E881" s="247"/>
      <c r="F881" s="288"/>
      <c r="G881" s="247"/>
      <c r="H881" s="247"/>
      <c r="I881" s="247"/>
      <c r="J881" s="247"/>
      <c r="K881" s="247"/>
      <c r="L881" s="247"/>
      <c r="M881" s="247"/>
      <c r="N881" s="247"/>
      <c r="O881" s="247"/>
      <c r="P881" s="247"/>
      <c r="Q881" s="247"/>
      <c r="R881" s="247"/>
      <c r="S881" s="247"/>
      <c r="T881" s="247"/>
      <c r="U881" s="247"/>
    </row>
    <row r="882" spans="1:21" ht="13" hidden="1" customHeight="1">
      <c r="A882" s="263"/>
      <c r="B882" s="247"/>
      <c r="C882" s="247"/>
      <c r="D882" s="287"/>
      <c r="E882" s="247"/>
      <c r="F882" s="288"/>
      <c r="G882" s="247"/>
      <c r="H882" s="247"/>
      <c r="I882" s="247"/>
      <c r="J882" s="247"/>
      <c r="K882" s="247"/>
      <c r="L882" s="247"/>
      <c r="M882" s="247"/>
      <c r="N882" s="247"/>
      <c r="O882" s="247"/>
      <c r="P882" s="247"/>
      <c r="Q882" s="247"/>
      <c r="R882" s="247"/>
      <c r="S882" s="247"/>
      <c r="T882" s="247"/>
      <c r="U882" s="247"/>
    </row>
    <row r="883" spans="1:21" ht="13" hidden="1" customHeight="1">
      <c r="A883" s="263"/>
      <c r="B883" s="247"/>
      <c r="C883" s="247"/>
      <c r="D883" s="287"/>
      <c r="E883" s="247"/>
      <c r="F883" s="288"/>
      <c r="G883" s="247"/>
      <c r="H883" s="247"/>
      <c r="I883" s="247"/>
      <c r="J883" s="247"/>
      <c r="K883" s="247"/>
      <c r="L883" s="247"/>
      <c r="M883" s="247"/>
      <c r="N883" s="247"/>
      <c r="O883" s="247"/>
      <c r="P883" s="247"/>
      <c r="Q883" s="247"/>
      <c r="R883" s="247"/>
      <c r="S883" s="247"/>
      <c r="T883" s="247"/>
      <c r="U883" s="247"/>
    </row>
    <row r="884" spans="1:21" ht="13" hidden="1" customHeight="1">
      <c r="A884" s="263"/>
      <c r="B884" s="247"/>
      <c r="C884" s="247"/>
      <c r="D884" s="287"/>
      <c r="E884" s="247"/>
      <c r="F884" s="288"/>
      <c r="G884" s="247"/>
      <c r="H884" s="247"/>
      <c r="I884" s="247"/>
      <c r="J884" s="247"/>
      <c r="K884" s="247"/>
      <c r="L884" s="247"/>
      <c r="M884" s="247"/>
      <c r="N884" s="247"/>
      <c r="O884" s="247"/>
      <c r="P884" s="247"/>
      <c r="Q884" s="247"/>
      <c r="R884" s="247"/>
      <c r="S884" s="247"/>
      <c r="T884" s="247"/>
      <c r="U884" s="247"/>
    </row>
    <row r="885" spans="1:21" ht="13" hidden="1" customHeight="1">
      <c r="A885" s="263"/>
      <c r="B885" s="247"/>
      <c r="C885" s="247"/>
      <c r="D885" s="287"/>
      <c r="E885" s="247"/>
      <c r="F885" s="288"/>
      <c r="G885" s="247"/>
      <c r="H885" s="247"/>
      <c r="I885" s="247"/>
      <c r="J885" s="247"/>
      <c r="K885" s="247"/>
      <c r="L885" s="247"/>
      <c r="M885" s="247"/>
      <c r="N885" s="247"/>
      <c r="O885" s="247"/>
      <c r="P885" s="247"/>
      <c r="Q885" s="247"/>
      <c r="R885" s="247"/>
      <c r="S885" s="247"/>
      <c r="T885" s="247"/>
      <c r="U885" s="247"/>
    </row>
    <row r="886" spans="1:21" ht="13" hidden="1" customHeight="1">
      <c r="A886" s="263"/>
      <c r="B886" s="247"/>
      <c r="C886" s="247"/>
      <c r="D886" s="287"/>
      <c r="E886" s="247"/>
      <c r="F886" s="288"/>
      <c r="G886" s="247"/>
      <c r="H886" s="247"/>
      <c r="I886" s="247"/>
      <c r="J886" s="247"/>
      <c r="K886" s="247"/>
      <c r="L886" s="247"/>
      <c r="M886" s="247"/>
      <c r="N886" s="247"/>
      <c r="O886" s="247"/>
      <c r="P886" s="247"/>
      <c r="Q886" s="247"/>
      <c r="R886" s="247"/>
      <c r="S886" s="247"/>
      <c r="T886" s="247"/>
      <c r="U886" s="247"/>
    </row>
    <row r="887" spans="1:21" ht="13" hidden="1" customHeight="1">
      <c r="A887" s="263"/>
      <c r="B887" s="247"/>
      <c r="C887" s="247"/>
      <c r="D887" s="287"/>
      <c r="E887" s="247"/>
      <c r="F887" s="288"/>
      <c r="G887" s="247"/>
      <c r="H887" s="247"/>
      <c r="I887" s="247"/>
      <c r="J887" s="247"/>
      <c r="K887" s="247"/>
      <c r="L887" s="247"/>
      <c r="M887" s="247"/>
      <c r="N887" s="247"/>
      <c r="O887" s="247"/>
      <c r="P887" s="247"/>
      <c r="Q887" s="247"/>
      <c r="R887" s="247"/>
      <c r="S887" s="247"/>
      <c r="T887" s="247"/>
      <c r="U887" s="247"/>
    </row>
    <row r="888" spans="1:21" ht="13" hidden="1" customHeight="1">
      <c r="A888" s="263"/>
      <c r="B888" s="247"/>
      <c r="C888" s="247"/>
      <c r="D888" s="287"/>
      <c r="E888" s="247"/>
      <c r="F888" s="288"/>
      <c r="G888" s="247"/>
      <c r="H888" s="247"/>
      <c r="I888" s="247"/>
      <c r="J888" s="247"/>
      <c r="K888" s="247"/>
      <c r="L888" s="247"/>
      <c r="M888" s="247"/>
      <c r="N888" s="247"/>
      <c r="O888" s="247"/>
      <c r="P888" s="247"/>
      <c r="Q888" s="247"/>
      <c r="R888" s="247"/>
      <c r="S888" s="247"/>
      <c r="T888" s="247"/>
      <c r="U888" s="247"/>
    </row>
    <row r="889" spans="1:21" ht="13" hidden="1" customHeight="1">
      <c r="A889" s="263"/>
      <c r="B889" s="247"/>
      <c r="C889" s="247"/>
      <c r="D889" s="287"/>
      <c r="E889" s="247"/>
      <c r="F889" s="288"/>
      <c r="G889" s="247"/>
      <c r="H889" s="247"/>
      <c r="I889" s="247"/>
      <c r="J889" s="247"/>
      <c r="K889" s="247"/>
      <c r="L889" s="247"/>
      <c r="M889" s="247"/>
      <c r="N889" s="247"/>
      <c r="O889" s="247"/>
      <c r="P889" s="247"/>
      <c r="Q889" s="247"/>
      <c r="R889" s="247"/>
      <c r="S889" s="247"/>
      <c r="T889" s="247"/>
      <c r="U889" s="247"/>
    </row>
    <row r="890" spans="1:21" ht="13" hidden="1" customHeight="1">
      <c r="A890" s="263"/>
      <c r="B890" s="247"/>
      <c r="C890" s="247"/>
      <c r="D890" s="287"/>
      <c r="E890" s="247"/>
      <c r="F890" s="288"/>
      <c r="G890" s="247"/>
      <c r="H890" s="247"/>
      <c r="I890" s="247"/>
      <c r="J890" s="247"/>
      <c r="K890" s="247"/>
      <c r="L890" s="247"/>
      <c r="M890" s="247"/>
      <c r="N890" s="247"/>
      <c r="O890" s="247"/>
      <c r="P890" s="247"/>
      <c r="Q890" s="247"/>
      <c r="R890" s="247"/>
      <c r="S890" s="247"/>
      <c r="T890" s="247"/>
      <c r="U890" s="247"/>
    </row>
    <row r="891" spans="1:21" ht="13" hidden="1" customHeight="1">
      <c r="A891" s="263"/>
      <c r="B891" s="247"/>
      <c r="C891" s="247"/>
      <c r="D891" s="287"/>
      <c r="E891" s="247"/>
      <c r="F891" s="288"/>
      <c r="G891" s="247"/>
      <c r="H891" s="247"/>
      <c r="I891" s="247"/>
      <c r="J891" s="247"/>
      <c r="K891" s="247"/>
      <c r="L891" s="247"/>
      <c r="M891" s="247"/>
      <c r="N891" s="247"/>
      <c r="O891" s="247"/>
      <c r="P891" s="247"/>
      <c r="Q891" s="247"/>
      <c r="R891" s="247"/>
      <c r="S891" s="247"/>
      <c r="T891" s="247"/>
      <c r="U891" s="247"/>
    </row>
    <row r="892" spans="1:21" ht="13" hidden="1" customHeight="1">
      <c r="A892" s="263"/>
      <c r="B892" s="247"/>
      <c r="C892" s="247"/>
      <c r="D892" s="287"/>
      <c r="E892" s="247"/>
      <c r="F892" s="288"/>
      <c r="G892" s="247"/>
      <c r="H892" s="247"/>
      <c r="I892" s="247"/>
      <c r="J892" s="247"/>
      <c r="K892" s="247"/>
      <c r="L892" s="247"/>
      <c r="M892" s="247"/>
      <c r="N892" s="247"/>
      <c r="O892" s="247"/>
      <c r="P892" s="247"/>
      <c r="Q892" s="247"/>
      <c r="R892" s="247"/>
      <c r="S892" s="247"/>
      <c r="T892" s="247"/>
      <c r="U892" s="247"/>
    </row>
    <row r="893" spans="1:21" ht="13" hidden="1" customHeight="1">
      <c r="A893" s="263"/>
      <c r="B893" s="247"/>
      <c r="C893" s="247"/>
      <c r="D893" s="287"/>
      <c r="E893" s="247"/>
      <c r="F893" s="288"/>
      <c r="G893" s="247"/>
      <c r="H893" s="247"/>
      <c r="I893" s="247"/>
      <c r="J893" s="247"/>
      <c r="K893" s="247"/>
      <c r="L893" s="247"/>
      <c r="M893" s="247"/>
      <c r="N893" s="247"/>
      <c r="O893" s="247"/>
      <c r="P893" s="247"/>
      <c r="Q893" s="247"/>
      <c r="R893" s="247"/>
      <c r="S893" s="247"/>
      <c r="T893" s="247"/>
      <c r="U893" s="247"/>
    </row>
    <row r="894" spans="1:21" ht="13" hidden="1" customHeight="1">
      <c r="A894" s="263"/>
      <c r="B894" s="247"/>
      <c r="C894" s="247"/>
      <c r="D894" s="287"/>
      <c r="E894" s="247"/>
      <c r="F894" s="288"/>
      <c r="G894" s="247"/>
      <c r="H894" s="247"/>
      <c r="I894" s="247"/>
      <c r="J894" s="247"/>
      <c r="K894" s="247"/>
      <c r="L894" s="247"/>
      <c r="M894" s="247"/>
      <c r="N894" s="247"/>
      <c r="O894" s="247"/>
      <c r="P894" s="247"/>
      <c r="Q894" s="247"/>
      <c r="R894" s="247"/>
      <c r="S894" s="247"/>
      <c r="T894" s="247"/>
      <c r="U894" s="247"/>
    </row>
    <row r="895" spans="1:21" ht="13" hidden="1" customHeight="1">
      <c r="A895" s="263"/>
      <c r="B895" s="247"/>
      <c r="C895" s="247"/>
      <c r="D895" s="287"/>
      <c r="E895" s="247"/>
      <c r="F895" s="288"/>
      <c r="G895" s="247"/>
      <c r="H895" s="247"/>
      <c r="I895" s="247"/>
      <c r="J895" s="247"/>
      <c r="K895" s="247"/>
      <c r="L895" s="247"/>
      <c r="M895" s="247"/>
      <c r="N895" s="247"/>
      <c r="O895" s="247"/>
      <c r="P895" s="247"/>
      <c r="Q895" s="247"/>
      <c r="R895" s="247"/>
      <c r="S895" s="247"/>
      <c r="T895" s="247"/>
      <c r="U895" s="247"/>
    </row>
    <row r="896" spans="1:21" ht="13" hidden="1" customHeight="1">
      <c r="A896" s="263"/>
      <c r="B896" s="247"/>
      <c r="C896" s="247"/>
      <c r="D896" s="287"/>
      <c r="E896" s="247"/>
      <c r="F896" s="288"/>
      <c r="G896" s="247"/>
      <c r="H896" s="247"/>
      <c r="I896" s="247"/>
      <c r="J896" s="247"/>
      <c r="K896" s="247"/>
      <c r="L896" s="247"/>
      <c r="M896" s="247"/>
      <c r="N896" s="247"/>
      <c r="O896" s="247"/>
      <c r="P896" s="247"/>
      <c r="Q896" s="247"/>
      <c r="R896" s="247"/>
      <c r="S896" s="247"/>
      <c r="T896" s="247"/>
      <c r="U896" s="247"/>
    </row>
    <row r="897" spans="1:21" ht="13" hidden="1" customHeight="1">
      <c r="A897" s="263"/>
      <c r="B897" s="247"/>
      <c r="C897" s="247"/>
      <c r="D897" s="287"/>
      <c r="E897" s="247"/>
      <c r="F897" s="288"/>
      <c r="G897" s="247"/>
      <c r="H897" s="247"/>
      <c r="I897" s="247"/>
      <c r="J897" s="247"/>
      <c r="K897" s="247"/>
      <c r="L897" s="247"/>
      <c r="M897" s="247"/>
      <c r="N897" s="247"/>
      <c r="O897" s="247"/>
      <c r="P897" s="247"/>
      <c r="Q897" s="247"/>
      <c r="R897" s="247"/>
      <c r="S897" s="247"/>
      <c r="T897" s="247"/>
      <c r="U897" s="247"/>
    </row>
    <row r="898" spans="1:21" ht="13" hidden="1" customHeight="1">
      <c r="A898" s="263"/>
      <c r="B898" s="247"/>
      <c r="C898" s="247"/>
      <c r="D898" s="287"/>
      <c r="E898" s="247"/>
      <c r="F898" s="288"/>
      <c r="G898" s="247"/>
      <c r="H898" s="247"/>
      <c r="I898" s="247"/>
      <c r="J898" s="247"/>
      <c r="K898" s="247"/>
      <c r="L898" s="247"/>
      <c r="M898" s="247"/>
      <c r="N898" s="247"/>
      <c r="O898" s="247"/>
      <c r="P898" s="247"/>
      <c r="Q898" s="247"/>
      <c r="R898" s="247"/>
      <c r="S898" s="247"/>
      <c r="T898" s="247"/>
      <c r="U898" s="247"/>
    </row>
    <row r="899" spans="1:21" ht="13" hidden="1" customHeight="1">
      <c r="A899" s="263"/>
      <c r="B899" s="247"/>
      <c r="C899" s="247"/>
      <c r="D899" s="287"/>
      <c r="E899" s="247"/>
      <c r="F899" s="288"/>
      <c r="G899" s="247"/>
      <c r="H899" s="247"/>
      <c r="I899" s="247"/>
      <c r="J899" s="247"/>
      <c r="K899" s="247"/>
      <c r="L899" s="247"/>
      <c r="M899" s="247"/>
      <c r="N899" s="247"/>
      <c r="O899" s="247"/>
      <c r="P899" s="247"/>
      <c r="Q899" s="247"/>
      <c r="R899" s="247"/>
      <c r="S899" s="247"/>
      <c r="T899" s="247"/>
      <c r="U899" s="247"/>
    </row>
    <row r="900" spans="1:21" ht="13" hidden="1" customHeight="1">
      <c r="A900" s="263"/>
      <c r="B900" s="247"/>
      <c r="C900" s="247"/>
      <c r="D900" s="287"/>
      <c r="E900" s="247"/>
      <c r="F900" s="288"/>
      <c r="G900" s="247"/>
      <c r="H900" s="247"/>
      <c r="I900" s="247"/>
      <c r="J900" s="247"/>
      <c r="K900" s="247"/>
      <c r="L900" s="247"/>
      <c r="M900" s="247"/>
      <c r="N900" s="247"/>
      <c r="O900" s="247"/>
      <c r="P900" s="247"/>
      <c r="Q900" s="247"/>
      <c r="R900" s="247"/>
      <c r="S900" s="247"/>
      <c r="T900" s="247"/>
      <c r="U900" s="247"/>
    </row>
    <row r="901" spans="1:21" ht="13" hidden="1" customHeight="1">
      <c r="A901" s="263"/>
      <c r="B901" s="247"/>
      <c r="C901" s="247"/>
      <c r="D901" s="287"/>
      <c r="E901" s="247"/>
      <c r="F901" s="288"/>
      <c r="G901" s="247"/>
      <c r="H901" s="247"/>
      <c r="I901" s="247"/>
      <c r="J901" s="247"/>
      <c r="K901" s="247"/>
      <c r="L901" s="247"/>
      <c r="M901" s="247"/>
      <c r="N901" s="247"/>
      <c r="O901" s="247"/>
      <c r="P901" s="247"/>
      <c r="Q901" s="247"/>
      <c r="R901" s="247"/>
      <c r="S901" s="247"/>
      <c r="T901" s="247"/>
      <c r="U901" s="247"/>
    </row>
    <row r="902" spans="1:21" ht="13" hidden="1" customHeight="1">
      <c r="A902" s="263"/>
      <c r="B902" s="247"/>
      <c r="C902" s="247"/>
      <c r="D902" s="287"/>
      <c r="E902" s="247"/>
      <c r="F902" s="288"/>
      <c r="G902" s="247"/>
      <c r="H902" s="247"/>
      <c r="I902" s="247"/>
      <c r="J902" s="247"/>
      <c r="K902" s="247"/>
      <c r="L902" s="247"/>
      <c r="M902" s="247"/>
      <c r="N902" s="247"/>
      <c r="O902" s="247"/>
      <c r="P902" s="247"/>
      <c r="Q902" s="247"/>
      <c r="R902" s="247"/>
      <c r="S902" s="247"/>
      <c r="T902" s="247"/>
      <c r="U902" s="247"/>
    </row>
    <row r="903" spans="1:21" ht="13" hidden="1" customHeight="1">
      <c r="A903" s="263"/>
      <c r="B903" s="247"/>
      <c r="C903" s="247"/>
      <c r="D903" s="287"/>
      <c r="E903" s="247"/>
      <c r="F903" s="288"/>
      <c r="G903" s="247"/>
      <c r="H903" s="247"/>
      <c r="I903" s="247"/>
      <c r="J903" s="247"/>
      <c r="K903" s="247"/>
      <c r="L903" s="247"/>
      <c r="M903" s="247"/>
      <c r="N903" s="247"/>
      <c r="O903" s="247"/>
      <c r="P903" s="247"/>
      <c r="Q903" s="247"/>
      <c r="R903" s="247"/>
      <c r="S903" s="247"/>
      <c r="T903" s="247"/>
      <c r="U903" s="247"/>
    </row>
    <row r="904" spans="1:21" ht="13" hidden="1" customHeight="1">
      <c r="A904" s="263"/>
      <c r="B904" s="247"/>
      <c r="C904" s="247"/>
      <c r="D904" s="287"/>
      <c r="E904" s="247"/>
      <c r="F904" s="288"/>
      <c r="G904" s="247"/>
      <c r="H904" s="247"/>
      <c r="I904" s="247"/>
      <c r="J904" s="247"/>
      <c r="K904" s="247"/>
      <c r="L904" s="247"/>
      <c r="M904" s="247"/>
      <c r="N904" s="247"/>
      <c r="O904" s="247"/>
      <c r="P904" s="247"/>
      <c r="Q904" s="247"/>
      <c r="R904" s="247"/>
      <c r="S904" s="247"/>
      <c r="T904" s="247"/>
      <c r="U904" s="247"/>
    </row>
    <row r="905" spans="1:21" ht="13" hidden="1" customHeight="1">
      <c r="A905" s="263"/>
      <c r="B905" s="247"/>
      <c r="C905" s="247"/>
      <c r="D905" s="287"/>
      <c r="E905" s="247"/>
      <c r="F905" s="288"/>
      <c r="G905" s="247"/>
      <c r="H905" s="247"/>
      <c r="I905" s="247"/>
      <c r="J905" s="247"/>
      <c r="K905" s="247"/>
      <c r="L905" s="247"/>
      <c r="M905" s="247"/>
      <c r="N905" s="247"/>
      <c r="O905" s="247"/>
      <c r="P905" s="247"/>
      <c r="Q905" s="247"/>
      <c r="R905" s="247"/>
      <c r="S905" s="247"/>
      <c r="T905" s="247"/>
      <c r="U905" s="247"/>
    </row>
    <row r="906" spans="1:21" ht="13" hidden="1" customHeight="1">
      <c r="A906" s="263"/>
      <c r="B906" s="247"/>
      <c r="C906" s="247"/>
      <c r="D906" s="287"/>
      <c r="E906" s="247"/>
      <c r="F906" s="288"/>
      <c r="G906" s="247"/>
      <c r="H906" s="247"/>
      <c r="I906" s="247"/>
      <c r="J906" s="247"/>
      <c r="K906" s="247"/>
      <c r="L906" s="247"/>
      <c r="M906" s="247"/>
      <c r="N906" s="247"/>
      <c r="O906" s="247"/>
      <c r="P906" s="247"/>
      <c r="Q906" s="247"/>
      <c r="R906" s="247"/>
      <c r="S906" s="247"/>
      <c r="T906" s="247"/>
      <c r="U906" s="247"/>
    </row>
    <row r="907" spans="1:21" ht="13" hidden="1" customHeight="1">
      <c r="A907" s="263"/>
      <c r="B907" s="247"/>
      <c r="C907" s="247"/>
      <c r="D907" s="287"/>
      <c r="E907" s="247"/>
      <c r="F907" s="288"/>
      <c r="G907" s="247"/>
      <c r="H907" s="247"/>
      <c r="I907" s="247"/>
      <c r="J907" s="247"/>
      <c r="K907" s="247"/>
      <c r="L907" s="247"/>
      <c r="M907" s="247"/>
      <c r="N907" s="247"/>
      <c r="O907" s="247"/>
      <c r="P907" s="247"/>
      <c r="Q907" s="247"/>
      <c r="R907" s="247"/>
      <c r="S907" s="247"/>
      <c r="T907" s="247"/>
      <c r="U907" s="247"/>
    </row>
    <row r="908" spans="1:21" ht="13" hidden="1" customHeight="1">
      <c r="A908" s="263"/>
      <c r="B908" s="247"/>
      <c r="C908" s="247"/>
      <c r="D908" s="287"/>
      <c r="E908" s="247"/>
      <c r="F908" s="288"/>
      <c r="G908" s="247"/>
      <c r="H908" s="247"/>
      <c r="I908" s="247"/>
      <c r="J908" s="247"/>
      <c r="K908" s="247"/>
      <c r="L908" s="247"/>
      <c r="M908" s="247"/>
      <c r="N908" s="247"/>
      <c r="O908" s="247"/>
      <c r="P908" s="247"/>
      <c r="Q908" s="247"/>
      <c r="R908" s="247"/>
      <c r="S908" s="247"/>
      <c r="T908" s="247"/>
      <c r="U908" s="247"/>
    </row>
    <row r="909" spans="1:21" ht="13" hidden="1" customHeight="1">
      <c r="A909" s="263"/>
      <c r="B909" s="247"/>
      <c r="C909" s="247"/>
      <c r="D909" s="287"/>
      <c r="E909" s="247"/>
      <c r="F909" s="288"/>
      <c r="G909" s="247"/>
      <c r="H909" s="247"/>
      <c r="I909" s="247"/>
      <c r="J909" s="247"/>
      <c r="K909" s="247"/>
      <c r="L909" s="247"/>
      <c r="M909" s="247"/>
      <c r="N909" s="247"/>
      <c r="O909" s="247"/>
      <c r="P909" s="247"/>
      <c r="Q909" s="247"/>
      <c r="R909" s="247"/>
      <c r="S909" s="247"/>
      <c r="T909" s="247"/>
      <c r="U909" s="247"/>
    </row>
    <row r="910" spans="1:21" ht="13" hidden="1" customHeight="1">
      <c r="A910" s="263"/>
      <c r="B910" s="247"/>
      <c r="C910" s="247"/>
      <c r="D910" s="287"/>
      <c r="E910" s="247"/>
      <c r="F910" s="288"/>
      <c r="G910" s="247"/>
      <c r="H910" s="247"/>
      <c r="I910" s="247"/>
      <c r="J910" s="247"/>
      <c r="K910" s="247"/>
      <c r="L910" s="247"/>
      <c r="M910" s="247"/>
      <c r="N910" s="247"/>
      <c r="O910" s="247"/>
      <c r="P910" s="247"/>
      <c r="Q910" s="247"/>
      <c r="R910" s="247"/>
      <c r="S910" s="247"/>
      <c r="T910" s="247"/>
      <c r="U910" s="247"/>
    </row>
    <row r="911" spans="1:21" ht="13" hidden="1" customHeight="1">
      <c r="A911" s="263"/>
      <c r="B911" s="247"/>
      <c r="C911" s="247"/>
      <c r="D911" s="287"/>
      <c r="E911" s="247"/>
      <c r="F911" s="288"/>
      <c r="G911" s="247"/>
      <c r="H911" s="247"/>
      <c r="I911" s="247"/>
      <c r="J911" s="247"/>
      <c r="K911" s="247"/>
      <c r="L911" s="247"/>
      <c r="M911" s="247"/>
      <c r="N911" s="247"/>
      <c r="O911" s="247"/>
      <c r="P911" s="247"/>
      <c r="Q911" s="247"/>
      <c r="R911" s="247"/>
      <c r="S911" s="247"/>
      <c r="T911" s="247"/>
      <c r="U911" s="247"/>
    </row>
    <row r="912" spans="1:21" ht="13" hidden="1" customHeight="1">
      <c r="A912" s="263"/>
      <c r="B912" s="247"/>
      <c r="C912" s="247"/>
      <c r="D912" s="287"/>
      <c r="E912" s="247"/>
      <c r="F912" s="288"/>
      <c r="G912" s="247"/>
      <c r="H912" s="247"/>
      <c r="I912" s="247"/>
      <c r="J912" s="247"/>
      <c r="K912" s="247"/>
      <c r="L912" s="247"/>
      <c r="M912" s="247"/>
      <c r="N912" s="247"/>
      <c r="O912" s="247"/>
      <c r="P912" s="247"/>
      <c r="Q912" s="247"/>
      <c r="R912" s="247"/>
      <c r="S912" s="247"/>
      <c r="T912" s="247"/>
      <c r="U912" s="247"/>
    </row>
    <row r="913" spans="1:21" ht="13" hidden="1" customHeight="1">
      <c r="A913" s="263"/>
      <c r="B913" s="247"/>
      <c r="C913" s="247"/>
      <c r="D913" s="287"/>
      <c r="E913" s="247"/>
      <c r="F913" s="288"/>
      <c r="G913" s="247"/>
      <c r="H913" s="247"/>
      <c r="I913" s="247"/>
      <c r="J913" s="247"/>
      <c r="K913" s="247"/>
      <c r="L913" s="247"/>
      <c r="M913" s="247"/>
      <c r="N913" s="247"/>
      <c r="O913" s="247"/>
      <c r="P913" s="247"/>
      <c r="Q913" s="247"/>
      <c r="R913" s="247"/>
      <c r="S913" s="247"/>
      <c r="T913" s="247"/>
      <c r="U913" s="247"/>
    </row>
    <row r="914" spans="1:21" ht="13" hidden="1" customHeight="1">
      <c r="A914" s="263"/>
      <c r="B914" s="247"/>
      <c r="C914" s="247"/>
      <c r="D914" s="287"/>
      <c r="E914" s="247"/>
      <c r="F914" s="288"/>
      <c r="G914" s="247"/>
      <c r="H914" s="247"/>
      <c r="I914" s="247"/>
      <c r="J914" s="247"/>
      <c r="K914" s="247"/>
      <c r="L914" s="247"/>
      <c r="M914" s="247"/>
      <c r="N914" s="247"/>
      <c r="O914" s="247"/>
      <c r="P914" s="247"/>
      <c r="Q914" s="247"/>
      <c r="R914" s="247"/>
      <c r="S914" s="247"/>
      <c r="T914" s="247"/>
      <c r="U914" s="247"/>
    </row>
    <row r="915" spans="1:21" ht="13" hidden="1" customHeight="1">
      <c r="A915" s="263"/>
      <c r="B915" s="247"/>
      <c r="C915" s="247"/>
      <c r="D915" s="287"/>
      <c r="E915" s="247"/>
      <c r="F915" s="288"/>
      <c r="G915" s="247"/>
      <c r="H915" s="247"/>
      <c r="I915" s="247"/>
      <c r="J915" s="247"/>
      <c r="K915" s="247"/>
      <c r="L915" s="247"/>
      <c r="M915" s="247"/>
      <c r="N915" s="247"/>
      <c r="O915" s="247"/>
      <c r="P915" s="247"/>
      <c r="Q915" s="247"/>
      <c r="R915" s="247"/>
      <c r="S915" s="247"/>
      <c r="T915" s="247"/>
      <c r="U915" s="247"/>
    </row>
    <row r="916" spans="1:21" ht="13" hidden="1" customHeight="1">
      <c r="A916" s="263"/>
      <c r="B916" s="247"/>
      <c r="C916" s="247"/>
      <c r="D916" s="287"/>
      <c r="E916" s="247"/>
      <c r="F916" s="288"/>
      <c r="G916" s="247"/>
      <c r="H916" s="247"/>
      <c r="I916" s="247"/>
      <c r="J916" s="247"/>
      <c r="K916" s="247"/>
      <c r="L916" s="247"/>
      <c r="M916" s="247"/>
      <c r="N916" s="247"/>
      <c r="O916" s="247"/>
      <c r="P916" s="247"/>
      <c r="Q916" s="247"/>
      <c r="R916" s="247"/>
      <c r="S916" s="247"/>
      <c r="T916" s="247"/>
      <c r="U916" s="247"/>
    </row>
    <row r="917" spans="1:21" ht="13" hidden="1" customHeight="1">
      <c r="A917" s="263"/>
      <c r="B917" s="247"/>
      <c r="C917" s="247"/>
      <c r="D917" s="287"/>
      <c r="E917" s="247"/>
      <c r="F917" s="288"/>
      <c r="G917" s="247"/>
      <c r="H917" s="247"/>
      <c r="I917" s="247"/>
      <c r="J917" s="247"/>
      <c r="K917" s="247"/>
      <c r="L917" s="247"/>
      <c r="M917" s="247"/>
      <c r="N917" s="247"/>
      <c r="O917" s="247"/>
      <c r="P917" s="247"/>
      <c r="Q917" s="247"/>
      <c r="R917" s="247"/>
      <c r="S917" s="247"/>
      <c r="T917" s="247"/>
      <c r="U917" s="247"/>
    </row>
    <row r="918" spans="1:21" ht="13" hidden="1" customHeight="1">
      <c r="A918" s="263"/>
      <c r="B918" s="247"/>
      <c r="C918" s="247"/>
      <c r="D918" s="287"/>
      <c r="E918" s="247"/>
      <c r="F918" s="288"/>
      <c r="G918" s="247"/>
      <c r="H918" s="247"/>
      <c r="I918" s="247"/>
      <c r="J918" s="247"/>
      <c r="K918" s="247"/>
      <c r="L918" s="247"/>
      <c r="M918" s="247"/>
      <c r="N918" s="247"/>
      <c r="O918" s="247"/>
      <c r="P918" s="247"/>
      <c r="Q918" s="247"/>
      <c r="R918" s="247"/>
      <c r="S918" s="247"/>
      <c r="T918" s="247"/>
      <c r="U918" s="247"/>
    </row>
    <row r="919" spans="1:21" ht="13" hidden="1" customHeight="1">
      <c r="A919" s="263"/>
      <c r="B919" s="247"/>
      <c r="C919" s="247"/>
      <c r="D919" s="287"/>
      <c r="E919" s="247"/>
      <c r="F919" s="288"/>
      <c r="G919" s="247"/>
      <c r="H919" s="247"/>
      <c r="I919" s="247"/>
      <c r="J919" s="247"/>
      <c r="K919" s="247"/>
      <c r="L919" s="247"/>
      <c r="M919" s="247"/>
      <c r="N919" s="247"/>
      <c r="O919" s="247"/>
      <c r="P919" s="247"/>
      <c r="Q919" s="247"/>
      <c r="R919" s="247"/>
      <c r="S919" s="247"/>
      <c r="T919" s="247"/>
      <c r="U919" s="247"/>
    </row>
    <row r="920" spans="1:21" ht="13" hidden="1" customHeight="1">
      <c r="A920" s="263"/>
      <c r="B920" s="247"/>
      <c r="C920" s="247"/>
      <c r="D920" s="287"/>
      <c r="E920" s="247"/>
      <c r="F920" s="288"/>
      <c r="G920" s="247"/>
      <c r="H920" s="247"/>
      <c r="I920" s="247"/>
      <c r="J920" s="247"/>
      <c r="K920" s="247"/>
      <c r="L920" s="247"/>
      <c r="M920" s="247"/>
      <c r="N920" s="247"/>
      <c r="O920" s="247"/>
      <c r="P920" s="247"/>
      <c r="Q920" s="247"/>
      <c r="R920" s="247"/>
      <c r="S920" s="247"/>
      <c r="T920" s="247"/>
      <c r="U920" s="247"/>
    </row>
    <row r="921" spans="1:21" ht="13" hidden="1" customHeight="1">
      <c r="A921" s="263"/>
      <c r="B921" s="247"/>
      <c r="C921" s="247"/>
      <c r="D921" s="287"/>
      <c r="E921" s="247"/>
      <c r="F921" s="288"/>
      <c r="G921" s="247"/>
      <c r="H921" s="247"/>
      <c r="I921" s="247"/>
      <c r="J921" s="247"/>
      <c r="K921" s="247"/>
      <c r="L921" s="247"/>
      <c r="M921" s="247"/>
      <c r="N921" s="247"/>
      <c r="O921" s="247"/>
      <c r="P921" s="247"/>
      <c r="Q921" s="247"/>
      <c r="R921" s="247"/>
      <c r="S921" s="247"/>
      <c r="T921" s="247"/>
      <c r="U921" s="247"/>
    </row>
    <row r="922" spans="1:21" ht="13" hidden="1" customHeight="1">
      <c r="A922" s="263"/>
      <c r="B922" s="247"/>
      <c r="C922" s="247"/>
      <c r="D922" s="287"/>
      <c r="E922" s="247"/>
      <c r="F922" s="288"/>
      <c r="G922" s="247"/>
      <c r="H922" s="247"/>
      <c r="I922" s="247"/>
      <c r="J922" s="247"/>
      <c r="K922" s="247"/>
      <c r="L922" s="247"/>
      <c r="M922" s="247"/>
      <c r="N922" s="247"/>
      <c r="O922" s="247"/>
      <c r="P922" s="247"/>
      <c r="Q922" s="247"/>
      <c r="R922" s="247"/>
      <c r="S922" s="247"/>
      <c r="T922" s="247"/>
      <c r="U922" s="247"/>
    </row>
    <row r="923" spans="1:21" ht="13" hidden="1" customHeight="1">
      <c r="A923" s="263"/>
      <c r="B923" s="247"/>
      <c r="C923" s="247"/>
      <c r="D923" s="287"/>
      <c r="E923" s="247"/>
      <c r="F923" s="288"/>
      <c r="G923" s="247"/>
      <c r="H923" s="247"/>
      <c r="I923" s="247"/>
      <c r="J923" s="247"/>
      <c r="K923" s="247"/>
      <c r="L923" s="247"/>
      <c r="M923" s="247"/>
      <c r="N923" s="247"/>
      <c r="O923" s="247"/>
      <c r="P923" s="247"/>
      <c r="Q923" s="247"/>
      <c r="R923" s="247"/>
      <c r="S923" s="247"/>
      <c r="T923" s="247"/>
      <c r="U923" s="247"/>
    </row>
    <row r="924" spans="1:21" ht="13" hidden="1" customHeight="1">
      <c r="A924" s="263"/>
      <c r="B924" s="247"/>
      <c r="C924" s="247"/>
      <c r="D924" s="287"/>
      <c r="E924" s="247"/>
      <c r="F924" s="288"/>
      <c r="G924" s="247"/>
      <c r="H924" s="247"/>
      <c r="I924" s="247"/>
      <c r="J924" s="247"/>
      <c r="K924" s="247"/>
      <c r="L924" s="247"/>
      <c r="M924" s="247"/>
      <c r="N924" s="247"/>
      <c r="O924" s="247"/>
      <c r="P924" s="247"/>
      <c r="Q924" s="247"/>
      <c r="R924" s="247"/>
      <c r="S924" s="247"/>
      <c r="T924" s="247"/>
      <c r="U924" s="247"/>
    </row>
    <row r="925" spans="1:21" ht="13" hidden="1" customHeight="1">
      <c r="A925" s="263"/>
      <c r="B925" s="247"/>
      <c r="C925" s="247"/>
      <c r="D925" s="287"/>
      <c r="E925" s="247"/>
      <c r="F925" s="288"/>
      <c r="G925" s="247"/>
      <c r="H925" s="247"/>
      <c r="I925" s="247"/>
      <c r="J925" s="247"/>
      <c r="K925" s="247"/>
      <c r="L925" s="247"/>
      <c r="M925" s="247"/>
      <c r="N925" s="247"/>
      <c r="O925" s="247"/>
      <c r="P925" s="247"/>
      <c r="Q925" s="247"/>
      <c r="R925" s="247"/>
      <c r="S925" s="247"/>
      <c r="T925" s="247"/>
      <c r="U925" s="247"/>
    </row>
    <row r="926" spans="1:21" ht="13" hidden="1" customHeight="1">
      <c r="A926" s="263"/>
      <c r="B926" s="247"/>
      <c r="C926" s="247"/>
      <c r="D926" s="287"/>
      <c r="E926" s="247"/>
      <c r="F926" s="288"/>
      <c r="G926" s="247"/>
      <c r="H926" s="247"/>
      <c r="I926" s="247"/>
      <c r="J926" s="247"/>
      <c r="K926" s="247"/>
      <c r="L926" s="247"/>
      <c r="M926" s="247"/>
      <c r="N926" s="247"/>
      <c r="O926" s="247"/>
      <c r="P926" s="247"/>
      <c r="Q926" s="247"/>
      <c r="R926" s="247"/>
      <c r="S926" s="247"/>
      <c r="T926" s="247"/>
      <c r="U926" s="247"/>
    </row>
    <row r="927" spans="1:21" ht="13" hidden="1" customHeight="1">
      <c r="A927" s="263"/>
      <c r="B927" s="247"/>
      <c r="C927" s="247"/>
      <c r="D927" s="287"/>
      <c r="E927" s="247"/>
      <c r="F927" s="288"/>
      <c r="G927" s="247"/>
      <c r="H927" s="247"/>
      <c r="I927" s="247"/>
      <c r="J927" s="247"/>
      <c r="K927" s="247"/>
      <c r="L927" s="247"/>
      <c r="M927" s="247"/>
      <c r="N927" s="247"/>
      <c r="O927" s="247"/>
      <c r="P927" s="247"/>
      <c r="Q927" s="247"/>
      <c r="R927" s="247"/>
      <c r="S927" s="247"/>
      <c r="T927" s="247"/>
      <c r="U927" s="247"/>
    </row>
    <row r="928" spans="1:21" ht="13" hidden="1" customHeight="1">
      <c r="A928" s="263"/>
      <c r="B928" s="247"/>
      <c r="C928" s="247"/>
      <c r="D928" s="287"/>
      <c r="E928" s="247"/>
      <c r="F928" s="288"/>
      <c r="G928" s="247"/>
      <c r="H928" s="247"/>
      <c r="I928" s="247"/>
      <c r="J928" s="247"/>
      <c r="K928" s="247"/>
      <c r="L928" s="247"/>
      <c r="M928" s="247"/>
      <c r="N928" s="247"/>
      <c r="O928" s="247"/>
      <c r="P928" s="247"/>
      <c r="Q928" s="247"/>
      <c r="R928" s="247"/>
      <c r="S928" s="247"/>
      <c r="T928" s="247"/>
      <c r="U928" s="247"/>
    </row>
    <row r="929" spans="1:21" ht="13" hidden="1" customHeight="1">
      <c r="A929" s="263"/>
      <c r="B929" s="247"/>
      <c r="C929" s="247"/>
      <c r="D929" s="287"/>
      <c r="E929" s="247"/>
      <c r="F929" s="288"/>
      <c r="G929" s="247"/>
      <c r="H929" s="247"/>
      <c r="I929" s="247"/>
      <c r="J929" s="247"/>
      <c r="K929" s="247"/>
      <c r="L929" s="247"/>
      <c r="M929" s="247"/>
      <c r="N929" s="247"/>
      <c r="O929" s="247"/>
      <c r="P929" s="247"/>
      <c r="Q929" s="247"/>
      <c r="R929" s="247"/>
      <c r="S929" s="247"/>
      <c r="T929" s="247"/>
      <c r="U929" s="247"/>
    </row>
    <row r="930" spans="1:21" ht="13" hidden="1" customHeight="1">
      <c r="A930" s="263"/>
      <c r="B930" s="247"/>
      <c r="C930" s="247"/>
      <c r="D930" s="287"/>
      <c r="E930" s="247"/>
      <c r="F930" s="288"/>
      <c r="G930" s="247"/>
      <c r="H930" s="247"/>
      <c r="I930" s="247"/>
      <c r="J930" s="247"/>
      <c r="K930" s="247"/>
      <c r="L930" s="247"/>
      <c r="M930" s="247"/>
      <c r="N930" s="247"/>
      <c r="O930" s="247"/>
      <c r="P930" s="247"/>
      <c r="Q930" s="247"/>
      <c r="R930" s="247"/>
      <c r="S930" s="247"/>
      <c r="T930" s="247"/>
      <c r="U930" s="247"/>
    </row>
    <row r="931" spans="1:21" ht="13" hidden="1" customHeight="1">
      <c r="A931" s="263"/>
      <c r="B931" s="247"/>
      <c r="C931" s="247"/>
      <c r="D931" s="287"/>
      <c r="E931" s="247"/>
      <c r="F931" s="288"/>
      <c r="G931" s="247"/>
      <c r="H931" s="247"/>
      <c r="I931" s="247"/>
      <c r="J931" s="247"/>
      <c r="K931" s="247"/>
      <c r="L931" s="247"/>
      <c r="M931" s="247"/>
      <c r="N931" s="247"/>
      <c r="O931" s="247"/>
      <c r="P931" s="247"/>
      <c r="Q931" s="247"/>
      <c r="R931" s="247"/>
      <c r="S931" s="247"/>
      <c r="T931" s="247"/>
      <c r="U931" s="247"/>
    </row>
    <row r="932" spans="1:21" ht="13" hidden="1" customHeight="1">
      <c r="A932" s="263"/>
      <c r="B932" s="247"/>
      <c r="C932" s="247"/>
      <c r="D932" s="287"/>
      <c r="E932" s="247"/>
      <c r="F932" s="288"/>
      <c r="G932" s="247"/>
      <c r="H932" s="247"/>
      <c r="I932" s="247"/>
      <c r="J932" s="247"/>
      <c r="K932" s="247"/>
      <c r="L932" s="247"/>
      <c r="M932" s="247"/>
      <c r="N932" s="247"/>
      <c r="O932" s="247"/>
      <c r="P932" s="247"/>
      <c r="Q932" s="247"/>
      <c r="R932" s="247"/>
      <c r="S932" s="247"/>
      <c r="T932" s="247"/>
      <c r="U932" s="247"/>
    </row>
    <row r="933" spans="1:21" ht="13" hidden="1" customHeight="1">
      <c r="A933" s="263"/>
      <c r="B933" s="247"/>
      <c r="C933" s="247"/>
      <c r="D933" s="287"/>
      <c r="E933" s="247"/>
      <c r="F933" s="288"/>
      <c r="G933" s="247"/>
      <c r="H933" s="247"/>
      <c r="I933" s="247"/>
      <c r="J933" s="247"/>
      <c r="K933" s="247"/>
      <c r="L933" s="247"/>
      <c r="M933" s="247"/>
      <c r="N933" s="247"/>
      <c r="O933" s="247"/>
      <c r="P933" s="247"/>
      <c r="Q933" s="247"/>
      <c r="R933" s="247"/>
      <c r="S933" s="247"/>
      <c r="T933" s="247"/>
      <c r="U933" s="247"/>
    </row>
    <row r="934" spans="1:21" ht="13" hidden="1" customHeight="1">
      <c r="A934" s="263"/>
      <c r="B934" s="247"/>
      <c r="C934" s="247"/>
      <c r="D934" s="287"/>
      <c r="E934" s="247"/>
      <c r="F934" s="288"/>
      <c r="G934" s="247"/>
      <c r="H934" s="247"/>
      <c r="I934" s="247"/>
      <c r="J934" s="247"/>
      <c r="K934" s="247"/>
      <c r="L934" s="247"/>
      <c r="M934" s="247"/>
      <c r="N934" s="247"/>
      <c r="O934" s="247"/>
      <c r="P934" s="247"/>
      <c r="Q934" s="247"/>
      <c r="R934" s="247"/>
      <c r="S934" s="247"/>
      <c r="T934" s="247"/>
      <c r="U934" s="247"/>
    </row>
    <row r="935" spans="1:21" ht="13" hidden="1" customHeight="1">
      <c r="A935" s="263"/>
      <c r="B935" s="247"/>
      <c r="C935" s="247"/>
      <c r="D935" s="287"/>
      <c r="E935" s="247"/>
      <c r="F935" s="288"/>
      <c r="G935" s="247"/>
      <c r="H935" s="247"/>
      <c r="I935" s="247"/>
      <c r="J935" s="247"/>
      <c r="K935" s="247"/>
      <c r="L935" s="247"/>
      <c r="M935" s="247"/>
      <c r="N935" s="247"/>
      <c r="O935" s="247"/>
      <c r="P935" s="247"/>
      <c r="Q935" s="247"/>
      <c r="R935" s="247"/>
      <c r="S935" s="247"/>
      <c r="T935" s="247"/>
      <c r="U935" s="247"/>
    </row>
    <row r="936" spans="1:21" ht="13" hidden="1" customHeight="1">
      <c r="A936" s="263"/>
      <c r="B936" s="247"/>
      <c r="C936" s="247"/>
      <c r="D936" s="287"/>
      <c r="E936" s="247"/>
      <c r="F936" s="288"/>
      <c r="G936" s="247"/>
      <c r="H936" s="247"/>
      <c r="I936" s="247"/>
      <c r="J936" s="247"/>
      <c r="K936" s="247"/>
      <c r="L936" s="247"/>
      <c r="M936" s="247"/>
      <c r="N936" s="247"/>
      <c r="O936" s="247"/>
      <c r="P936" s="247"/>
      <c r="Q936" s="247"/>
      <c r="R936" s="247"/>
      <c r="S936" s="247"/>
      <c r="T936" s="247"/>
      <c r="U936" s="247"/>
    </row>
    <row r="937" spans="1:21" ht="13" hidden="1" customHeight="1">
      <c r="A937" s="263"/>
      <c r="B937" s="247"/>
      <c r="C937" s="247"/>
      <c r="D937" s="287"/>
      <c r="E937" s="247"/>
      <c r="F937" s="288"/>
      <c r="G937" s="247"/>
      <c r="H937" s="247"/>
      <c r="I937" s="247"/>
      <c r="J937" s="247"/>
      <c r="K937" s="247"/>
      <c r="L937" s="247"/>
      <c r="M937" s="247"/>
      <c r="N937" s="247"/>
      <c r="O937" s="247"/>
      <c r="P937" s="247"/>
      <c r="Q937" s="247"/>
      <c r="R937" s="247"/>
      <c r="S937" s="247"/>
      <c r="T937" s="247"/>
      <c r="U937" s="247"/>
    </row>
    <row r="938" spans="1:21" ht="13" hidden="1" customHeight="1">
      <c r="A938" s="263"/>
      <c r="B938" s="247"/>
      <c r="C938" s="247"/>
      <c r="D938" s="287"/>
      <c r="E938" s="247"/>
      <c r="F938" s="288"/>
      <c r="G938" s="247"/>
      <c r="H938" s="247"/>
      <c r="I938" s="247"/>
      <c r="J938" s="247"/>
      <c r="K938" s="247"/>
      <c r="L938" s="247"/>
      <c r="M938" s="247"/>
      <c r="N938" s="247"/>
      <c r="O938" s="247"/>
      <c r="P938" s="247"/>
      <c r="Q938" s="247"/>
      <c r="R938" s="247"/>
      <c r="S938" s="247"/>
      <c r="T938" s="247"/>
      <c r="U938" s="247"/>
    </row>
    <row r="939" spans="1:21" ht="13" hidden="1" customHeight="1">
      <c r="A939" s="263"/>
      <c r="B939" s="247"/>
      <c r="C939" s="247"/>
      <c r="D939" s="287"/>
      <c r="E939" s="247"/>
      <c r="F939" s="288"/>
      <c r="G939" s="247"/>
      <c r="H939" s="247"/>
      <c r="I939" s="247"/>
      <c r="J939" s="247"/>
      <c r="K939" s="247"/>
      <c r="L939" s="247"/>
      <c r="M939" s="247"/>
      <c r="N939" s="247"/>
      <c r="O939" s="247"/>
      <c r="P939" s="247"/>
      <c r="Q939" s="247"/>
      <c r="R939" s="247"/>
      <c r="S939" s="247"/>
      <c r="T939" s="247"/>
      <c r="U939" s="247"/>
    </row>
    <row r="940" spans="1:21" ht="13" hidden="1" customHeight="1">
      <c r="A940" s="263"/>
      <c r="B940" s="247"/>
      <c r="C940" s="247"/>
      <c r="D940" s="287"/>
      <c r="E940" s="247"/>
      <c r="F940" s="288"/>
      <c r="G940" s="247"/>
      <c r="H940" s="247"/>
      <c r="I940" s="247"/>
      <c r="J940" s="247"/>
      <c r="K940" s="247"/>
      <c r="L940" s="247"/>
      <c r="M940" s="247"/>
      <c r="N940" s="247"/>
      <c r="O940" s="247"/>
      <c r="P940" s="247"/>
      <c r="Q940" s="247"/>
      <c r="R940" s="247"/>
      <c r="S940" s="247"/>
      <c r="T940" s="247"/>
      <c r="U940" s="247"/>
    </row>
    <row r="941" spans="1:21" ht="13" hidden="1" customHeight="1">
      <c r="A941" s="263"/>
      <c r="B941" s="247"/>
      <c r="C941" s="247"/>
      <c r="D941" s="287"/>
      <c r="E941" s="247"/>
      <c r="F941" s="288"/>
      <c r="G941" s="247"/>
      <c r="H941" s="247"/>
      <c r="I941" s="247"/>
      <c r="J941" s="247"/>
      <c r="K941" s="247"/>
      <c r="L941" s="247"/>
      <c r="M941" s="247"/>
      <c r="N941" s="247"/>
      <c r="O941" s="247"/>
      <c r="P941" s="247"/>
      <c r="Q941" s="247"/>
      <c r="R941" s="247"/>
      <c r="S941" s="247"/>
      <c r="T941" s="247"/>
      <c r="U941" s="247"/>
    </row>
    <row r="942" spans="1:21" ht="13" hidden="1" customHeight="1">
      <c r="A942" s="263"/>
      <c r="B942" s="247"/>
      <c r="C942" s="247"/>
      <c r="D942" s="287"/>
      <c r="E942" s="247"/>
      <c r="F942" s="288"/>
      <c r="G942" s="247"/>
      <c r="H942" s="247"/>
      <c r="I942" s="247"/>
      <c r="J942" s="247"/>
      <c r="K942" s="247"/>
      <c r="L942" s="247"/>
      <c r="M942" s="247"/>
      <c r="N942" s="247"/>
      <c r="O942" s="247"/>
      <c r="P942" s="247"/>
      <c r="Q942" s="247"/>
      <c r="R942" s="247"/>
      <c r="S942" s="247"/>
      <c r="T942" s="247"/>
      <c r="U942" s="247"/>
    </row>
    <row r="943" spans="1:21" ht="13" hidden="1" customHeight="1">
      <c r="A943" s="263"/>
      <c r="B943" s="247"/>
      <c r="C943" s="247"/>
      <c r="D943" s="287"/>
      <c r="E943" s="247"/>
      <c r="F943" s="288"/>
      <c r="G943" s="247"/>
      <c r="H943" s="247"/>
      <c r="I943" s="247"/>
      <c r="J943" s="247"/>
      <c r="K943" s="247"/>
      <c r="L943" s="247"/>
      <c r="M943" s="247"/>
      <c r="N943" s="247"/>
      <c r="O943" s="247"/>
      <c r="P943" s="247"/>
      <c r="Q943" s="247"/>
      <c r="R943" s="247"/>
      <c r="S943" s="247"/>
      <c r="T943" s="247"/>
      <c r="U943" s="247"/>
    </row>
    <row r="944" spans="1:21" ht="13" hidden="1" customHeight="1">
      <c r="A944" s="263"/>
      <c r="B944" s="247"/>
      <c r="C944" s="247"/>
      <c r="D944" s="287"/>
      <c r="E944" s="247"/>
      <c r="F944" s="288"/>
      <c r="G944" s="247"/>
      <c r="H944" s="247"/>
      <c r="I944" s="247"/>
      <c r="J944" s="247"/>
      <c r="K944" s="247"/>
      <c r="L944" s="247"/>
      <c r="M944" s="247"/>
      <c r="N944" s="247"/>
      <c r="O944" s="247"/>
      <c r="P944" s="247"/>
      <c r="Q944" s="247"/>
      <c r="R944" s="247"/>
      <c r="S944" s="247"/>
      <c r="T944" s="247"/>
      <c r="U944" s="247"/>
    </row>
    <row r="945" spans="1:21" ht="13" hidden="1" customHeight="1">
      <c r="A945" s="263"/>
      <c r="B945" s="247"/>
      <c r="C945" s="247"/>
      <c r="D945" s="287"/>
      <c r="E945" s="247"/>
      <c r="F945" s="288"/>
      <c r="G945" s="247"/>
      <c r="H945" s="247"/>
      <c r="I945" s="247"/>
      <c r="J945" s="247"/>
      <c r="K945" s="247"/>
      <c r="L945" s="247"/>
      <c r="M945" s="247"/>
      <c r="N945" s="247"/>
      <c r="O945" s="247"/>
      <c r="P945" s="247"/>
      <c r="Q945" s="247"/>
      <c r="R945" s="247"/>
      <c r="S945" s="247"/>
      <c r="T945" s="247"/>
      <c r="U945" s="247"/>
    </row>
    <row r="946" spans="1:21" ht="13" hidden="1" customHeight="1">
      <c r="A946" s="263"/>
      <c r="B946" s="247"/>
      <c r="C946" s="247"/>
      <c r="D946" s="287"/>
      <c r="E946" s="247"/>
      <c r="F946" s="288"/>
      <c r="G946" s="247"/>
      <c r="H946" s="247"/>
      <c r="I946" s="247"/>
      <c r="J946" s="247"/>
      <c r="K946" s="247"/>
      <c r="L946" s="247"/>
      <c r="M946" s="247"/>
      <c r="N946" s="247"/>
      <c r="O946" s="247"/>
      <c r="P946" s="247"/>
      <c r="Q946" s="247"/>
      <c r="R946" s="247"/>
      <c r="S946" s="247"/>
      <c r="T946" s="247"/>
      <c r="U946" s="247"/>
    </row>
    <row r="947" spans="1:21" ht="13" hidden="1" customHeight="1">
      <c r="A947" s="263"/>
      <c r="B947" s="247"/>
      <c r="C947" s="247"/>
      <c r="D947" s="287"/>
      <c r="E947" s="247"/>
      <c r="F947" s="288"/>
      <c r="G947" s="247"/>
      <c r="H947" s="247"/>
      <c r="I947" s="247"/>
      <c r="J947" s="247"/>
      <c r="K947" s="247"/>
      <c r="L947" s="247"/>
      <c r="M947" s="247"/>
      <c r="N947" s="247"/>
      <c r="O947" s="247"/>
      <c r="P947" s="247"/>
      <c r="Q947" s="247"/>
      <c r="R947" s="247"/>
      <c r="S947" s="247"/>
      <c r="T947" s="247"/>
      <c r="U947" s="247"/>
    </row>
    <row r="948" spans="1:21" ht="13" hidden="1" customHeight="1">
      <c r="A948" s="263"/>
      <c r="B948" s="247"/>
      <c r="C948" s="247"/>
      <c r="D948" s="287"/>
      <c r="E948" s="247"/>
      <c r="F948" s="288"/>
      <c r="G948" s="247"/>
      <c r="H948" s="247"/>
      <c r="I948" s="247"/>
      <c r="J948" s="247"/>
      <c r="K948" s="247"/>
      <c r="L948" s="247"/>
      <c r="M948" s="247"/>
      <c r="N948" s="247"/>
      <c r="O948" s="247"/>
      <c r="P948" s="247"/>
      <c r="Q948" s="247"/>
      <c r="R948" s="247"/>
      <c r="S948" s="247"/>
      <c r="T948" s="247"/>
      <c r="U948" s="247"/>
    </row>
    <row r="949" spans="1:21" ht="13" hidden="1" customHeight="1">
      <c r="A949" s="263"/>
      <c r="B949" s="247"/>
      <c r="C949" s="247"/>
      <c r="D949" s="287"/>
      <c r="E949" s="247"/>
      <c r="F949" s="288"/>
      <c r="G949" s="247"/>
      <c r="H949" s="247"/>
      <c r="I949" s="247"/>
      <c r="J949" s="247"/>
      <c r="K949" s="247"/>
      <c r="L949" s="247"/>
      <c r="M949" s="247"/>
      <c r="N949" s="247"/>
      <c r="O949" s="247"/>
      <c r="P949" s="247"/>
      <c r="Q949" s="247"/>
      <c r="R949" s="247"/>
      <c r="S949" s="247"/>
      <c r="T949" s="247"/>
      <c r="U949" s="247"/>
    </row>
    <row r="950" spans="1:21" ht="13" hidden="1" customHeight="1">
      <c r="A950" s="263"/>
      <c r="B950" s="247"/>
      <c r="C950" s="247"/>
      <c r="D950" s="287"/>
      <c r="E950" s="247"/>
      <c r="F950" s="288"/>
      <c r="G950" s="247"/>
      <c r="H950" s="247"/>
      <c r="I950" s="247"/>
      <c r="J950" s="247"/>
      <c r="K950" s="247"/>
      <c r="L950" s="247"/>
      <c r="M950" s="247"/>
      <c r="N950" s="247"/>
      <c r="O950" s="247"/>
      <c r="P950" s="247"/>
      <c r="Q950" s="247"/>
      <c r="R950" s="247"/>
      <c r="S950" s="247"/>
      <c r="T950" s="247"/>
      <c r="U950" s="247"/>
    </row>
    <row r="951" spans="1:21" ht="13" hidden="1" customHeight="1">
      <c r="A951" s="263"/>
      <c r="B951" s="247"/>
      <c r="C951" s="247"/>
      <c r="D951" s="287"/>
      <c r="E951" s="247"/>
      <c r="F951" s="288"/>
      <c r="G951" s="247"/>
      <c r="H951" s="247"/>
      <c r="I951" s="247"/>
      <c r="J951" s="247"/>
      <c r="K951" s="247"/>
      <c r="L951" s="247"/>
      <c r="M951" s="247"/>
      <c r="N951" s="247"/>
      <c r="O951" s="247"/>
      <c r="P951" s="247"/>
      <c r="Q951" s="247"/>
      <c r="R951" s="247"/>
      <c r="S951" s="247"/>
      <c r="T951" s="247"/>
      <c r="U951" s="247"/>
    </row>
    <row r="952" spans="1:21" ht="13" hidden="1" customHeight="1">
      <c r="A952" s="263"/>
      <c r="B952" s="247"/>
      <c r="C952" s="247"/>
      <c r="D952" s="287"/>
      <c r="E952" s="247"/>
      <c r="F952" s="288"/>
      <c r="G952" s="247"/>
      <c r="H952" s="247"/>
      <c r="I952" s="247"/>
      <c r="J952" s="247"/>
      <c r="K952" s="247"/>
      <c r="L952" s="247"/>
      <c r="M952" s="247"/>
      <c r="N952" s="247"/>
      <c r="O952" s="247"/>
      <c r="P952" s="247"/>
      <c r="Q952" s="247"/>
      <c r="R952" s="247"/>
      <c r="S952" s="247"/>
      <c r="T952" s="247"/>
      <c r="U952" s="247"/>
    </row>
    <row r="953" spans="1:21" ht="13" hidden="1" customHeight="1">
      <c r="A953" s="263"/>
      <c r="B953" s="247"/>
      <c r="C953" s="247"/>
      <c r="D953" s="287"/>
      <c r="E953" s="247"/>
      <c r="F953" s="288"/>
      <c r="G953" s="247"/>
      <c r="H953" s="247"/>
      <c r="I953" s="247"/>
      <c r="J953" s="247"/>
      <c r="K953" s="247"/>
      <c r="L953" s="247"/>
      <c r="M953" s="247"/>
      <c r="N953" s="247"/>
      <c r="O953" s="247"/>
      <c r="P953" s="247"/>
      <c r="Q953" s="247"/>
      <c r="R953" s="247"/>
      <c r="S953" s="247"/>
      <c r="T953" s="247"/>
      <c r="U953" s="247"/>
    </row>
    <row r="954" spans="1:21" ht="13" hidden="1" customHeight="1">
      <c r="A954" s="263"/>
      <c r="B954" s="247"/>
      <c r="C954" s="247"/>
      <c r="D954" s="287"/>
      <c r="E954" s="247"/>
      <c r="F954" s="288"/>
      <c r="G954" s="247"/>
      <c r="H954" s="247"/>
      <c r="I954" s="247"/>
      <c r="J954" s="247"/>
      <c r="K954" s="247"/>
      <c r="L954" s="247"/>
      <c r="M954" s="247"/>
      <c r="N954" s="247"/>
      <c r="O954" s="247"/>
      <c r="P954" s="247"/>
      <c r="Q954" s="247"/>
      <c r="R954" s="247"/>
      <c r="S954" s="247"/>
      <c r="T954" s="247"/>
      <c r="U954" s="247"/>
    </row>
    <row r="955" spans="1:21" ht="13" hidden="1" customHeight="1">
      <c r="A955" s="263"/>
      <c r="B955" s="247"/>
      <c r="C955" s="247"/>
      <c r="D955" s="287"/>
      <c r="E955" s="247"/>
      <c r="F955" s="288"/>
      <c r="G955" s="247"/>
      <c r="H955" s="247"/>
      <c r="I955" s="247"/>
      <c r="J955" s="247"/>
      <c r="K955" s="247"/>
      <c r="L955" s="247"/>
      <c r="M955" s="247"/>
      <c r="N955" s="247"/>
      <c r="O955" s="247"/>
      <c r="P955" s="247"/>
      <c r="Q955" s="247"/>
      <c r="R955" s="247"/>
      <c r="S955" s="247"/>
      <c r="T955" s="247"/>
      <c r="U955" s="247"/>
    </row>
    <row r="956" spans="1:21" ht="13" hidden="1" customHeight="1">
      <c r="A956" s="263"/>
      <c r="B956" s="247"/>
      <c r="C956" s="247"/>
      <c r="D956" s="287"/>
      <c r="E956" s="247"/>
      <c r="F956" s="288"/>
      <c r="G956" s="247"/>
      <c r="H956" s="247"/>
      <c r="I956" s="247"/>
      <c r="J956" s="247"/>
      <c r="K956" s="247"/>
      <c r="L956" s="247"/>
      <c r="M956" s="247"/>
      <c r="N956" s="247"/>
      <c r="O956" s="247"/>
      <c r="P956" s="247"/>
      <c r="Q956" s="247"/>
      <c r="R956" s="247"/>
      <c r="S956" s="247"/>
      <c r="T956" s="247"/>
      <c r="U956" s="247"/>
    </row>
    <row r="957" spans="1:21" ht="13" hidden="1" customHeight="1">
      <c r="A957" s="263"/>
      <c r="B957" s="247"/>
      <c r="C957" s="247"/>
      <c r="D957" s="287"/>
      <c r="E957" s="247"/>
      <c r="F957" s="288"/>
      <c r="G957" s="247"/>
      <c r="H957" s="247"/>
      <c r="I957" s="247"/>
      <c r="J957" s="247"/>
      <c r="K957" s="247"/>
      <c r="L957" s="247"/>
      <c r="M957" s="247"/>
      <c r="N957" s="247"/>
      <c r="O957" s="247"/>
      <c r="P957" s="247"/>
      <c r="Q957" s="247"/>
      <c r="R957" s="247"/>
      <c r="S957" s="247"/>
      <c r="T957" s="247"/>
      <c r="U957" s="247"/>
    </row>
    <row r="958" spans="1:21" ht="13" hidden="1" customHeight="1">
      <c r="A958" s="263"/>
      <c r="B958" s="247"/>
      <c r="C958" s="247"/>
      <c r="D958" s="287"/>
      <c r="E958" s="247"/>
      <c r="F958" s="288"/>
      <c r="G958" s="247"/>
      <c r="H958" s="247"/>
      <c r="I958" s="247"/>
      <c r="J958" s="247"/>
      <c r="K958" s="247"/>
      <c r="L958" s="247"/>
      <c r="M958" s="247"/>
      <c r="N958" s="247"/>
      <c r="O958" s="247"/>
      <c r="P958" s="247"/>
      <c r="Q958" s="247"/>
      <c r="R958" s="247"/>
      <c r="S958" s="247"/>
      <c r="T958" s="247"/>
      <c r="U958" s="247"/>
    </row>
    <row r="959" spans="1:21" ht="13" hidden="1" customHeight="1">
      <c r="A959" s="263"/>
      <c r="B959" s="247"/>
      <c r="C959" s="247"/>
      <c r="D959" s="287"/>
      <c r="E959" s="247"/>
      <c r="F959" s="288"/>
      <c r="G959" s="247"/>
      <c r="H959" s="247"/>
      <c r="I959" s="247"/>
      <c r="J959" s="247"/>
      <c r="K959" s="247"/>
      <c r="L959" s="247"/>
      <c r="M959" s="247"/>
      <c r="N959" s="247"/>
      <c r="O959" s="247"/>
      <c r="P959" s="247"/>
      <c r="Q959" s="247"/>
      <c r="R959" s="247"/>
      <c r="S959" s="247"/>
      <c r="T959" s="247"/>
      <c r="U959" s="247"/>
    </row>
    <row r="960" spans="1:21" ht="13" hidden="1" customHeight="1">
      <c r="A960" s="263"/>
      <c r="B960" s="247"/>
      <c r="C960" s="247"/>
      <c r="D960" s="287"/>
      <c r="E960" s="247"/>
      <c r="F960" s="288"/>
      <c r="G960" s="247"/>
      <c r="H960" s="247"/>
      <c r="I960" s="247"/>
      <c r="J960" s="247"/>
      <c r="K960" s="247"/>
      <c r="L960" s="247"/>
      <c r="M960" s="247"/>
      <c r="N960" s="247"/>
      <c r="O960" s="247"/>
      <c r="P960" s="247"/>
      <c r="Q960" s="247"/>
      <c r="R960" s="247"/>
      <c r="S960" s="247"/>
      <c r="T960" s="247"/>
      <c r="U960" s="247"/>
    </row>
    <row r="961" spans="1:21" ht="13" hidden="1" customHeight="1">
      <c r="A961" s="263"/>
      <c r="B961" s="247"/>
      <c r="C961" s="247"/>
      <c r="D961" s="287"/>
      <c r="E961" s="247"/>
      <c r="F961" s="288"/>
      <c r="G961" s="247"/>
      <c r="H961" s="247"/>
      <c r="I961" s="247"/>
      <c r="J961" s="247"/>
      <c r="K961" s="247"/>
      <c r="L961" s="247"/>
      <c r="M961" s="247"/>
      <c r="N961" s="247"/>
      <c r="O961" s="247"/>
      <c r="P961" s="247"/>
      <c r="Q961" s="247"/>
      <c r="R961" s="247"/>
      <c r="S961" s="247"/>
      <c r="T961" s="247"/>
      <c r="U961" s="247"/>
    </row>
    <row r="962" spans="1:21" ht="13" hidden="1" customHeight="1">
      <c r="A962" s="263"/>
      <c r="B962" s="247"/>
      <c r="C962" s="247"/>
      <c r="D962" s="287"/>
      <c r="E962" s="247"/>
      <c r="F962" s="288"/>
      <c r="G962" s="247"/>
      <c r="H962" s="247"/>
      <c r="I962" s="247"/>
      <c r="J962" s="247"/>
      <c r="K962" s="247"/>
      <c r="L962" s="247"/>
      <c r="M962" s="247"/>
      <c r="N962" s="247"/>
      <c r="O962" s="247"/>
      <c r="P962" s="247"/>
      <c r="Q962" s="247"/>
      <c r="R962" s="247"/>
      <c r="S962" s="247"/>
      <c r="T962" s="247"/>
      <c r="U962" s="247"/>
    </row>
    <row r="963" spans="1:21" ht="13" hidden="1" customHeight="1">
      <c r="A963" s="263"/>
      <c r="B963" s="247"/>
      <c r="C963" s="247"/>
      <c r="D963" s="287"/>
      <c r="E963" s="247"/>
      <c r="F963" s="288"/>
      <c r="G963" s="247"/>
      <c r="H963" s="247"/>
      <c r="I963" s="247"/>
      <c r="J963" s="247"/>
      <c r="K963" s="247"/>
      <c r="L963" s="247"/>
      <c r="M963" s="247"/>
      <c r="N963" s="247"/>
      <c r="O963" s="247"/>
      <c r="P963" s="247"/>
      <c r="Q963" s="247"/>
      <c r="R963" s="247"/>
      <c r="S963" s="247"/>
      <c r="T963" s="247"/>
      <c r="U963" s="247"/>
    </row>
    <row r="964" spans="1:21" ht="13" hidden="1" customHeight="1">
      <c r="A964" s="263"/>
      <c r="B964" s="247"/>
      <c r="C964" s="247"/>
      <c r="D964" s="287"/>
      <c r="E964" s="247"/>
      <c r="F964" s="288"/>
      <c r="G964" s="247"/>
      <c r="H964" s="247"/>
      <c r="I964" s="247"/>
      <c r="J964" s="247"/>
      <c r="K964" s="247"/>
      <c r="L964" s="247"/>
      <c r="M964" s="247"/>
      <c r="N964" s="247"/>
      <c r="O964" s="247"/>
      <c r="P964" s="247"/>
      <c r="Q964" s="247"/>
      <c r="R964" s="247"/>
      <c r="S964" s="247"/>
      <c r="T964" s="247"/>
      <c r="U964" s="247"/>
    </row>
    <row r="965" spans="1:21" ht="13" hidden="1" customHeight="1">
      <c r="A965" s="263"/>
      <c r="B965" s="247"/>
      <c r="C965" s="247"/>
      <c r="D965" s="287"/>
      <c r="E965" s="247"/>
      <c r="F965" s="288"/>
      <c r="G965" s="247"/>
      <c r="H965" s="247"/>
      <c r="I965" s="247"/>
      <c r="J965" s="247"/>
      <c r="K965" s="247"/>
      <c r="L965" s="247"/>
      <c r="M965" s="247"/>
      <c r="N965" s="247"/>
      <c r="O965" s="247"/>
      <c r="P965" s="247"/>
      <c r="Q965" s="247"/>
      <c r="R965" s="247"/>
      <c r="S965" s="247"/>
      <c r="T965" s="247"/>
      <c r="U965" s="247"/>
    </row>
    <row r="966" spans="1:21" ht="13" hidden="1" customHeight="1">
      <c r="A966" s="263"/>
      <c r="B966" s="247"/>
      <c r="C966" s="247"/>
      <c r="D966" s="287"/>
      <c r="E966" s="247"/>
      <c r="F966" s="288"/>
      <c r="G966" s="247"/>
      <c r="H966" s="247"/>
      <c r="I966" s="247"/>
      <c r="J966" s="247"/>
      <c r="K966" s="247"/>
      <c r="L966" s="247"/>
      <c r="M966" s="247"/>
      <c r="N966" s="247"/>
      <c r="O966" s="247"/>
      <c r="P966" s="247"/>
      <c r="Q966" s="247"/>
      <c r="R966" s="247"/>
      <c r="S966" s="247"/>
      <c r="T966" s="247"/>
      <c r="U966" s="247"/>
    </row>
    <row r="967" spans="1:21" ht="13" hidden="1" customHeight="1">
      <c r="A967" s="263"/>
      <c r="B967" s="247"/>
      <c r="C967" s="247"/>
      <c r="D967" s="287"/>
      <c r="E967" s="247"/>
      <c r="F967" s="288"/>
      <c r="G967" s="247"/>
      <c r="H967" s="247"/>
      <c r="I967" s="247"/>
      <c r="J967" s="247"/>
      <c r="K967" s="247"/>
      <c r="L967" s="247"/>
      <c r="M967" s="247"/>
      <c r="N967" s="247"/>
      <c r="O967" s="247"/>
      <c r="P967" s="247"/>
      <c r="Q967" s="247"/>
      <c r="R967" s="247"/>
      <c r="S967" s="247"/>
      <c r="T967" s="247"/>
      <c r="U967" s="247"/>
    </row>
    <row r="968" spans="1:21" ht="13" hidden="1" customHeight="1">
      <c r="A968" s="263"/>
      <c r="B968" s="247"/>
      <c r="C968" s="247"/>
      <c r="D968" s="287"/>
      <c r="E968" s="247"/>
      <c r="F968" s="288"/>
      <c r="G968" s="247"/>
      <c r="H968" s="247"/>
      <c r="I968" s="247"/>
      <c r="J968" s="247"/>
      <c r="K968" s="247"/>
      <c r="L968" s="247"/>
      <c r="M968" s="247"/>
      <c r="N968" s="247"/>
      <c r="O968" s="247"/>
      <c r="P968" s="247"/>
      <c r="Q968" s="247"/>
      <c r="R968" s="247"/>
      <c r="S968" s="247"/>
      <c r="T968" s="247"/>
      <c r="U968" s="247"/>
    </row>
    <row r="969" spans="1:21" ht="13" hidden="1" customHeight="1">
      <c r="A969" s="263"/>
      <c r="B969" s="247"/>
      <c r="C969" s="247"/>
      <c r="D969" s="287"/>
      <c r="E969" s="247"/>
      <c r="F969" s="288"/>
      <c r="G969" s="247"/>
      <c r="H969" s="247"/>
      <c r="I969" s="247"/>
      <c r="J969" s="247"/>
      <c r="K969" s="247"/>
      <c r="L969" s="247"/>
      <c r="M969" s="247"/>
      <c r="N969" s="247"/>
      <c r="O969" s="247"/>
      <c r="P969" s="247"/>
      <c r="Q969" s="247"/>
      <c r="R969" s="247"/>
      <c r="S969" s="247"/>
      <c r="T969" s="247"/>
      <c r="U969" s="247"/>
    </row>
    <row r="970" spans="1:21" ht="13" hidden="1" customHeight="1">
      <c r="A970" s="263"/>
      <c r="B970" s="247"/>
      <c r="C970" s="247"/>
      <c r="D970" s="287"/>
      <c r="E970" s="247"/>
      <c r="F970" s="288"/>
      <c r="G970" s="247"/>
      <c r="H970" s="247"/>
      <c r="I970" s="247"/>
      <c r="J970" s="247"/>
      <c r="K970" s="247"/>
      <c r="L970" s="247"/>
      <c r="M970" s="247"/>
      <c r="N970" s="247"/>
      <c r="O970" s="247"/>
      <c r="P970" s="247"/>
      <c r="Q970" s="247"/>
      <c r="R970" s="247"/>
      <c r="S970" s="247"/>
      <c r="T970" s="247"/>
      <c r="U970" s="247"/>
    </row>
    <row r="971" spans="1:21" ht="13" hidden="1" customHeight="1">
      <c r="A971" s="263"/>
      <c r="B971" s="247"/>
      <c r="C971" s="247"/>
      <c r="D971" s="287"/>
      <c r="E971" s="247"/>
      <c r="F971" s="288"/>
      <c r="G971" s="247"/>
      <c r="H971" s="247"/>
      <c r="I971" s="247"/>
      <c r="J971" s="247"/>
      <c r="K971" s="247"/>
      <c r="L971" s="247"/>
      <c r="M971" s="247"/>
      <c r="N971" s="247"/>
      <c r="O971" s="247"/>
      <c r="P971" s="247"/>
      <c r="Q971" s="247"/>
      <c r="R971" s="247"/>
      <c r="S971" s="247"/>
      <c r="T971" s="247"/>
      <c r="U971" s="247"/>
    </row>
    <row r="972" spans="1:21" ht="13" hidden="1" customHeight="1">
      <c r="A972" s="263"/>
      <c r="B972" s="247"/>
      <c r="C972" s="247"/>
      <c r="D972" s="287"/>
      <c r="E972" s="247"/>
      <c r="F972" s="288"/>
      <c r="G972" s="247"/>
      <c r="H972" s="247"/>
      <c r="I972" s="247"/>
      <c r="J972" s="247"/>
      <c r="K972" s="247"/>
      <c r="L972" s="247"/>
      <c r="M972" s="247"/>
      <c r="N972" s="247"/>
      <c r="O972" s="247"/>
      <c r="P972" s="247"/>
      <c r="Q972" s="247"/>
      <c r="R972" s="247"/>
      <c r="S972" s="247"/>
      <c r="T972" s="247"/>
      <c r="U972" s="247"/>
    </row>
    <row r="973" spans="1:21" ht="13" hidden="1" customHeight="1">
      <c r="A973" s="263"/>
      <c r="B973" s="247"/>
      <c r="C973" s="247"/>
      <c r="D973" s="287"/>
      <c r="E973" s="247"/>
      <c r="F973" s="288"/>
      <c r="G973" s="247"/>
      <c r="H973" s="247"/>
      <c r="I973" s="247"/>
      <c r="J973" s="247"/>
      <c r="K973" s="247"/>
      <c r="L973" s="247"/>
      <c r="M973" s="247"/>
      <c r="N973" s="247"/>
      <c r="O973" s="247"/>
      <c r="P973" s="247"/>
      <c r="Q973" s="247"/>
      <c r="R973" s="247"/>
      <c r="S973" s="247"/>
      <c r="T973" s="247"/>
      <c r="U973" s="247"/>
    </row>
    <row r="974" spans="1:21" ht="13" hidden="1" customHeight="1">
      <c r="A974" s="263"/>
      <c r="B974" s="247"/>
      <c r="C974" s="247"/>
      <c r="D974" s="287"/>
      <c r="E974" s="247"/>
      <c r="F974" s="288"/>
      <c r="G974" s="247"/>
      <c r="H974" s="247"/>
      <c r="I974" s="247"/>
      <c r="J974" s="247"/>
      <c r="K974" s="247"/>
      <c r="L974" s="247"/>
      <c r="M974" s="247"/>
      <c r="N974" s="247"/>
      <c r="O974" s="247"/>
      <c r="P974" s="247"/>
      <c r="Q974" s="247"/>
      <c r="R974" s="247"/>
      <c r="S974" s="247"/>
      <c r="T974" s="247"/>
      <c r="U974" s="247"/>
    </row>
    <row r="975" spans="1:21" ht="13" hidden="1" customHeight="1">
      <c r="A975" s="263"/>
      <c r="B975" s="247"/>
      <c r="C975" s="247"/>
      <c r="D975" s="287"/>
      <c r="E975" s="247"/>
      <c r="F975" s="288"/>
      <c r="G975" s="247"/>
      <c r="H975" s="247"/>
      <c r="I975" s="247"/>
      <c r="J975" s="247"/>
      <c r="K975" s="247"/>
      <c r="L975" s="247"/>
      <c r="M975" s="247"/>
      <c r="N975" s="247"/>
      <c r="O975" s="247"/>
      <c r="P975" s="247"/>
      <c r="Q975" s="247"/>
      <c r="R975" s="247"/>
      <c r="S975" s="247"/>
      <c r="T975" s="247"/>
      <c r="U975" s="247"/>
    </row>
    <row r="976" spans="1:21" ht="13" hidden="1" customHeight="1">
      <c r="A976" s="263"/>
      <c r="B976" s="247"/>
      <c r="C976" s="247"/>
      <c r="D976" s="287"/>
      <c r="E976" s="247"/>
      <c r="F976" s="288"/>
      <c r="G976" s="247"/>
      <c r="H976" s="247"/>
      <c r="I976" s="247"/>
      <c r="J976" s="247"/>
      <c r="K976" s="247"/>
      <c r="L976" s="247"/>
      <c r="M976" s="247"/>
      <c r="N976" s="247"/>
      <c r="O976" s="247"/>
      <c r="P976" s="247"/>
      <c r="Q976" s="247"/>
      <c r="R976" s="247"/>
      <c r="S976" s="247"/>
      <c r="T976" s="247"/>
      <c r="U976" s="247"/>
    </row>
    <row r="977" spans="1:21" ht="13" hidden="1" customHeight="1">
      <c r="A977" s="263"/>
      <c r="B977" s="247"/>
      <c r="C977" s="247"/>
      <c r="D977" s="287"/>
      <c r="E977" s="247"/>
      <c r="F977" s="288"/>
      <c r="G977" s="247"/>
      <c r="H977" s="247"/>
      <c r="I977" s="247"/>
      <c r="J977" s="247"/>
      <c r="K977" s="247"/>
      <c r="L977" s="247"/>
      <c r="M977" s="247"/>
      <c r="N977" s="247"/>
      <c r="O977" s="247"/>
      <c r="P977" s="247"/>
      <c r="Q977" s="247"/>
      <c r="R977" s="247"/>
      <c r="S977" s="247"/>
      <c r="T977" s="247"/>
      <c r="U977" s="247"/>
    </row>
    <row r="978" spans="1:21" ht="13" hidden="1" customHeight="1">
      <c r="A978" s="263"/>
      <c r="B978" s="247"/>
      <c r="C978" s="247"/>
      <c r="D978" s="287"/>
      <c r="E978" s="247"/>
      <c r="F978" s="288"/>
      <c r="G978" s="247"/>
      <c r="H978" s="247"/>
      <c r="I978" s="247"/>
      <c r="J978" s="247"/>
      <c r="K978" s="247"/>
      <c r="L978" s="247"/>
      <c r="M978" s="247"/>
      <c r="N978" s="247"/>
      <c r="O978" s="247"/>
      <c r="P978" s="247"/>
      <c r="Q978" s="247"/>
      <c r="R978" s="247"/>
      <c r="S978" s="247"/>
      <c r="T978" s="247"/>
      <c r="U978" s="247"/>
    </row>
    <row r="979" spans="1:21" ht="13" hidden="1" customHeight="1">
      <c r="A979" s="263"/>
      <c r="B979" s="247"/>
      <c r="C979" s="247"/>
      <c r="D979" s="287"/>
      <c r="E979" s="247"/>
      <c r="F979" s="288"/>
      <c r="G979" s="247"/>
      <c r="H979" s="247"/>
      <c r="I979" s="247"/>
      <c r="J979" s="247"/>
      <c r="K979" s="247"/>
      <c r="L979" s="247"/>
      <c r="M979" s="247"/>
      <c r="N979" s="247"/>
      <c r="O979" s="247"/>
      <c r="P979" s="247"/>
      <c r="Q979" s="247"/>
      <c r="R979" s="247"/>
      <c r="S979" s="247"/>
      <c r="T979" s="247"/>
      <c r="U979" s="247"/>
    </row>
    <row r="980" spans="1:21" ht="13" hidden="1" customHeight="1">
      <c r="A980" s="263"/>
      <c r="B980" s="247"/>
      <c r="C980" s="247"/>
      <c r="D980" s="287"/>
      <c r="E980" s="247"/>
      <c r="F980" s="288"/>
      <c r="G980" s="247"/>
      <c r="H980" s="247"/>
      <c r="I980" s="247"/>
      <c r="J980" s="247"/>
      <c r="K980" s="247"/>
      <c r="L980" s="247"/>
      <c r="M980" s="247"/>
      <c r="N980" s="247"/>
      <c r="O980" s="247"/>
      <c r="P980" s="247"/>
      <c r="Q980" s="247"/>
      <c r="R980" s="247"/>
      <c r="S980" s="247"/>
      <c r="T980" s="247"/>
      <c r="U980" s="247"/>
    </row>
    <row r="981" spans="1:21" ht="13" hidden="1" customHeight="1">
      <c r="A981" s="263"/>
      <c r="B981" s="247"/>
      <c r="C981" s="247"/>
      <c r="D981" s="287"/>
      <c r="E981" s="247"/>
      <c r="F981" s="288"/>
      <c r="G981" s="247"/>
      <c r="H981" s="247"/>
      <c r="I981" s="247"/>
      <c r="J981" s="247"/>
      <c r="K981" s="247"/>
      <c r="L981" s="247"/>
      <c r="M981" s="247"/>
      <c r="N981" s="247"/>
      <c r="O981" s="247"/>
      <c r="P981" s="247"/>
      <c r="Q981" s="247"/>
      <c r="R981" s="247"/>
      <c r="S981" s="247"/>
      <c r="T981" s="247"/>
      <c r="U981" s="247"/>
    </row>
    <row r="982" spans="1:21" ht="13" hidden="1" customHeight="1">
      <c r="A982" s="263"/>
      <c r="B982" s="247"/>
      <c r="C982" s="247"/>
      <c r="D982" s="287"/>
      <c r="E982" s="247"/>
      <c r="F982" s="288"/>
      <c r="G982" s="247"/>
      <c r="H982" s="247"/>
      <c r="I982" s="247"/>
      <c r="J982" s="247"/>
      <c r="K982" s="247"/>
      <c r="L982" s="247"/>
      <c r="M982" s="247"/>
      <c r="N982" s="247"/>
      <c r="O982" s="247"/>
      <c r="P982" s="247"/>
      <c r="Q982" s="247"/>
      <c r="R982" s="247"/>
      <c r="S982" s="247"/>
      <c r="T982" s="247"/>
      <c r="U982" s="247"/>
    </row>
    <row r="983" spans="1:21" ht="13" hidden="1" customHeight="1">
      <c r="A983" s="263"/>
      <c r="B983" s="247"/>
      <c r="C983" s="247"/>
      <c r="D983" s="287"/>
      <c r="E983" s="247"/>
      <c r="F983" s="288"/>
      <c r="G983" s="247"/>
      <c r="H983" s="247"/>
      <c r="I983" s="247"/>
      <c r="J983" s="247"/>
      <c r="K983" s="247"/>
      <c r="L983" s="247"/>
      <c r="M983" s="247"/>
      <c r="N983" s="247"/>
      <c r="O983" s="247"/>
      <c r="P983" s="247"/>
      <c r="Q983" s="247"/>
      <c r="R983" s="247"/>
      <c r="S983" s="247"/>
      <c r="T983" s="247"/>
      <c r="U983" s="247"/>
    </row>
    <row r="984" spans="1:21" ht="13" hidden="1" customHeight="1">
      <c r="A984" s="263"/>
      <c r="B984" s="247"/>
      <c r="C984" s="247"/>
      <c r="D984" s="287"/>
      <c r="E984" s="247"/>
      <c r="F984" s="288"/>
      <c r="G984" s="247"/>
      <c r="H984" s="247"/>
      <c r="I984" s="247"/>
      <c r="J984" s="247"/>
      <c r="K984" s="247"/>
      <c r="L984" s="247"/>
      <c r="M984" s="247"/>
      <c r="N984" s="247"/>
      <c r="O984" s="247"/>
      <c r="P984" s="247"/>
      <c r="Q984" s="247"/>
      <c r="R984" s="247"/>
      <c r="S984" s="247"/>
      <c r="T984" s="247"/>
      <c r="U984" s="247"/>
    </row>
    <row r="985" spans="1:21" ht="13" hidden="1" customHeight="1">
      <c r="A985" s="263"/>
      <c r="B985" s="247"/>
      <c r="C985" s="247"/>
      <c r="D985" s="287"/>
      <c r="E985" s="247"/>
      <c r="F985" s="288"/>
      <c r="G985" s="247"/>
      <c r="H985" s="247"/>
      <c r="I985" s="247"/>
      <c r="J985" s="247"/>
      <c r="K985" s="247"/>
      <c r="L985" s="247"/>
      <c r="M985" s="247"/>
      <c r="N985" s="247"/>
      <c r="O985" s="247"/>
      <c r="P985" s="247"/>
      <c r="Q985" s="247"/>
      <c r="R985" s="247"/>
      <c r="S985" s="247"/>
      <c r="T985" s="247"/>
      <c r="U985" s="247"/>
    </row>
    <row r="986" spans="1:21" ht="13" hidden="1" customHeight="1">
      <c r="A986" s="263"/>
      <c r="B986" s="247"/>
      <c r="C986" s="247"/>
      <c r="D986" s="287"/>
      <c r="E986" s="247"/>
      <c r="F986" s="288"/>
      <c r="G986" s="247"/>
      <c r="H986" s="247"/>
      <c r="I986" s="247"/>
      <c r="J986" s="247"/>
      <c r="K986" s="247"/>
      <c r="L986" s="247"/>
      <c r="M986" s="247"/>
      <c r="N986" s="247"/>
      <c r="O986" s="247"/>
      <c r="P986" s="247"/>
      <c r="Q986" s="247"/>
      <c r="R986" s="247"/>
      <c r="S986" s="247"/>
      <c r="T986" s="247"/>
      <c r="U986" s="247"/>
    </row>
    <row r="987" spans="1:21" ht="13" hidden="1" customHeight="1">
      <c r="A987" s="263"/>
      <c r="B987" s="247"/>
      <c r="C987" s="247"/>
      <c r="D987" s="287"/>
      <c r="E987" s="247"/>
      <c r="F987" s="288"/>
      <c r="G987" s="247"/>
      <c r="H987" s="247"/>
      <c r="I987" s="247"/>
      <c r="J987" s="247"/>
      <c r="K987" s="247"/>
      <c r="L987" s="247"/>
      <c r="M987" s="247"/>
      <c r="N987" s="247"/>
      <c r="O987" s="247"/>
      <c r="P987" s="247"/>
      <c r="Q987" s="247"/>
      <c r="R987" s="247"/>
      <c r="S987" s="247"/>
      <c r="T987" s="247"/>
      <c r="U987" s="247"/>
    </row>
    <row r="988" spans="1:21" ht="13" hidden="1" customHeight="1">
      <c r="A988" s="263"/>
      <c r="B988" s="247"/>
      <c r="C988" s="247"/>
      <c r="D988" s="287"/>
      <c r="E988" s="247"/>
      <c r="F988" s="288"/>
      <c r="G988" s="247"/>
      <c r="H988" s="247"/>
      <c r="I988" s="247"/>
      <c r="J988" s="247"/>
      <c r="K988" s="247"/>
      <c r="L988" s="247"/>
      <c r="M988" s="247"/>
      <c r="N988" s="247"/>
      <c r="O988" s="247"/>
      <c r="P988" s="247"/>
      <c r="Q988" s="247"/>
      <c r="R988" s="247"/>
      <c r="S988" s="247"/>
      <c r="T988" s="247"/>
      <c r="U988" s="247"/>
    </row>
    <row r="989" spans="1:21" ht="13" hidden="1" customHeight="1">
      <c r="A989" s="263"/>
      <c r="B989" s="247"/>
      <c r="C989" s="247"/>
      <c r="D989" s="287"/>
      <c r="E989" s="247"/>
      <c r="F989" s="288"/>
      <c r="G989" s="247"/>
      <c r="H989" s="247"/>
      <c r="I989" s="247"/>
      <c r="J989" s="247"/>
      <c r="K989" s="247"/>
      <c r="L989" s="247"/>
      <c r="M989" s="247"/>
      <c r="N989" s="247"/>
      <c r="O989" s="247"/>
      <c r="P989" s="247"/>
      <c r="Q989" s="247"/>
      <c r="R989" s="247"/>
      <c r="S989" s="247"/>
      <c r="T989" s="247"/>
      <c r="U989" s="247"/>
    </row>
    <row r="990" spans="1:21" ht="13" hidden="1" customHeight="1">
      <c r="A990" s="263"/>
      <c r="B990" s="247"/>
      <c r="C990" s="247"/>
      <c r="D990" s="287"/>
      <c r="E990" s="247"/>
      <c r="F990" s="288"/>
      <c r="G990" s="247"/>
      <c r="H990" s="247"/>
      <c r="I990" s="247"/>
      <c r="J990" s="247"/>
      <c r="K990" s="247"/>
      <c r="L990" s="247"/>
      <c r="M990" s="247"/>
      <c r="N990" s="247"/>
      <c r="O990" s="247"/>
      <c r="P990" s="247"/>
      <c r="Q990" s="247"/>
      <c r="R990" s="247"/>
      <c r="S990" s="247"/>
      <c r="T990" s="247"/>
      <c r="U990" s="247"/>
    </row>
    <row r="991" spans="1:21" ht="13" hidden="1" customHeight="1">
      <c r="A991" s="263"/>
      <c r="B991" s="247"/>
      <c r="C991" s="247"/>
      <c r="D991" s="287"/>
      <c r="E991" s="247"/>
      <c r="F991" s="288"/>
      <c r="G991" s="247"/>
      <c r="H991" s="247"/>
      <c r="I991" s="247"/>
      <c r="J991" s="247"/>
      <c r="K991" s="247"/>
      <c r="L991" s="247"/>
      <c r="M991" s="247"/>
      <c r="N991" s="247"/>
      <c r="O991" s="247"/>
      <c r="P991" s="247"/>
      <c r="Q991" s="247"/>
      <c r="R991" s="247"/>
      <c r="S991" s="247"/>
      <c r="T991" s="247"/>
      <c r="U991" s="247"/>
    </row>
    <row r="992" spans="1:21" ht="13" hidden="1" customHeight="1">
      <c r="A992" s="263"/>
      <c r="B992" s="247"/>
      <c r="C992" s="247"/>
      <c r="D992" s="287"/>
      <c r="E992" s="247"/>
      <c r="F992" s="288"/>
      <c r="G992" s="247"/>
      <c r="H992" s="247"/>
      <c r="I992" s="247"/>
      <c r="J992" s="247"/>
      <c r="K992" s="247"/>
      <c r="L992" s="247"/>
      <c r="M992" s="247"/>
      <c r="N992" s="247"/>
      <c r="O992" s="247"/>
      <c r="P992" s="247"/>
      <c r="Q992" s="247"/>
      <c r="R992" s="247"/>
      <c r="S992" s="247"/>
      <c r="T992" s="247"/>
      <c r="U992" s="247"/>
    </row>
    <row r="993" spans="1:21" ht="13" hidden="1" customHeight="1">
      <c r="A993" s="263"/>
      <c r="B993" s="247"/>
      <c r="C993" s="247"/>
      <c r="D993" s="287"/>
      <c r="E993" s="247"/>
      <c r="F993" s="288"/>
      <c r="G993" s="247"/>
      <c r="H993" s="247"/>
      <c r="I993" s="247"/>
      <c r="J993" s="247"/>
      <c r="K993" s="247"/>
      <c r="L993" s="247"/>
      <c r="M993" s="247"/>
      <c r="N993" s="247"/>
      <c r="O993" s="247"/>
      <c r="P993" s="247"/>
      <c r="Q993" s="247"/>
      <c r="R993" s="247"/>
      <c r="S993" s="247"/>
      <c r="T993" s="247"/>
      <c r="U993" s="247"/>
    </row>
    <row r="994" spans="1:21" ht="13" hidden="1" customHeight="1">
      <c r="A994" s="263"/>
      <c r="B994" s="247"/>
      <c r="C994" s="247"/>
      <c r="D994" s="287"/>
      <c r="E994" s="247"/>
      <c r="F994" s="288"/>
      <c r="G994" s="247"/>
      <c r="H994" s="247"/>
      <c r="I994" s="247"/>
      <c r="J994" s="247"/>
      <c r="K994" s="247"/>
      <c r="L994" s="247"/>
      <c r="M994" s="247"/>
      <c r="N994" s="247"/>
      <c r="O994" s="247"/>
      <c r="P994" s="247"/>
      <c r="Q994" s="247"/>
      <c r="R994" s="247"/>
      <c r="S994" s="247"/>
      <c r="T994" s="247"/>
      <c r="U994" s="247"/>
    </row>
    <row r="995" spans="1:21" ht="13" hidden="1" customHeight="1">
      <c r="A995" s="263"/>
      <c r="B995" s="247"/>
      <c r="C995" s="247"/>
      <c r="D995" s="287"/>
      <c r="E995" s="247"/>
      <c r="F995" s="288"/>
      <c r="G995" s="247"/>
      <c r="H995" s="247"/>
      <c r="I995" s="247"/>
      <c r="J995" s="247"/>
      <c r="K995" s="247"/>
      <c r="L995" s="247"/>
      <c r="M995" s="247"/>
      <c r="N995" s="247"/>
      <c r="O995" s="247"/>
      <c r="P995" s="247"/>
      <c r="Q995" s="247"/>
      <c r="R995" s="247"/>
      <c r="S995" s="247"/>
      <c r="T995" s="247"/>
      <c r="U995" s="247"/>
    </row>
    <row r="996" spans="1:21" ht="13" hidden="1" customHeight="1">
      <c r="A996" s="263"/>
      <c r="B996" s="247"/>
      <c r="C996" s="247"/>
      <c r="D996" s="287"/>
      <c r="E996" s="247"/>
      <c r="F996" s="288"/>
      <c r="G996" s="247"/>
      <c r="H996" s="247"/>
      <c r="I996" s="247"/>
      <c r="J996" s="247"/>
      <c r="K996" s="247"/>
      <c r="L996" s="247"/>
      <c r="M996" s="247"/>
      <c r="N996" s="247"/>
      <c r="O996" s="247"/>
      <c r="P996" s="247"/>
      <c r="Q996" s="247"/>
      <c r="R996" s="247"/>
      <c r="S996" s="247"/>
      <c r="T996" s="247"/>
      <c r="U996" s="247"/>
    </row>
    <row r="997" spans="1:21" ht="13" hidden="1" customHeight="1">
      <c r="A997" s="263"/>
      <c r="B997" s="247"/>
      <c r="C997" s="247"/>
      <c r="D997" s="287"/>
      <c r="E997" s="247"/>
      <c r="F997" s="288"/>
      <c r="G997" s="247"/>
      <c r="H997" s="247"/>
      <c r="I997" s="247"/>
      <c r="J997" s="247"/>
      <c r="K997" s="247"/>
      <c r="L997" s="247"/>
      <c r="M997" s="247"/>
      <c r="N997" s="247"/>
      <c r="O997" s="247"/>
      <c r="P997" s="247"/>
      <c r="Q997" s="247"/>
      <c r="R997" s="247"/>
      <c r="S997" s="247"/>
      <c r="T997" s="247"/>
      <c r="U997" s="247"/>
    </row>
    <row r="998" spans="1:21" ht="13" hidden="1" customHeight="1">
      <c r="A998" s="263"/>
      <c r="B998" s="247"/>
      <c r="C998" s="247"/>
      <c r="D998" s="287"/>
      <c r="E998" s="247"/>
      <c r="F998" s="288"/>
      <c r="G998" s="247"/>
      <c r="H998" s="247"/>
      <c r="I998" s="247"/>
      <c r="J998" s="247"/>
      <c r="K998" s="247"/>
      <c r="L998" s="247"/>
      <c r="M998" s="247"/>
      <c r="N998" s="247"/>
      <c r="O998" s="247"/>
      <c r="P998" s="247"/>
      <c r="Q998" s="247"/>
      <c r="R998" s="247"/>
      <c r="S998" s="247"/>
      <c r="T998" s="247"/>
      <c r="U998" s="247"/>
    </row>
    <row r="999" spans="1:21" ht="13" hidden="1" customHeight="1">
      <c r="A999" s="263"/>
      <c r="B999" s="247"/>
      <c r="C999" s="247"/>
      <c r="D999" s="287"/>
      <c r="E999" s="247"/>
      <c r="F999" s="288"/>
      <c r="G999" s="247"/>
      <c r="H999" s="247"/>
      <c r="I999" s="247"/>
      <c r="J999" s="247"/>
      <c r="K999" s="247"/>
      <c r="L999" s="247"/>
      <c r="M999" s="247"/>
      <c r="N999" s="247"/>
      <c r="O999" s="247"/>
      <c r="P999" s="247"/>
      <c r="Q999" s="247"/>
      <c r="R999" s="247"/>
      <c r="S999" s="247"/>
      <c r="T999" s="247"/>
      <c r="U999" s="247"/>
    </row>
    <row r="1000" spans="1:21" ht="13" hidden="1" customHeight="1">
      <c r="A1000" s="263"/>
      <c r="B1000" s="247"/>
      <c r="C1000" s="247"/>
      <c r="D1000" s="287"/>
      <c r="E1000" s="247"/>
      <c r="F1000" s="288"/>
      <c r="G1000" s="247"/>
      <c r="H1000" s="247"/>
      <c r="I1000" s="247"/>
      <c r="J1000" s="247"/>
      <c r="K1000" s="247"/>
      <c r="L1000" s="247"/>
      <c r="M1000" s="247"/>
      <c r="N1000" s="247"/>
      <c r="O1000" s="247"/>
      <c r="P1000" s="247"/>
      <c r="Q1000" s="247"/>
      <c r="R1000" s="247"/>
      <c r="S1000" s="247"/>
      <c r="T1000" s="247"/>
      <c r="U1000" s="247"/>
    </row>
  </sheetData>
  <autoFilter ref="A1:U1000" xr:uid="{00000000-0009-0000-0000-000001000000}">
    <filterColumn colId="5">
      <filters>
        <filter val="Background"/>
        <filter val="Case Study"/>
        <filter val="Design study"/>
        <filter val="Framework"/>
        <filter val="Meta-Analysis"/>
        <filter val="Reflection Paper"/>
        <filter val="Review Paper"/>
        <filter val="Theoretical"/>
        <filter val="Theory"/>
      </filters>
    </filterColumn>
  </autoFilter>
  <hyperlinks>
    <hyperlink ref="J2" r:id="rId1" xr:uid="{00000000-0004-0000-0100-000000000000}"/>
    <hyperlink ref="J3" r:id="rId2" xr:uid="{00000000-0004-0000-0100-000001000000}"/>
    <hyperlink ref="J4" r:id="rId3" xr:uid="{00000000-0004-0000-0100-000002000000}"/>
    <hyperlink ref="J5" r:id="rId4" xr:uid="{00000000-0004-0000-0100-000003000000}"/>
    <hyperlink ref="J6" r:id="rId5" xr:uid="{00000000-0004-0000-0100-000004000000}"/>
    <hyperlink ref="U6" r:id="rId6" xr:uid="{00000000-0004-0000-0100-000005000000}"/>
    <hyperlink ref="J7" r:id="rId7" xr:uid="{00000000-0004-0000-0100-000006000000}"/>
    <hyperlink ref="J8" r:id="rId8" xr:uid="{00000000-0004-0000-0100-000007000000}"/>
    <hyperlink ref="J9" r:id="rId9" xr:uid="{00000000-0004-0000-0100-000008000000}"/>
    <hyperlink ref="J10" r:id="rId10" xr:uid="{00000000-0004-0000-0100-000009000000}"/>
    <hyperlink ref="T10" r:id="rId11" xr:uid="{00000000-0004-0000-0100-00000A000000}"/>
    <hyperlink ref="J11" r:id="rId12" xr:uid="{00000000-0004-0000-0100-00000B000000}"/>
    <hyperlink ref="J12" r:id="rId13" xr:uid="{00000000-0004-0000-0100-00000C000000}"/>
    <hyperlink ref="H13" r:id="rId14" xr:uid="{00000000-0004-0000-0100-00000D000000}"/>
    <hyperlink ref="J13" r:id="rId15" xr:uid="{00000000-0004-0000-0100-00000E000000}"/>
    <hyperlink ref="J14" r:id="rId16" xr:uid="{00000000-0004-0000-0100-00000F000000}"/>
    <hyperlink ref="J15" r:id="rId17" xr:uid="{00000000-0004-0000-0100-000010000000}"/>
    <hyperlink ref="J16" r:id="rId18" xr:uid="{00000000-0004-0000-0100-000011000000}"/>
    <hyperlink ref="J17" r:id="rId19" xr:uid="{00000000-0004-0000-0100-000012000000}"/>
    <hyperlink ref="J18" r:id="rId20" xr:uid="{00000000-0004-0000-0100-000013000000}"/>
    <hyperlink ref="J19" r:id="rId21" xr:uid="{00000000-0004-0000-0100-000014000000}"/>
    <hyperlink ref="T19" r:id="rId22" xr:uid="{00000000-0004-0000-0100-000015000000}"/>
    <hyperlink ref="J20" r:id="rId23" xr:uid="{00000000-0004-0000-0100-000016000000}"/>
    <hyperlink ref="T20" r:id="rId24" xr:uid="{00000000-0004-0000-0100-000017000000}"/>
    <hyperlink ref="J21" r:id="rId25" xr:uid="{00000000-0004-0000-0100-000018000000}"/>
    <hyperlink ref="J22" r:id="rId26" xr:uid="{00000000-0004-0000-0100-000019000000}"/>
    <hyperlink ref="T22" r:id="rId27" xr:uid="{00000000-0004-0000-0100-00001A000000}"/>
    <hyperlink ref="J23" r:id="rId28" xr:uid="{00000000-0004-0000-0100-00001B000000}"/>
    <hyperlink ref="J24" r:id="rId29" xr:uid="{00000000-0004-0000-0100-00001C000000}"/>
    <hyperlink ref="J25" r:id="rId30" xr:uid="{00000000-0004-0000-0100-00001D000000}"/>
    <hyperlink ref="J26" r:id="rId31" xr:uid="{00000000-0004-0000-0100-00001E000000}"/>
    <hyperlink ref="J27" r:id="rId32" xr:uid="{00000000-0004-0000-0100-00001F000000}"/>
    <hyperlink ref="J28" r:id="rId33" xr:uid="{00000000-0004-0000-0100-000020000000}"/>
    <hyperlink ref="J29" r:id="rId34" xr:uid="{00000000-0004-0000-0100-000021000000}"/>
    <hyperlink ref="J30" r:id="rId35" xr:uid="{00000000-0004-0000-0100-000022000000}"/>
    <hyperlink ref="U30" r:id="rId36" xr:uid="{00000000-0004-0000-0100-000023000000}"/>
    <hyperlink ref="J31" r:id="rId37" xr:uid="{00000000-0004-0000-0100-000024000000}"/>
    <hyperlink ref="T31" r:id="rId38" xr:uid="{00000000-0004-0000-0100-000025000000}"/>
    <hyperlink ref="J32" r:id="rId39" xr:uid="{00000000-0004-0000-0100-000026000000}"/>
    <hyperlink ref="T32" r:id="rId40" xr:uid="{00000000-0004-0000-0100-000027000000}"/>
    <hyperlink ref="J33" r:id="rId41" xr:uid="{00000000-0004-0000-0100-000028000000}"/>
    <hyperlink ref="U33" r:id="rId42" xr:uid="{00000000-0004-0000-0100-000029000000}"/>
    <hyperlink ref="J34" r:id="rId43" xr:uid="{00000000-0004-0000-0100-00002A000000}"/>
    <hyperlink ref="J35" r:id="rId44" xr:uid="{00000000-0004-0000-0100-00002B000000}"/>
    <hyperlink ref="J36" r:id="rId45" xr:uid="{00000000-0004-0000-0100-00002C000000}"/>
    <hyperlink ref="J37" r:id="rId46" xr:uid="{00000000-0004-0000-0100-00002D000000}"/>
    <hyperlink ref="J39" r:id="rId47" xr:uid="{00000000-0004-0000-0100-00002E000000}"/>
    <hyperlink ref="U39" r:id="rId48" xr:uid="{00000000-0004-0000-0100-00002F000000}"/>
    <hyperlink ref="J40" r:id="rId49" xr:uid="{00000000-0004-0000-0100-000030000000}"/>
    <hyperlink ref="J41" r:id="rId50" xr:uid="{00000000-0004-0000-0100-000031000000}"/>
    <hyperlink ref="J42" r:id="rId51" xr:uid="{00000000-0004-0000-0100-000032000000}"/>
    <hyperlink ref="T42" r:id="rId52" xr:uid="{00000000-0004-0000-0100-000033000000}"/>
    <hyperlink ref="J43" r:id="rId53" xr:uid="{00000000-0004-0000-0100-000034000000}"/>
    <hyperlink ref="J44" r:id="rId54" xr:uid="{00000000-0004-0000-0100-000035000000}"/>
    <hyperlink ref="J45" r:id="rId55" xr:uid="{00000000-0004-0000-0100-000036000000}"/>
    <hyperlink ref="J46" r:id="rId56" xr:uid="{00000000-0004-0000-0100-000037000000}"/>
    <hyperlink ref="J47" r:id="rId57" xr:uid="{00000000-0004-0000-0100-000038000000}"/>
    <hyperlink ref="J49" r:id="rId58" xr:uid="{00000000-0004-0000-0100-000039000000}"/>
    <hyperlink ref="T49" r:id="rId59" xr:uid="{00000000-0004-0000-0100-00003A000000}"/>
    <hyperlink ref="J50" r:id="rId60" xr:uid="{00000000-0004-0000-0100-00003B000000}"/>
    <hyperlink ref="J51" r:id="rId61" xr:uid="{00000000-0004-0000-0100-00003C000000}"/>
    <hyperlink ref="J52" r:id="rId62" xr:uid="{00000000-0004-0000-0100-00003D000000}"/>
    <hyperlink ref="J53" r:id="rId63" xr:uid="{00000000-0004-0000-0100-00003E000000}"/>
    <hyperlink ref="T53" r:id="rId64" xr:uid="{00000000-0004-0000-0100-00003F000000}"/>
    <hyperlink ref="J54" r:id="rId65" xr:uid="{00000000-0004-0000-0100-000040000000}"/>
    <hyperlink ref="J55" r:id="rId66" xr:uid="{00000000-0004-0000-0100-000041000000}"/>
    <hyperlink ref="U55" r:id="rId67" xr:uid="{00000000-0004-0000-0100-000042000000}"/>
    <hyperlink ref="J56" r:id="rId68" xr:uid="{00000000-0004-0000-0100-000043000000}"/>
    <hyperlink ref="J57" r:id="rId69" xr:uid="{00000000-0004-0000-0100-000044000000}"/>
    <hyperlink ref="J58" r:id="rId70" xr:uid="{00000000-0004-0000-0100-000045000000}"/>
    <hyperlink ref="J59" r:id="rId71" xr:uid="{00000000-0004-0000-0100-000046000000}"/>
    <hyperlink ref="J60" r:id="rId72" xr:uid="{00000000-0004-0000-0100-000047000000}"/>
    <hyperlink ref="T60" r:id="rId73" xr:uid="{00000000-0004-0000-0100-000048000000}"/>
    <hyperlink ref="J61" r:id="rId74" xr:uid="{00000000-0004-0000-0100-000049000000}"/>
    <hyperlink ref="J62" r:id="rId75" xr:uid="{00000000-0004-0000-0100-00004A000000}"/>
    <hyperlink ref="J63" r:id="rId76" xr:uid="{00000000-0004-0000-0100-00004B000000}"/>
    <hyperlink ref="T63" r:id="rId77" xr:uid="{00000000-0004-0000-0100-00004C000000}"/>
    <hyperlink ref="J64" r:id="rId78" xr:uid="{00000000-0004-0000-0100-00004D000000}"/>
    <hyperlink ref="J65" r:id="rId79" xr:uid="{00000000-0004-0000-0100-00004E000000}"/>
    <hyperlink ref="J66" r:id="rId80" xr:uid="{00000000-0004-0000-0100-00004F000000}"/>
    <hyperlink ref="J67" r:id="rId81" xr:uid="{00000000-0004-0000-0100-000050000000}"/>
    <hyperlink ref="J68" r:id="rId82" xr:uid="{00000000-0004-0000-0100-000051000000}"/>
    <hyperlink ref="J69" r:id="rId83" xr:uid="{00000000-0004-0000-0100-000052000000}"/>
    <hyperlink ref="T69" r:id="rId84" xr:uid="{00000000-0004-0000-0100-000053000000}"/>
    <hyperlink ref="J70" r:id="rId85" xr:uid="{00000000-0004-0000-0100-000054000000}"/>
    <hyperlink ref="J71" r:id="rId86" xr:uid="{00000000-0004-0000-0100-000055000000}"/>
    <hyperlink ref="J72" r:id="rId87" xr:uid="{00000000-0004-0000-0100-000056000000}"/>
    <hyperlink ref="T72" r:id="rId88" xr:uid="{00000000-0004-0000-0100-000057000000}"/>
    <hyperlink ref="J73" r:id="rId89" xr:uid="{00000000-0004-0000-0100-000058000000}"/>
    <hyperlink ref="J74" r:id="rId90" xr:uid="{00000000-0004-0000-0100-000059000000}"/>
    <hyperlink ref="U74" r:id="rId91" xr:uid="{00000000-0004-0000-0100-00005A000000}"/>
    <hyperlink ref="J75" r:id="rId92" xr:uid="{00000000-0004-0000-0100-00005B000000}"/>
    <hyperlink ref="T75" r:id="rId93" xr:uid="{00000000-0004-0000-0100-00005C000000}"/>
    <hyperlink ref="J76" r:id="rId94" xr:uid="{00000000-0004-0000-0100-00005D000000}"/>
    <hyperlink ref="J77" r:id="rId95" xr:uid="{00000000-0004-0000-0100-00005E000000}"/>
    <hyperlink ref="J78" r:id="rId96" xr:uid="{00000000-0004-0000-0100-00005F000000}"/>
    <hyperlink ref="J79" r:id="rId97" xr:uid="{00000000-0004-0000-0100-000060000000}"/>
    <hyperlink ref="J80" r:id="rId98" xr:uid="{00000000-0004-0000-0100-000061000000}"/>
    <hyperlink ref="J81" r:id="rId99" xr:uid="{00000000-0004-0000-0100-000062000000}"/>
    <hyperlink ref="J82" r:id="rId100" xr:uid="{00000000-0004-0000-0100-000063000000}"/>
    <hyperlink ref="T82" r:id="rId101" xr:uid="{00000000-0004-0000-0100-000064000000}"/>
    <hyperlink ref="U82" r:id="rId102" xr:uid="{00000000-0004-0000-0100-000065000000}"/>
    <hyperlink ref="J83" r:id="rId103" xr:uid="{00000000-0004-0000-0100-000066000000}"/>
    <hyperlink ref="J84" r:id="rId104" xr:uid="{00000000-0004-0000-0100-000067000000}"/>
    <hyperlink ref="J85" r:id="rId105" xr:uid="{00000000-0004-0000-0100-000068000000}"/>
    <hyperlink ref="J86" r:id="rId106" xr:uid="{00000000-0004-0000-0100-000069000000}"/>
    <hyperlink ref="J87" r:id="rId107" xr:uid="{00000000-0004-0000-0100-00006A000000}"/>
    <hyperlink ref="J88" r:id="rId108" xr:uid="{00000000-0004-0000-0100-00006B000000}"/>
    <hyperlink ref="J89" r:id="rId109" xr:uid="{00000000-0004-0000-0100-00006C000000}"/>
    <hyperlink ref="J90" r:id="rId110" xr:uid="{00000000-0004-0000-0100-00006D000000}"/>
    <hyperlink ref="J91" r:id="rId111" xr:uid="{00000000-0004-0000-0100-00006E000000}"/>
    <hyperlink ref="J92" r:id="rId112" xr:uid="{00000000-0004-0000-0100-00006F000000}"/>
    <hyperlink ref="J93" r:id="rId113" xr:uid="{00000000-0004-0000-0100-000070000000}"/>
    <hyperlink ref="J94" r:id="rId114" xr:uid="{00000000-0004-0000-0100-000071000000}"/>
    <hyperlink ref="J95" r:id="rId115" xr:uid="{00000000-0004-0000-0100-000072000000}"/>
    <hyperlink ref="J96" r:id="rId116" xr:uid="{00000000-0004-0000-0100-000073000000}"/>
    <hyperlink ref="J97" r:id="rId117" xr:uid="{00000000-0004-0000-0100-000074000000}"/>
    <hyperlink ref="J98" r:id="rId118" xr:uid="{00000000-0004-0000-0100-000075000000}"/>
    <hyperlink ref="J100" r:id="rId119" xr:uid="{00000000-0004-0000-0100-000076000000}"/>
    <hyperlink ref="U100" r:id="rId120" xr:uid="{00000000-0004-0000-0100-000077000000}"/>
    <hyperlink ref="J101" r:id="rId121" xr:uid="{00000000-0004-0000-0100-000078000000}"/>
    <hyperlink ref="J102" r:id="rId122" xr:uid="{00000000-0004-0000-0100-000079000000}"/>
    <hyperlink ref="J103" r:id="rId123" xr:uid="{00000000-0004-0000-0100-00007A000000}"/>
    <hyperlink ref="J104" r:id="rId124" xr:uid="{00000000-0004-0000-0100-00007B000000}"/>
    <hyperlink ref="J106" r:id="rId125" xr:uid="{00000000-0004-0000-0100-00007C000000}"/>
    <hyperlink ref="J108" r:id="rId126" xr:uid="{00000000-0004-0000-0100-00007D000000}"/>
    <hyperlink ref="J109" r:id="rId127" xr:uid="{00000000-0004-0000-0100-00007E000000}"/>
    <hyperlink ref="U109" r:id="rId128" xr:uid="{00000000-0004-0000-0100-00007F000000}"/>
    <hyperlink ref="J110" r:id="rId129" xr:uid="{00000000-0004-0000-0100-000080000000}"/>
    <hyperlink ref="J111" r:id="rId130" xr:uid="{00000000-0004-0000-0100-000081000000}"/>
    <hyperlink ref="J112" r:id="rId131" xr:uid="{00000000-0004-0000-0100-000082000000}"/>
    <hyperlink ref="J113" r:id="rId132" xr:uid="{00000000-0004-0000-0100-000083000000}"/>
    <hyperlink ref="J114" r:id="rId133" xr:uid="{00000000-0004-0000-0100-000084000000}"/>
    <hyperlink ref="J115" r:id="rId134" xr:uid="{00000000-0004-0000-0100-000085000000}"/>
    <hyperlink ref="J116" r:id="rId135" xr:uid="{00000000-0004-0000-0100-000086000000}"/>
    <hyperlink ref="J118" r:id="rId136" xr:uid="{00000000-0004-0000-0100-000087000000}"/>
    <hyperlink ref="J119" r:id="rId137" xr:uid="{00000000-0004-0000-0100-000088000000}"/>
    <hyperlink ref="J120" r:id="rId138" xr:uid="{00000000-0004-0000-0100-000089000000}"/>
    <hyperlink ref="J121" r:id="rId139" xr:uid="{00000000-0004-0000-0100-00008A000000}"/>
    <hyperlink ref="J123" r:id="rId140" xr:uid="{00000000-0004-0000-0100-00008B000000}"/>
    <hyperlink ref="J124" r:id="rId141" xr:uid="{00000000-0004-0000-0100-00008C000000}"/>
    <hyperlink ref="J125" r:id="rId142" xr:uid="{00000000-0004-0000-0100-00008D000000}"/>
    <hyperlink ref="T125" r:id="rId143" xr:uid="{00000000-0004-0000-0100-00008E000000}"/>
    <hyperlink ref="J126" r:id="rId144" xr:uid="{00000000-0004-0000-0100-00008F000000}"/>
    <hyperlink ref="J127" r:id="rId145" xr:uid="{00000000-0004-0000-0100-000090000000}"/>
    <hyperlink ref="J128" r:id="rId146" xr:uid="{00000000-0004-0000-0100-000091000000}"/>
    <hyperlink ref="U128" r:id="rId147" xr:uid="{00000000-0004-0000-0100-000092000000}"/>
    <hyperlink ref="J129" r:id="rId148" xr:uid="{00000000-0004-0000-0100-000093000000}"/>
    <hyperlink ref="J130" r:id="rId149" xr:uid="{00000000-0004-0000-0100-000094000000}"/>
    <hyperlink ref="J131" r:id="rId150" xr:uid="{00000000-0004-0000-0100-000095000000}"/>
    <hyperlink ref="J132" r:id="rId151" xr:uid="{00000000-0004-0000-0100-000096000000}"/>
    <hyperlink ref="U132" r:id="rId152" xr:uid="{00000000-0004-0000-0100-000097000000}"/>
    <hyperlink ref="J133" r:id="rId153" xr:uid="{00000000-0004-0000-0100-000098000000}"/>
    <hyperlink ref="J134" r:id="rId154" xr:uid="{00000000-0004-0000-0100-000099000000}"/>
    <hyperlink ref="J135" r:id="rId155" xr:uid="{00000000-0004-0000-0100-00009A000000}"/>
    <hyperlink ref="T135" r:id="rId156" xr:uid="{00000000-0004-0000-0100-00009B000000}"/>
    <hyperlink ref="J136" r:id="rId157" xr:uid="{00000000-0004-0000-0100-00009C000000}"/>
    <hyperlink ref="J137" r:id="rId158" xr:uid="{00000000-0004-0000-0100-00009D000000}"/>
    <hyperlink ref="U137" r:id="rId159" xr:uid="{00000000-0004-0000-0100-00009E000000}"/>
    <hyperlink ref="J138" r:id="rId160" xr:uid="{00000000-0004-0000-0100-00009F000000}"/>
    <hyperlink ref="J139" r:id="rId161" xr:uid="{00000000-0004-0000-0100-0000A0000000}"/>
    <hyperlink ref="T139" r:id="rId162" xr:uid="{00000000-0004-0000-0100-0000A1000000}"/>
    <hyperlink ref="J140" r:id="rId163" xr:uid="{00000000-0004-0000-0100-0000A2000000}"/>
    <hyperlink ref="J141" r:id="rId164" xr:uid="{00000000-0004-0000-0100-0000A3000000}"/>
    <hyperlink ref="T141" r:id="rId165" xr:uid="{00000000-0004-0000-0100-0000A4000000}"/>
    <hyperlink ref="J142" r:id="rId166" xr:uid="{00000000-0004-0000-0100-0000A5000000}"/>
    <hyperlink ref="J143" r:id="rId167" xr:uid="{00000000-0004-0000-0100-0000A6000000}"/>
    <hyperlink ref="J144" r:id="rId168" xr:uid="{00000000-0004-0000-0100-0000A7000000}"/>
    <hyperlink ref="T144" r:id="rId169" xr:uid="{00000000-0004-0000-0100-0000A8000000}"/>
    <hyperlink ref="J145" r:id="rId170" xr:uid="{00000000-0004-0000-0100-0000A9000000}"/>
    <hyperlink ref="J146" r:id="rId171" xr:uid="{00000000-0004-0000-0100-0000AA000000}"/>
    <hyperlink ref="J147" r:id="rId172" xr:uid="{00000000-0004-0000-0100-0000AB000000}"/>
    <hyperlink ref="J148" r:id="rId173" xr:uid="{00000000-0004-0000-0100-0000AC000000}"/>
    <hyperlink ref="J149" r:id="rId174" xr:uid="{00000000-0004-0000-0100-0000AD000000}"/>
    <hyperlink ref="J150" r:id="rId175" xr:uid="{00000000-0004-0000-0100-0000AE000000}"/>
    <hyperlink ref="J151" r:id="rId176" xr:uid="{00000000-0004-0000-0100-0000AF000000}"/>
    <hyperlink ref="J152" r:id="rId177" xr:uid="{00000000-0004-0000-0100-0000B0000000}"/>
    <hyperlink ref="J153" r:id="rId178" xr:uid="{00000000-0004-0000-0100-0000B1000000}"/>
    <hyperlink ref="J154" r:id="rId179" xr:uid="{00000000-0004-0000-0100-0000B2000000}"/>
    <hyperlink ref="J155" r:id="rId180" xr:uid="{00000000-0004-0000-0100-0000B3000000}"/>
    <hyperlink ref="J156" r:id="rId181" xr:uid="{00000000-0004-0000-0100-0000B4000000}"/>
    <hyperlink ref="J157" r:id="rId182" xr:uid="{00000000-0004-0000-0100-0000B5000000}"/>
    <hyperlink ref="H158" r:id="rId183" xr:uid="{00000000-0004-0000-0100-0000B6000000}"/>
    <hyperlink ref="J158" r:id="rId184" xr:uid="{00000000-0004-0000-0100-0000B7000000}"/>
    <hyperlink ref="J159" r:id="rId185" xr:uid="{00000000-0004-0000-0100-0000B8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1"/>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10" defaultColWidth="12.6640625" defaultRowHeight="15.75" customHeight="1"/>
  <cols>
    <col min="1" max="1" width="6.1640625" customWidth="1"/>
    <col min="2" max="2" width="5.33203125" customWidth="1"/>
    <col min="3" max="3" width="79.6640625" customWidth="1"/>
    <col min="4" max="4" width="17.5" customWidth="1"/>
    <col min="5" max="5" width="23.33203125" customWidth="1"/>
    <col min="6" max="6" width="18.6640625" customWidth="1"/>
    <col min="7" max="7" width="19.1640625" customWidth="1"/>
    <col min="9" max="9" width="20.6640625" customWidth="1"/>
    <col min="10" max="14" width="9.1640625" customWidth="1"/>
    <col min="15" max="15" width="43.1640625" customWidth="1"/>
  </cols>
  <sheetData>
    <row r="1" spans="1:27" ht="15.75" customHeight="1">
      <c r="A1" s="299" t="s">
        <v>3829</v>
      </c>
      <c r="B1" s="300">
        <f>(SUM(B3:B111))</f>
        <v>25</v>
      </c>
      <c r="C1" s="301"/>
      <c r="D1" s="301"/>
      <c r="E1" s="301"/>
      <c r="F1" s="301"/>
      <c r="G1" s="301"/>
      <c r="H1" s="301"/>
      <c r="I1" s="301"/>
      <c r="J1" s="397" t="s">
        <v>3830</v>
      </c>
      <c r="K1" s="398"/>
      <c r="L1" s="398"/>
      <c r="M1" s="398"/>
      <c r="N1" s="399"/>
      <c r="O1" s="301"/>
      <c r="P1" s="302"/>
      <c r="Q1" s="247"/>
      <c r="R1" s="247"/>
      <c r="S1" s="247"/>
      <c r="T1" s="247"/>
      <c r="U1" s="247"/>
      <c r="V1" s="247"/>
      <c r="W1" s="247"/>
      <c r="X1" s="247"/>
      <c r="Y1" s="247"/>
      <c r="Z1" s="247"/>
      <c r="AA1" s="247"/>
    </row>
    <row r="2" spans="1:27" ht="15.75" customHeight="1">
      <c r="A2" s="303" t="s">
        <v>3831</v>
      </c>
      <c r="B2" s="303" t="s">
        <v>3832</v>
      </c>
      <c r="C2" s="303" t="s">
        <v>3833</v>
      </c>
      <c r="D2" s="303" t="s">
        <v>3834</v>
      </c>
      <c r="E2" s="303" t="s">
        <v>3835</v>
      </c>
      <c r="F2" s="303" t="s">
        <v>3836</v>
      </c>
      <c r="G2" s="303" t="s">
        <v>3837</v>
      </c>
      <c r="H2" s="303" t="s">
        <v>3838</v>
      </c>
      <c r="I2" s="303" t="s">
        <v>3839</v>
      </c>
      <c r="J2" s="303" t="s">
        <v>3840</v>
      </c>
      <c r="K2" s="303" t="s">
        <v>3841</v>
      </c>
      <c r="L2" s="303" t="s">
        <v>3842</v>
      </c>
      <c r="M2" s="303" t="s">
        <v>3843</v>
      </c>
      <c r="N2" s="303" t="s">
        <v>3844</v>
      </c>
      <c r="O2" s="303" t="s">
        <v>3845</v>
      </c>
      <c r="P2" s="304"/>
      <c r="Q2" s="247"/>
      <c r="R2" s="247"/>
      <c r="S2" s="247"/>
      <c r="T2" s="247"/>
      <c r="U2" s="247"/>
      <c r="V2" s="247"/>
      <c r="W2" s="247"/>
      <c r="X2" s="247"/>
      <c r="Y2" s="247"/>
      <c r="Z2" s="247"/>
      <c r="AA2" s="247"/>
    </row>
    <row r="3" spans="1:27" ht="15.75" customHeight="1">
      <c r="A3" s="305">
        <v>17</v>
      </c>
      <c r="B3" s="301"/>
      <c r="C3" s="301" t="s">
        <v>3846</v>
      </c>
      <c r="D3" s="301" t="s">
        <v>3847</v>
      </c>
      <c r="E3" s="301" t="s">
        <v>3848</v>
      </c>
      <c r="F3" s="301" t="s">
        <v>3849</v>
      </c>
      <c r="G3" s="301" t="s">
        <v>3850</v>
      </c>
      <c r="H3" s="301">
        <v>2010</v>
      </c>
      <c r="I3" s="301" t="s">
        <v>3851</v>
      </c>
      <c r="J3" s="300"/>
      <c r="K3" s="301" t="s">
        <v>3852</v>
      </c>
      <c r="L3" s="300"/>
      <c r="M3" s="300"/>
      <c r="N3" s="300"/>
      <c r="O3" s="301" t="s">
        <v>3853</v>
      </c>
      <c r="P3" s="302"/>
      <c r="Q3" s="247"/>
      <c r="R3" s="247"/>
      <c r="S3" s="247"/>
      <c r="T3" s="247"/>
      <c r="U3" s="247"/>
      <c r="V3" s="247"/>
      <c r="W3" s="247"/>
      <c r="X3" s="247"/>
      <c r="Y3" s="247"/>
      <c r="Z3" s="247"/>
      <c r="AA3" s="247"/>
    </row>
    <row r="4" spans="1:27" ht="15.75" customHeight="1">
      <c r="A4" s="305">
        <v>20</v>
      </c>
      <c r="B4" s="301"/>
      <c r="C4" s="301" t="s">
        <v>3854</v>
      </c>
      <c r="D4" s="301" t="s">
        <v>3855</v>
      </c>
      <c r="E4" s="301" t="s">
        <v>3856</v>
      </c>
      <c r="F4" s="301" t="s">
        <v>1078</v>
      </c>
      <c r="G4" s="301" t="s">
        <v>1078</v>
      </c>
      <c r="H4" s="301">
        <v>2011</v>
      </c>
      <c r="I4" s="301" t="s">
        <v>3857</v>
      </c>
      <c r="J4" s="300"/>
      <c r="K4" s="301" t="s">
        <v>3852</v>
      </c>
      <c r="L4" s="300"/>
      <c r="M4" s="300"/>
      <c r="N4" s="300"/>
      <c r="O4" s="301" t="s">
        <v>3858</v>
      </c>
      <c r="P4" s="302"/>
      <c r="Q4" s="247"/>
      <c r="R4" s="247"/>
      <c r="S4" s="247"/>
      <c r="T4" s="247"/>
      <c r="U4" s="247"/>
      <c r="V4" s="247"/>
      <c r="W4" s="247"/>
      <c r="X4" s="247"/>
      <c r="Y4" s="247"/>
      <c r="Z4" s="247"/>
      <c r="AA4" s="247"/>
    </row>
    <row r="5" spans="1:27" ht="15.75" customHeight="1">
      <c r="A5" s="305">
        <v>54</v>
      </c>
      <c r="B5" s="301"/>
      <c r="C5" s="301" t="s">
        <v>3859</v>
      </c>
      <c r="D5" s="301" t="s">
        <v>3860</v>
      </c>
      <c r="E5" s="301" t="s">
        <v>3861</v>
      </c>
      <c r="F5" s="301" t="s">
        <v>1078</v>
      </c>
      <c r="G5" s="301" t="s">
        <v>1078</v>
      </c>
      <c r="H5" s="301">
        <v>2018</v>
      </c>
      <c r="I5" s="301" t="s">
        <v>3862</v>
      </c>
      <c r="J5" s="301" t="s">
        <v>3852</v>
      </c>
      <c r="K5" s="300"/>
      <c r="L5" s="300"/>
      <c r="M5" s="300"/>
      <c r="N5" s="301" t="s">
        <v>3852</v>
      </c>
      <c r="O5" s="301" t="s">
        <v>3863</v>
      </c>
      <c r="P5" s="302"/>
      <c r="Q5" s="247"/>
      <c r="R5" s="247"/>
      <c r="S5" s="247"/>
      <c r="T5" s="247"/>
      <c r="U5" s="247"/>
      <c r="V5" s="247"/>
      <c r="W5" s="247"/>
      <c r="X5" s="247"/>
      <c r="Y5" s="247"/>
      <c r="Z5" s="247"/>
      <c r="AA5" s="247"/>
    </row>
    <row r="6" spans="1:27" ht="15.75" customHeight="1">
      <c r="A6" s="305">
        <v>11</v>
      </c>
      <c r="B6" s="301"/>
      <c r="C6" s="301" t="s">
        <v>3864</v>
      </c>
      <c r="D6" s="301" t="s">
        <v>3865</v>
      </c>
      <c r="E6" s="301" t="s">
        <v>3866</v>
      </c>
      <c r="F6" s="301" t="s">
        <v>3285</v>
      </c>
      <c r="G6" s="301" t="s">
        <v>3285</v>
      </c>
      <c r="H6" s="301">
        <v>2008</v>
      </c>
      <c r="I6" s="301" t="s">
        <v>3851</v>
      </c>
      <c r="J6" s="300"/>
      <c r="K6" s="300"/>
      <c r="L6" s="301" t="s">
        <v>3852</v>
      </c>
      <c r="M6" s="300"/>
      <c r="N6" s="300"/>
      <c r="O6" s="301" t="s">
        <v>3867</v>
      </c>
      <c r="P6" s="302"/>
      <c r="Q6" s="247"/>
      <c r="R6" s="247"/>
      <c r="S6" s="247"/>
      <c r="T6" s="247"/>
      <c r="U6" s="247"/>
      <c r="V6" s="247"/>
      <c r="W6" s="247"/>
      <c r="X6" s="247"/>
      <c r="Y6" s="247"/>
      <c r="Z6" s="247"/>
      <c r="AA6" s="247"/>
    </row>
    <row r="7" spans="1:27" ht="15.75" customHeight="1">
      <c r="A7" s="305">
        <v>109</v>
      </c>
      <c r="B7" s="301">
        <v>1</v>
      </c>
      <c r="C7" s="301" t="s">
        <v>1410</v>
      </c>
      <c r="D7" s="301" t="s">
        <v>3868</v>
      </c>
      <c r="E7" s="301" t="s">
        <v>3869</v>
      </c>
      <c r="F7" s="301" t="s">
        <v>1078</v>
      </c>
      <c r="G7" s="301" t="s">
        <v>1078</v>
      </c>
      <c r="H7" s="301">
        <v>2022</v>
      </c>
      <c r="I7" s="301" t="s">
        <v>3851</v>
      </c>
      <c r="J7" s="301" t="s">
        <v>3852</v>
      </c>
      <c r="K7" s="301" t="s">
        <v>3852</v>
      </c>
      <c r="L7" s="300"/>
      <c r="M7" s="300"/>
      <c r="N7" s="300"/>
      <c r="O7" s="301" t="s">
        <v>3870</v>
      </c>
      <c r="P7" s="302"/>
      <c r="Q7" s="247"/>
      <c r="R7" s="247"/>
      <c r="S7" s="247"/>
      <c r="T7" s="247"/>
      <c r="U7" s="247"/>
      <c r="V7" s="247"/>
      <c r="W7" s="247"/>
      <c r="X7" s="247"/>
      <c r="Y7" s="247"/>
      <c r="Z7" s="247"/>
      <c r="AA7" s="247"/>
    </row>
    <row r="8" spans="1:27" ht="15.75" customHeight="1">
      <c r="A8" s="305">
        <v>72</v>
      </c>
      <c r="B8" s="301"/>
      <c r="C8" s="301" t="s">
        <v>3871</v>
      </c>
      <c r="D8" s="301" t="s">
        <v>3872</v>
      </c>
      <c r="E8" s="301" t="s">
        <v>2707</v>
      </c>
      <c r="F8" s="301" t="s">
        <v>3873</v>
      </c>
      <c r="G8" s="301" t="s">
        <v>3873</v>
      </c>
      <c r="H8" s="301">
        <v>2020</v>
      </c>
      <c r="I8" s="301" t="s">
        <v>3851</v>
      </c>
      <c r="J8" s="301" t="s">
        <v>3852</v>
      </c>
      <c r="K8" s="300"/>
      <c r="L8" s="300"/>
      <c r="M8" s="300"/>
      <c r="N8" s="300"/>
      <c r="O8" s="301" t="s">
        <v>3874</v>
      </c>
      <c r="P8" s="302"/>
      <c r="Q8" s="247"/>
      <c r="R8" s="247"/>
      <c r="S8" s="247"/>
      <c r="T8" s="247"/>
      <c r="U8" s="247"/>
      <c r="V8" s="247"/>
      <c r="W8" s="247"/>
      <c r="X8" s="247"/>
      <c r="Y8" s="247"/>
      <c r="Z8" s="247"/>
      <c r="AA8" s="247"/>
    </row>
    <row r="9" spans="1:27" ht="15.75" customHeight="1">
      <c r="A9" s="305">
        <v>73</v>
      </c>
      <c r="B9" s="301"/>
      <c r="C9" s="301" t="s">
        <v>3875</v>
      </c>
      <c r="D9" s="301" t="s">
        <v>3876</v>
      </c>
      <c r="E9" s="301" t="s">
        <v>3877</v>
      </c>
      <c r="F9" s="301" t="s">
        <v>3878</v>
      </c>
      <c r="G9" s="301" t="s">
        <v>1078</v>
      </c>
      <c r="H9" s="301">
        <v>2020</v>
      </c>
      <c r="I9" s="301" t="s">
        <v>3851</v>
      </c>
      <c r="J9" s="300"/>
      <c r="K9" s="301" t="s">
        <v>3852</v>
      </c>
      <c r="L9" s="301" t="s">
        <v>3852</v>
      </c>
      <c r="M9" s="300"/>
      <c r="N9" s="301" t="s">
        <v>3852</v>
      </c>
      <c r="O9" s="301" t="s">
        <v>3879</v>
      </c>
      <c r="P9" s="302"/>
      <c r="Q9" s="247"/>
      <c r="R9" s="247"/>
      <c r="S9" s="247"/>
      <c r="T9" s="247"/>
      <c r="U9" s="247"/>
      <c r="V9" s="247"/>
      <c r="W9" s="247"/>
      <c r="X9" s="247"/>
      <c r="Y9" s="247"/>
      <c r="Z9" s="247"/>
      <c r="AA9" s="247"/>
    </row>
    <row r="10" spans="1:27" ht="15.75" customHeight="1">
      <c r="A10" s="305">
        <v>12</v>
      </c>
      <c r="B10" s="301"/>
      <c r="C10" s="301" t="s">
        <v>3880</v>
      </c>
      <c r="D10" s="301" t="s">
        <v>3881</v>
      </c>
      <c r="E10" s="301" t="s">
        <v>3877</v>
      </c>
      <c r="F10" s="301" t="s">
        <v>3882</v>
      </c>
      <c r="G10" s="301" t="s">
        <v>3882</v>
      </c>
      <c r="H10" s="301">
        <v>2008</v>
      </c>
      <c r="I10" s="301" t="s">
        <v>3851</v>
      </c>
      <c r="J10" s="301" t="s">
        <v>3852</v>
      </c>
      <c r="K10" s="300"/>
      <c r="L10" s="300"/>
      <c r="M10" s="300"/>
      <c r="N10" s="300"/>
      <c r="O10" s="301" t="s">
        <v>3883</v>
      </c>
      <c r="P10" s="302"/>
      <c r="Q10" s="247"/>
      <c r="R10" s="247"/>
      <c r="S10" s="247"/>
      <c r="T10" s="247"/>
      <c r="U10" s="247"/>
      <c r="V10" s="247"/>
      <c r="W10" s="247"/>
      <c r="X10" s="247"/>
      <c r="Y10" s="247"/>
      <c r="Z10" s="247"/>
      <c r="AA10" s="247"/>
    </row>
    <row r="11" spans="1:27" ht="15.75" customHeight="1">
      <c r="A11" s="305">
        <v>74</v>
      </c>
      <c r="B11" s="301"/>
      <c r="C11" s="301" t="s">
        <v>3884</v>
      </c>
      <c r="D11" s="301" t="s">
        <v>3885</v>
      </c>
      <c r="E11" s="301" t="s">
        <v>3877</v>
      </c>
      <c r="F11" s="301" t="s">
        <v>3300</v>
      </c>
      <c r="G11" s="301" t="s">
        <v>3300</v>
      </c>
      <c r="H11" s="301">
        <v>2020</v>
      </c>
      <c r="I11" s="301" t="s">
        <v>3851</v>
      </c>
      <c r="J11" s="300"/>
      <c r="K11" s="300"/>
      <c r="L11" s="300"/>
      <c r="M11" s="300"/>
      <c r="N11" s="301" t="s">
        <v>3852</v>
      </c>
      <c r="O11" s="301" t="s">
        <v>3886</v>
      </c>
      <c r="P11" s="302"/>
      <c r="Q11" s="247"/>
      <c r="R11" s="247"/>
      <c r="S11" s="247"/>
      <c r="T11" s="247"/>
      <c r="U11" s="247"/>
      <c r="V11" s="247"/>
      <c r="W11" s="247"/>
      <c r="X11" s="247"/>
      <c r="Y11" s="247"/>
      <c r="Z11" s="247"/>
      <c r="AA11" s="247"/>
    </row>
    <row r="12" spans="1:27" ht="15.75" customHeight="1">
      <c r="A12" s="305">
        <v>15</v>
      </c>
      <c r="B12" s="301"/>
      <c r="C12" s="301" t="s">
        <v>3887</v>
      </c>
      <c r="D12" s="301" t="s">
        <v>3888</v>
      </c>
      <c r="E12" s="301" t="s">
        <v>3877</v>
      </c>
      <c r="F12" s="301" t="s">
        <v>3882</v>
      </c>
      <c r="G12" s="301" t="s">
        <v>3882</v>
      </c>
      <c r="H12" s="301">
        <v>2009</v>
      </c>
      <c r="I12" s="301" t="s">
        <v>3851</v>
      </c>
      <c r="J12" s="300"/>
      <c r="K12" s="301" t="s">
        <v>3852</v>
      </c>
      <c r="L12" s="301" t="s">
        <v>3852</v>
      </c>
      <c r="M12" s="301" t="s">
        <v>3852</v>
      </c>
      <c r="N12" s="300"/>
      <c r="O12" s="301" t="s">
        <v>3889</v>
      </c>
      <c r="P12" s="302"/>
      <c r="Q12" s="247"/>
      <c r="R12" s="247"/>
      <c r="S12" s="247"/>
      <c r="T12" s="247"/>
      <c r="U12" s="247"/>
      <c r="V12" s="247"/>
      <c r="W12" s="247"/>
      <c r="X12" s="247"/>
      <c r="Y12" s="247"/>
      <c r="Z12" s="247"/>
      <c r="AA12" s="247"/>
    </row>
    <row r="13" spans="1:27" ht="15.75" customHeight="1">
      <c r="A13" s="305">
        <v>55</v>
      </c>
      <c r="B13" s="301"/>
      <c r="C13" s="301" t="s">
        <v>3890</v>
      </c>
      <c r="D13" s="301" t="s">
        <v>3891</v>
      </c>
      <c r="E13" s="301" t="s">
        <v>3877</v>
      </c>
      <c r="F13" s="301" t="s">
        <v>1078</v>
      </c>
      <c r="G13" s="301" t="s">
        <v>1078</v>
      </c>
      <c r="H13" s="301">
        <v>2018</v>
      </c>
      <c r="I13" s="301" t="s">
        <v>3851</v>
      </c>
      <c r="J13" s="301" t="s">
        <v>3852</v>
      </c>
      <c r="K13" s="301" t="s">
        <v>3852</v>
      </c>
      <c r="L13" s="301" t="s">
        <v>3852</v>
      </c>
      <c r="M13" s="300"/>
      <c r="N13" s="300"/>
      <c r="O13" s="301" t="s">
        <v>3892</v>
      </c>
      <c r="P13" s="302"/>
      <c r="Q13" s="247"/>
      <c r="R13" s="247"/>
      <c r="S13" s="247"/>
      <c r="T13" s="247"/>
      <c r="U13" s="247"/>
      <c r="V13" s="247"/>
      <c r="W13" s="247"/>
      <c r="X13" s="247"/>
      <c r="Y13" s="247"/>
      <c r="Z13" s="247"/>
      <c r="AA13" s="247"/>
    </row>
    <row r="14" spans="1:27" ht="15.75" customHeight="1">
      <c r="A14" s="305">
        <v>21</v>
      </c>
      <c r="B14" s="301"/>
      <c r="C14" s="301" t="s">
        <v>3893</v>
      </c>
      <c r="D14" s="301" t="s">
        <v>3894</v>
      </c>
      <c r="E14" s="301" t="s">
        <v>3877</v>
      </c>
      <c r="F14" s="301" t="s">
        <v>3882</v>
      </c>
      <c r="G14" s="301" t="s">
        <v>3882</v>
      </c>
      <c r="H14" s="301">
        <v>2011</v>
      </c>
      <c r="I14" s="301" t="s">
        <v>3851</v>
      </c>
      <c r="J14" s="300"/>
      <c r="K14" s="301" t="s">
        <v>3852</v>
      </c>
      <c r="L14" s="301" t="s">
        <v>3852</v>
      </c>
      <c r="M14" s="301" t="s">
        <v>3852</v>
      </c>
      <c r="N14" s="300"/>
      <c r="O14" s="301" t="s">
        <v>3895</v>
      </c>
      <c r="P14" s="302"/>
      <c r="Q14" s="247"/>
      <c r="R14" s="247"/>
      <c r="S14" s="247"/>
      <c r="T14" s="247"/>
      <c r="U14" s="247"/>
      <c r="V14" s="247"/>
      <c r="W14" s="247"/>
      <c r="X14" s="247"/>
      <c r="Y14" s="247"/>
      <c r="Z14" s="247"/>
      <c r="AA14" s="247"/>
    </row>
    <row r="15" spans="1:27" ht="15.75" customHeight="1">
      <c r="A15" s="305">
        <v>22</v>
      </c>
      <c r="B15" s="301"/>
      <c r="C15" s="301" t="s">
        <v>3896</v>
      </c>
      <c r="D15" s="301" t="s">
        <v>3897</v>
      </c>
      <c r="E15" s="301" t="s">
        <v>3877</v>
      </c>
      <c r="F15" s="301" t="s">
        <v>3898</v>
      </c>
      <c r="G15" s="301" t="s">
        <v>3882</v>
      </c>
      <c r="H15" s="301">
        <v>2011</v>
      </c>
      <c r="I15" s="301" t="s">
        <v>3851</v>
      </c>
      <c r="J15" s="301" t="s">
        <v>3852</v>
      </c>
      <c r="K15" s="300"/>
      <c r="L15" s="300"/>
      <c r="M15" s="300"/>
      <c r="N15" s="300"/>
      <c r="O15" s="301" t="s">
        <v>3899</v>
      </c>
      <c r="P15" s="302"/>
      <c r="Q15" s="247"/>
      <c r="R15" s="247"/>
      <c r="S15" s="247"/>
      <c r="T15" s="247"/>
      <c r="U15" s="247"/>
      <c r="V15" s="247"/>
      <c r="W15" s="247"/>
      <c r="X15" s="247"/>
      <c r="Y15" s="247"/>
      <c r="Z15" s="247"/>
      <c r="AA15" s="247"/>
    </row>
    <row r="16" spans="1:27" ht="15.75" customHeight="1">
      <c r="A16" s="305">
        <v>61</v>
      </c>
      <c r="B16" s="301"/>
      <c r="C16" s="301" t="s">
        <v>3900</v>
      </c>
      <c r="D16" s="301" t="s">
        <v>3901</v>
      </c>
      <c r="E16" s="301" t="s">
        <v>3902</v>
      </c>
      <c r="F16" s="301" t="s">
        <v>3882</v>
      </c>
      <c r="G16" s="301" t="s">
        <v>3882</v>
      </c>
      <c r="H16" s="301">
        <v>2019</v>
      </c>
      <c r="I16" s="301" t="s">
        <v>3851</v>
      </c>
      <c r="J16" s="301" t="s">
        <v>3852</v>
      </c>
      <c r="K16" s="301" t="s">
        <v>3852</v>
      </c>
      <c r="L16" s="300"/>
      <c r="M16" s="300"/>
      <c r="N16" s="300"/>
      <c r="O16" s="301" t="s">
        <v>3903</v>
      </c>
      <c r="P16" s="302"/>
      <c r="Q16" s="247"/>
      <c r="R16" s="247"/>
      <c r="S16" s="247"/>
      <c r="T16" s="247"/>
      <c r="U16" s="247"/>
      <c r="V16" s="247"/>
      <c r="W16" s="247"/>
      <c r="X16" s="247"/>
      <c r="Y16" s="247"/>
      <c r="Z16" s="247"/>
      <c r="AA16" s="247"/>
    </row>
    <row r="17" spans="1:27" ht="15.75" customHeight="1">
      <c r="A17" s="305">
        <v>56</v>
      </c>
      <c r="B17" s="301"/>
      <c r="C17" s="301" t="s">
        <v>3904</v>
      </c>
      <c r="D17" s="301" t="s">
        <v>3905</v>
      </c>
      <c r="E17" s="301" t="s">
        <v>3902</v>
      </c>
      <c r="F17" s="301" t="s">
        <v>3882</v>
      </c>
      <c r="G17" s="301" t="s">
        <v>3882</v>
      </c>
      <c r="H17" s="301">
        <v>2018</v>
      </c>
      <c r="I17" s="301" t="s">
        <v>3851</v>
      </c>
      <c r="J17" s="301" t="s">
        <v>3852</v>
      </c>
      <c r="K17" s="301" t="s">
        <v>3852</v>
      </c>
      <c r="L17" s="301" t="s">
        <v>3852</v>
      </c>
      <c r="M17" s="301" t="s">
        <v>3852</v>
      </c>
      <c r="N17" s="300"/>
      <c r="O17" s="301" t="s">
        <v>3906</v>
      </c>
      <c r="P17" s="302"/>
      <c r="Q17" s="247"/>
      <c r="R17" s="247"/>
      <c r="S17" s="247"/>
      <c r="T17" s="247"/>
      <c r="U17" s="247"/>
      <c r="V17" s="247"/>
      <c r="W17" s="247"/>
      <c r="X17" s="247"/>
      <c r="Y17" s="247"/>
      <c r="Z17" s="247"/>
      <c r="AA17" s="247"/>
    </row>
    <row r="18" spans="1:27" ht="15.75" customHeight="1">
      <c r="A18" s="305">
        <v>28</v>
      </c>
      <c r="B18" s="301"/>
      <c r="C18" s="301" t="s">
        <v>3907</v>
      </c>
      <c r="D18" s="301" t="s">
        <v>3908</v>
      </c>
      <c r="E18" s="301" t="s">
        <v>3236</v>
      </c>
      <c r="F18" s="301" t="s">
        <v>1078</v>
      </c>
      <c r="G18" s="301" t="s">
        <v>1078</v>
      </c>
      <c r="H18" s="301">
        <v>2013</v>
      </c>
      <c r="I18" s="301" t="s">
        <v>3862</v>
      </c>
      <c r="J18" s="301" t="s">
        <v>3852</v>
      </c>
      <c r="K18" s="300"/>
      <c r="L18" s="300"/>
      <c r="M18" s="300"/>
      <c r="N18" s="300"/>
      <c r="O18" s="301" t="s">
        <v>3909</v>
      </c>
      <c r="P18" s="302"/>
      <c r="Q18" s="247"/>
      <c r="R18" s="247"/>
      <c r="S18" s="247"/>
      <c r="T18" s="247"/>
      <c r="U18" s="247"/>
      <c r="V18" s="247"/>
      <c r="W18" s="247"/>
      <c r="X18" s="247"/>
      <c r="Y18" s="247"/>
      <c r="Z18" s="247"/>
      <c r="AA18" s="247"/>
    </row>
    <row r="19" spans="1:27" ht="15.75" customHeight="1">
      <c r="A19" s="305">
        <v>60</v>
      </c>
      <c r="B19" s="301"/>
      <c r="C19" s="301" t="s">
        <v>3910</v>
      </c>
      <c r="D19" s="301" t="s">
        <v>3911</v>
      </c>
      <c r="E19" s="301" t="s">
        <v>3236</v>
      </c>
      <c r="F19" s="301" t="s">
        <v>1078</v>
      </c>
      <c r="G19" s="301" t="s">
        <v>1078</v>
      </c>
      <c r="H19" s="301">
        <v>2019</v>
      </c>
      <c r="I19" s="301" t="s">
        <v>3862</v>
      </c>
      <c r="J19" s="300"/>
      <c r="K19" s="300"/>
      <c r="L19" s="300"/>
      <c r="M19" s="300"/>
      <c r="N19" s="300"/>
      <c r="O19" s="301" t="s">
        <v>3912</v>
      </c>
      <c r="P19" s="302"/>
      <c r="Q19" s="247"/>
      <c r="R19" s="247"/>
      <c r="S19" s="247"/>
      <c r="T19" s="247"/>
      <c r="U19" s="247"/>
      <c r="V19" s="247"/>
      <c r="W19" s="247"/>
      <c r="X19" s="247"/>
      <c r="Y19" s="247"/>
      <c r="Z19" s="247"/>
      <c r="AA19" s="247"/>
    </row>
    <row r="20" spans="1:27" ht="15.75" customHeight="1">
      <c r="A20" s="305">
        <v>44</v>
      </c>
      <c r="B20" s="301">
        <v>1</v>
      </c>
      <c r="C20" s="301" t="s">
        <v>3913</v>
      </c>
      <c r="D20" s="301" t="s">
        <v>3914</v>
      </c>
      <c r="E20" s="301" t="s">
        <v>3236</v>
      </c>
      <c r="F20" s="301" t="s">
        <v>1078</v>
      </c>
      <c r="G20" s="301" t="s">
        <v>1078</v>
      </c>
      <c r="H20" s="301">
        <v>2017</v>
      </c>
      <c r="I20" s="301" t="s">
        <v>3851</v>
      </c>
      <c r="J20" s="301" t="s">
        <v>3852</v>
      </c>
      <c r="K20" s="301" t="s">
        <v>3852</v>
      </c>
      <c r="L20" s="300"/>
      <c r="M20" s="300"/>
      <c r="N20" s="300"/>
      <c r="O20" s="301" t="s">
        <v>3915</v>
      </c>
      <c r="P20" s="302"/>
      <c r="Q20" s="247"/>
      <c r="R20" s="247"/>
      <c r="S20" s="247"/>
      <c r="T20" s="247"/>
      <c r="U20" s="247"/>
      <c r="V20" s="247"/>
      <c r="W20" s="247"/>
      <c r="X20" s="247"/>
      <c r="Y20" s="247"/>
      <c r="Z20" s="247"/>
      <c r="AA20" s="247"/>
    </row>
    <row r="21" spans="1:27" ht="15.75" customHeight="1">
      <c r="A21" s="305">
        <v>76</v>
      </c>
      <c r="B21" s="301">
        <v>1</v>
      </c>
      <c r="C21" s="301" t="s">
        <v>3916</v>
      </c>
      <c r="D21" s="301" t="s">
        <v>3917</v>
      </c>
      <c r="E21" s="301" t="s">
        <v>3236</v>
      </c>
      <c r="F21" s="301" t="s">
        <v>1078</v>
      </c>
      <c r="G21" s="301" t="s">
        <v>1078</v>
      </c>
      <c r="H21" s="301">
        <v>2020</v>
      </c>
      <c r="I21" s="301" t="s">
        <v>3862</v>
      </c>
      <c r="J21" s="301" t="s">
        <v>3852</v>
      </c>
      <c r="K21" s="301" t="s">
        <v>3852</v>
      </c>
      <c r="L21" s="300"/>
      <c r="M21" s="300"/>
      <c r="N21" s="300"/>
      <c r="O21" s="301" t="s">
        <v>3918</v>
      </c>
      <c r="P21" s="302"/>
      <c r="Q21" s="247"/>
      <c r="R21" s="247"/>
      <c r="S21" s="247"/>
      <c r="T21" s="247"/>
      <c r="U21" s="247"/>
      <c r="V21" s="247"/>
      <c r="W21" s="247"/>
      <c r="X21" s="247"/>
      <c r="Y21" s="247"/>
      <c r="Z21" s="247"/>
      <c r="AA21" s="247"/>
    </row>
    <row r="22" spans="1:27" ht="15.75" customHeight="1">
      <c r="A22" s="305">
        <v>86</v>
      </c>
      <c r="B22" s="301">
        <v>1</v>
      </c>
      <c r="C22" s="301" t="s">
        <v>3919</v>
      </c>
      <c r="D22" s="301" t="s">
        <v>3920</v>
      </c>
      <c r="E22" s="301" t="s">
        <v>3236</v>
      </c>
      <c r="F22" s="301" t="s">
        <v>1078</v>
      </c>
      <c r="G22" s="301" t="s">
        <v>1078</v>
      </c>
      <c r="H22" s="301">
        <v>2021</v>
      </c>
      <c r="I22" s="301" t="s">
        <v>3851</v>
      </c>
      <c r="J22" s="300"/>
      <c r="K22" s="301" t="s">
        <v>3852</v>
      </c>
      <c r="L22" s="300"/>
      <c r="M22" s="300"/>
      <c r="N22" s="300"/>
      <c r="O22" s="301" t="s">
        <v>3921</v>
      </c>
      <c r="P22" s="302"/>
      <c r="Q22" s="247"/>
      <c r="R22" s="247"/>
      <c r="S22" s="247"/>
      <c r="T22" s="247"/>
      <c r="U22" s="247"/>
      <c r="V22" s="247"/>
      <c r="W22" s="247"/>
      <c r="X22" s="247"/>
      <c r="Y22" s="247"/>
      <c r="Z22" s="247"/>
      <c r="AA22" s="247"/>
    </row>
    <row r="23" spans="1:27" ht="15.75" customHeight="1">
      <c r="A23" s="305">
        <v>83</v>
      </c>
      <c r="B23" s="301"/>
      <c r="C23" s="301" t="s">
        <v>3922</v>
      </c>
      <c r="D23" s="301" t="s">
        <v>3923</v>
      </c>
      <c r="E23" s="301" t="s">
        <v>3236</v>
      </c>
      <c r="F23" s="301" t="s">
        <v>1078</v>
      </c>
      <c r="G23" s="301" t="s">
        <v>1078</v>
      </c>
      <c r="H23" s="301">
        <v>2021</v>
      </c>
      <c r="I23" s="301" t="s">
        <v>3862</v>
      </c>
      <c r="J23" s="301" t="s">
        <v>3852</v>
      </c>
      <c r="K23" s="300"/>
      <c r="L23" s="300"/>
      <c r="M23" s="300"/>
      <c r="N23" s="300"/>
      <c r="O23" s="301" t="s">
        <v>3924</v>
      </c>
      <c r="P23" s="302"/>
      <c r="Q23" s="247"/>
      <c r="R23" s="247"/>
      <c r="S23" s="247"/>
      <c r="T23" s="247"/>
      <c r="U23" s="247"/>
      <c r="V23" s="247"/>
      <c r="W23" s="247"/>
      <c r="X23" s="247"/>
      <c r="Y23" s="247"/>
      <c r="Z23" s="247"/>
      <c r="AA23" s="247"/>
    </row>
    <row r="24" spans="1:27" ht="15.75" customHeight="1">
      <c r="A24" s="305">
        <v>38</v>
      </c>
      <c r="B24" s="301"/>
      <c r="C24" s="301" t="s">
        <v>3925</v>
      </c>
      <c r="D24" s="301" t="s">
        <v>3926</v>
      </c>
      <c r="E24" s="301" t="s">
        <v>3236</v>
      </c>
      <c r="F24" s="301" t="s">
        <v>1078</v>
      </c>
      <c r="G24" s="301" t="s">
        <v>1078</v>
      </c>
      <c r="H24" s="301">
        <v>2016</v>
      </c>
      <c r="I24" s="301" t="s">
        <v>3862</v>
      </c>
      <c r="J24" s="301" t="s">
        <v>3852</v>
      </c>
      <c r="K24" s="300"/>
      <c r="L24" s="300"/>
      <c r="M24" s="300"/>
      <c r="N24" s="300"/>
      <c r="O24" s="301" t="s">
        <v>3927</v>
      </c>
      <c r="P24" s="302"/>
      <c r="Q24" s="247"/>
      <c r="R24" s="247"/>
      <c r="S24" s="247"/>
      <c r="T24" s="247"/>
      <c r="U24" s="247"/>
      <c r="V24" s="247"/>
      <c r="W24" s="247"/>
      <c r="X24" s="247"/>
      <c r="Y24" s="247"/>
      <c r="Z24" s="247"/>
      <c r="AA24" s="247"/>
    </row>
    <row r="25" spans="1:27" ht="15.75" customHeight="1">
      <c r="A25" s="305">
        <v>75</v>
      </c>
      <c r="B25" s="301">
        <v>1</v>
      </c>
      <c r="C25" s="301" t="s">
        <v>3928</v>
      </c>
      <c r="D25" s="301" t="s">
        <v>3929</v>
      </c>
      <c r="E25" s="301" t="s">
        <v>3236</v>
      </c>
      <c r="F25" s="301" t="s">
        <v>1078</v>
      </c>
      <c r="G25" s="301" t="s">
        <v>1078</v>
      </c>
      <c r="H25" s="301">
        <v>2020</v>
      </c>
      <c r="I25" s="301" t="s">
        <v>3857</v>
      </c>
      <c r="J25" s="300"/>
      <c r="K25" s="301" t="s">
        <v>3852</v>
      </c>
      <c r="L25" s="300"/>
      <c r="M25" s="300"/>
      <c r="N25" s="300"/>
      <c r="O25" s="301" t="s">
        <v>3930</v>
      </c>
      <c r="P25" s="302"/>
      <c r="Q25" s="247"/>
      <c r="R25" s="247"/>
      <c r="S25" s="247"/>
      <c r="T25" s="247"/>
      <c r="U25" s="247"/>
      <c r="V25" s="247"/>
      <c r="W25" s="247"/>
      <c r="X25" s="247"/>
      <c r="Y25" s="247"/>
      <c r="Z25" s="247"/>
      <c r="AA25" s="247"/>
    </row>
    <row r="26" spans="1:27" ht="15.75" customHeight="1">
      <c r="A26" s="305">
        <v>33</v>
      </c>
      <c r="B26" s="301"/>
      <c r="C26" s="301" t="s">
        <v>3931</v>
      </c>
      <c r="D26" s="301" t="s">
        <v>3932</v>
      </c>
      <c r="E26" s="301" t="s">
        <v>3236</v>
      </c>
      <c r="F26" s="301" t="s">
        <v>1078</v>
      </c>
      <c r="G26" s="301" t="s">
        <v>1078</v>
      </c>
      <c r="H26" s="301">
        <v>2015</v>
      </c>
      <c r="I26" s="301" t="s">
        <v>3851</v>
      </c>
      <c r="J26" s="301" t="s">
        <v>3852</v>
      </c>
      <c r="K26" s="300"/>
      <c r="L26" s="300"/>
      <c r="M26" s="300"/>
      <c r="N26" s="300"/>
      <c r="O26" s="301" t="s">
        <v>3933</v>
      </c>
      <c r="P26" s="302"/>
      <c r="Q26" s="247"/>
      <c r="R26" s="247"/>
      <c r="S26" s="247"/>
      <c r="T26" s="247"/>
      <c r="U26" s="247"/>
      <c r="V26" s="247"/>
      <c r="W26" s="247"/>
      <c r="X26" s="247"/>
      <c r="Y26" s="247"/>
      <c r="Z26" s="247"/>
      <c r="AA26" s="247"/>
    </row>
    <row r="27" spans="1:27" ht="15.75" customHeight="1">
      <c r="A27" s="305">
        <v>101</v>
      </c>
      <c r="B27" s="301">
        <v>1</v>
      </c>
      <c r="C27" s="301" t="s">
        <v>3934</v>
      </c>
      <c r="D27" s="301" t="s">
        <v>3935</v>
      </c>
      <c r="E27" s="301" t="s">
        <v>3236</v>
      </c>
      <c r="F27" s="301" t="s">
        <v>1078</v>
      </c>
      <c r="G27" s="301" t="s">
        <v>1078</v>
      </c>
      <c r="H27" s="301">
        <v>2022</v>
      </c>
      <c r="I27" s="301" t="s">
        <v>3851</v>
      </c>
      <c r="J27" s="301" t="s">
        <v>3852</v>
      </c>
      <c r="K27" s="301" t="s">
        <v>3852</v>
      </c>
      <c r="L27" s="300"/>
      <c r="M27" s="300"/>
      <c r="N27" s="300"/>
      <c r="O27" s="301" t="s">
        <v>3936</v>
      </c>
      <c r="P27" s="302"/>
      <c r="Q27" s="247"/>
      <c r="R27" s="247"/>
      <c r="S27" s="247"/>
      <c r="T27" s="247"/>
      <c r="U27" s="247"/>
      <c r="V27" s="247"/>
      <c r="W27" s="247"/>
      <c r="X27" s="247"/>
      <c r="Y27" s="247"/>
      <c r="Z27" s="247"/>
      <c r="AA27" s="247"/>
    </row>
    <row r="28" spans="1:27" ht="15.75" customHeight="1">
      <c r="A28" s="305">
        <v>82</v>
      </c>
      <c r="B28" s="301"/>
      <c r="C28" s="301" t="s">
        <v>3937</v>
      </c>
      <c r="D28" s="301" t="s">
        <v>3938</v>
      </c>
      <c r="E28" s="301" t="s">
        <v>3236</v>
      </c>
      <c r="F28" s="300"/>
      <c r="G28" s="301" t="s">
        <v>1078</v>
      </c>
      <c r="H28" s="301">
        <v>2020</v>
      </c>
      <c r="I28" s="301" t="s">
        <v>3851</v>
      </c>
      <c r="J28" s="300"/>
      <c r="K28" s="300"/>
      <c r="L28" s="300"/>
      <c r="M28" s="300"/>
      <c r="N28" s="300"/>
      <c r="O28" s="301" t="s">
        <v>3912</v>
      </c>
      <c r="P28" s="302"/>
      <c r="Q28" s="247"/>
      <c r="R28" s="247"/>
      <c r="S28" s="247"/>
      <c r="T28" s="247"/>
      <c r="U28" s="247"/>
      <c r="V28" s="247"/>
      <c r="W28" s="247"/>
      <c r="X28" s="247"/>
      <c r="Y28" s="247"/>
      <c r="Z28" s="247"/>
      <c r="AA28" s="247"/>
    </row>
    <row r="29" spans="1:27" ht="15.75" customHeight="1">
      <c r="A29" s="305">
        <v>45</v>
      </c>
      <c r="B29" s="301">
        <v>1</v>
      </c>
      <c r="C29" s="301" t="s">
        <v>3939</v>
      </c>
      <c r="D29" s="301" t="s">
        <v>3940</v>
      </c>
      <c r="E29" s="301" t="s">
        <v>3236</v>
      </c>
      <c r="F29" s="301" t="s">
        <v>1078</v>
      </c>
      <c r="G29" s="301" t="s">
        <v>1078</v>
      </c>
      <c r="H29" s="301">
        <v>2017</v>
      </c>
      <c r="I29" s="301" t="s">
        <v>3851</v>
      </c>
      <c r="J29" s="301" t="s">
        <v>3852</v>
      </c>
      <c r="K29" s="301" t="s">
        <v>3852</v>
      </c>
      <c r="L29" s="300"/>
      <c r="M29" s="300"/>
      <c r="N29" s="300"/>
      <c r="O29" s="301" t="s">
        <v>3941</v>
      </c>
      <c r="P29" s="302"/>
      <c r="Q29" s="247"/>
      <c r="R29" s="247"/>
      <c r="S29" s="247"/>
      <c r="T29" s="247"/>
      <c r="U29" s="247"/>
      <c r="V29" s="247"/>
      <c r="W29" s="247"/>
      <c r="X29" s="247"/>
      <c r="Y29" s="247"/>
      <c r="Z29" s="247"/>
      <c r="AA29" s="247"/>
    </row>
    <row r="30" spans="1:27" ht="15.75" customHeight="1">
      <c r="A30" s="305">
        <v>88</v>
      </c>
      <c r="B30" s="301"/>
      <c r="C30" s="301" t="s">
        <v>3942</v>
      </c>
      <c r="D30" s="301" t="s">
        <v>3943</v>
      </c>
      <c r="E30" s="301" t="s">
        <v>3236</v>
      </c>
      <c r="F30" s="301" t="s">
        <v>1078</v>
      </c>
      <c r="G30" s="301" t="s">
        <v>1078</v>
      </c>
      <c r="H30" s="301">
        <v>2021</v>
      </c>
      <c r="I30" s="301" t="s">
        <v>3851</v>
      </c>
      <c r="J30" s="301" t="s">
        <v>3852</v>
      </c>
      <c r="K30" s="301" t="s">
        <v>3852</v>
      </c>
      <c r="L30" s="300"/>
      <c r="M30" s="300"/>
      <c r="N30" s="300"/>
      <c r="O30" s="301" t="s">
        <v>3944</v>
      </c>
      <c r="P30" s="302"/>
      <c r="Q30" s="247"/>
      <c r="R30" s="247"/>
      <c r="S30" s="247"/>
      <c r="T30" s="247"/>
      <c r="U30" s="247"/>
      <c r="V30" s="247"/>
      <c r="W30" s="247"/>
      <c r="X30" s="247"/>
      <c r="Y30" s="247"/>
      <c r="Z30" s="247"/>
      <c r="AA30" s="247"/>
    </row>
    <row r="31" spans="1:27" ht="15.75" customHeight="1">
      <c r="A31" s="305">
        <v>102</v>
      </c>
      <c r="B31" s="301">
        <v>1</v>
      </c>
      <c r="C31" s="301" t="s">
        <v>1427</v>
      </c>
      <c r="D31" s="301" t="s">
        <v>3945</v>
      </c>
      <c r="E31" s="301" t="s">
        <v>3236</v>
      </c>
      <c r="F31" s="301" t="s">
        <v>1078</v>
      </c>
      <c r="G31" s="301" t="s">
        <v>1078</v>
      </c>
      <c r="H31" s="301">
        <v>2022</v>
      </c>
      <c r="I31" s="301" t="s">
        <v>3851</v>
      </c>
      <c r="J31" s="301" t="s">
        <v>3852</v>
      </c>
      <c r="K31" s="301" t="s">
        <v>3852</v>
      </c>
      <c r="L31" s="300"/>
      <c r="M31" s="300"/>
      <c r="N31" s="300"/>
      <c r="O31" s="301" t="s">
        <v>3946</v>
      </c>
      <c r="P31" s="302"/>
      <c r="Q31" s="247"/>
      <c r="R31" s="247"/>
      <c r="S31" s="247"/>
      <c r="T31" s="247"/>
      <c r="U31" s="247"/>
      <c r="V31" s="247"/>
      <c r="W31" s="247"/>
      <c r="X31" s="247"/>
      <c r="Y31" s="247"/>
      <c r="Z31" s="247"/>
      <c r="AA31" s="247"/>
    </row>
    <row r="32" spans="1:27" ht="15.75" customHeight="1">
      <c r="A32" s="305">
        <v>87</v>
      </c>
      <c r="B32" s="301"/>
      <c r="C32" s="301" t="s">
        <v>3947</v>
      </c>
      <c r="D32" s="301" t="s">
        <v>3948</v>
      </c>
      <c r="E32" s="301" t="s">
        <v>3236</v>
      </c>
      <c r="F32" s="301" t="s">
        <v>1078</v>
      </c>
      <c r="G32" s="301" t="s">
        <v>1078</v>
      </c>
      <c r="H32" s="301">
        <v>2021</v>
      </c>
      <c r="I32" s="301" t="s">
        <v>3851</v>
      </c>
      <c r="J32" s="301" t="s">
        <v>3852</v>
      </c>
      <c r="K32" s="300"/>
      <c r="L32" s="300"/>
      <c r="M32" s="300"/>
      <c r="N32" s="300"/>
      <c r="O32" s="301" t="s">
        <v>3949</v>
      </c>
      <c r="P32" s="302"/>
      <c r="Q32" s="247"/>
      <c r="R32" s="247"/>
      <c r="S32" s="247"/>
      <c r="T32" s="247"/>
      <c r="U32" s="247"/>
      <c r="V32" s="247"/>
      <c r="W32" s="247"/>
      <c r="X32" s="247"/>
      <c r="Y32" s="247"/>
      <c r="Z32" s="247"/>
      <c r="AA32" s="247"/>
    </row>
    <row r="33" spans="1:27" ht="15.75" customHeight="1">
      <c r="A33" s="305">
        <v>37</v>
      </c>
      <c r="B33" s="301"/>
      <c r="C33" s="301" t="s">
        <v>3950</v>
      </c>
      <c r="D33" s="301" t="s">
        <v>3951</v>
      </c>
      <c r="E33" s="301" t="s">
        <v>2849</v>
      </c>
      <c r="F33" s="301" t="s">
        <v>1078</v>
      </c>
      <c r="G33" s="301" t="s">
        <v>1078</v>
      </c>
      <c r="H33" s="301">
        <v>2016</v>
      </c>
      <c r="I33" s="301" t="s">
        <v>3851</v>
      </c>
      <c r="J33" s="300"/>
      <c r="K33" s="301" t="s">
        <v>3852</v>
      </c>
      <c r="L33" s="300"/>
      <c r="M33" s="300"/>
      <c r="N33" s="300"/>
      <c r="O33" s="301" t="s">
        <v>3952</v>
      </c>
      <c r="P33" s="302"/>
      <c r="Q33" s="247"/>
      <c r="R33" s="247"/>
      <c r="S33" s="247"/>
      <c r="T33" s="247"/>
      <c r="U33" s="247"/>
      <c r="V33" s="247"/>
      <c r="W33" s="247"/>
      <c r="X33" s="247"/>
      <c r="Y33" s="247"/>
      <c r="Z33" s="247"/>
      <c r="AA33" s="247"/>
    </row>
    <row r="34" spans="1:27" ht="15.75" customHeight="1">
      <c r="A34" s="305">
        <v>62</v>
      </c>
      <c r="B34" s="301"/>
      <c r="C34" s="301" t="s">
        <v>3953</v>
      </c>
      <c r="D34" s="301" t="s">
        <v>3954</v>
      </c>
      <c r="E34" s="301" t="s">
        <v>2849</v>
      </c>
      <c r="F34" s="301" t="s">
        <v>1078</v>
      </c>
      <c r="G34" s="301" t="s">
        <v>1078</v>
      </c>
      <c r="H34" s="301">
        <v>2019</v>
      </c>
      <c r="I34" s="301" t="s">
        <v>3851</v>
      </c>
      <c r="J34" s="300"/>
      <c r="K34" s="301" t="s">
        <v>3852</v>
      </c>
      <c r="L34" s="300"/>
      <c r="M34" s="300"/>
      <c r="N34" s="300"/>
      <c r="O34" s="301" t="s">
        <v>3955</v>
      </c>
      <c r="P34" s="302"/>
      <c r="Q34" s="247"/>
      <c r="R34" s="247"/>
      <c r="S34" s="247"/>
      <c r="T34" s="247"/>
      <c r="U34" s="247"/>
      <c r="V34" s="247"/>
      <c r="W34" s="247"/>
      <c r="X34" s="247"/>
      <c r="Y34" s="247"/>
      <c r="Z34" s="247"/>
      <c r="AA34" s="247"/>
    </row>
    <row r="35" spans="1:27" ht="15.75" customHeight="1">
      <c r="A35" s="305">
        <v>103</v>
      </c>
      <c r="B35" s="301">
        <v>1</v>
      </c>
      <c r="C35" s="301" t="s">
        <v>1303</v>
      </c>
      <c r="D35" s="301" t="s">
        <v>3956</v>
      </c>
      <c r="E35" s="301" t="s">
        <v>2849</v>
      </c>
      <c r="F35" s="301" t="s">
        <v>1078</v>
      </c>
      <c r="G35" s="301" t="s">
        <v>1078</v>
      </c>
      <c r="H35" s="301">
        <v>2022</v>
      </c>
      <c r="I35" s="301" t="s">
        <v>3862</v>
      </c>
      <c r="J35" s="301" t="s">
        <v>3852</v>
      </c>
      <c r="K35" s="301" t="s">
        <v>3852</v>
      </c>
      <c r="L35" s="300"/>
      <c r="M35" s="300"/>
      <c r="N35" s="300"/>
      <c r="O35" s="301" t="s">
        <v>3957</v>
      </c>
      <c r="P35" s="302"/>
      <c r="Q35" s="247"/>
      <c r="R35" s="247"/>
      <c r="S35" s="247"/>
      <c r="T35" s="247"/>
      <c r="U35" s="247"/>
      <c r="V35" s="247"/>
      <c r="W35" s="247"/>
      <c r="X35" s="247"/>
      <c r="Y35" s="247"/>
      <c r="Z35" s="247"/>
      <c r="AA35" s="247"/>
    </row>
    <row r="36" spans="1:27" ht="15.75" customHeight="1">
      <c r="A36" s="305">
        <v>80</v>
      </c>
      <c r="B36" s="301"/>
      <c r="C36" s="301" t="s">
        <v>3958</v>
      </c>
      <c r="D36" s="301" t="s">
        <v>3959</v>
      </c>
      <c r="E36" s="301" t="s">
        <v>2849</v>
      </c>
      <c r="F36" s="301" t="s">
        <v>1078</v>
      </c>
      <c r="G36" s="301" t="s">
        <v>1078</v>
      </c>
      <c r="H36" s="301">
        <v>2020</v>
      </c>
      <c r="I36" s="301" t="s">
        <v>3851</v>
      </c>
      <c r="J36" s="301" t="s">
        <v>3852</v>
      </c>
      <c r="K36" s="300"/>
      <c r="L36" s="300"/>
      <c r="M36" s="300"/>
      <c r="N36" s="300"/>
      <c r="O36" s="301" t="s">
        <v>3960</v>
      </c>
      <c r="P36" s="302"/>
      <c r="Q36" s="247"/>
      <c r="R36" s="247"/>
      <c r="S36" s="247"/>
      <c r="T36" s="247"/>
      <c r="U36" s="247"/>
      <c r="V36" s="247"/>
      <c r="W36" s="247"/>
      <c r="X36" s="247"/>
      <c r="Y36" s="247"/>
      <c r="Z36" s="247"/>
      <c r="AA36" s="247"/>
    </row>
    <row r="37" spans="1:27" ht="15.75" customHeight="1">
      <c r="A37" s="305">
        <v>63</v>
      </c>
      <c r="B37" s="301"/>
      <c r="C37" s="301" t="s">
        <v>3961</v>
      </c>
      <c r="D37" s="301" t="s">
        <v>3962</v>
      </c>
      <c r="E37" s="301" t="s">
        <v>2849</v>
      </c>
      <c r="F37" s="301" t="s">
        <v>1078</v>
      </c>
      <c r="G37" s="301" t="s">
        <v>1078</v>
      </c>
      <c r="H37" s="301">
        <v>2019</v>
      </c>
      <c r="I37" s="301" t="s">
        <v>3851</v>
      </c>
      <c r="J37" s="301" t="s">
        <v>3852</v>
      </c>
      <c r="K37" s="301" t="s">
        <v>3852</v>
      </c>
      <c r="L37" s="300"/>
      <c r="M37" s="300"/>
      <c r="N37" s="300"/>
      <c r="O37" s="301" t="s">
        <v>3963</v>
      </c>
      <c r="P37" s="302"/>
      <c r="Q37" s="247"/>
      <c r="R37" s="247"/>
      <c r="S37" s="247"/>
      <c r="T37" s="247"/>
      <c r="U37" s="247"/>
      <c r="V37" s="247"/>
      <c r="W37" s="247"/>
      <c r="X37" s="247"/>
      <c r="Y37" s="247"/>
      <c r="Z37" s="247"/>
      <c r="AA37" s="247"/>
    </row>
    <row r="38" spans="1:27" ht="15.75" customHeight="1">
      <c r="A38" s="305">
        <v>18</v>
      </c>
      <c r="B38" s="301"/>
      <c r="C38" s="301" t="s">
        <v>3964</v>
      </c>
      <c r="D38" s="301" t="s">
        <v>3965</v>
      </c>
      <c r="E38" s="301" t="s">
        <v>3966</v>
      </c>
      <c r="F38" s="301" t="s">
        <v>3967</v>
      </c>
      <c r="G38" s="301" t="s">
        <v>1078</v>
      </c>
      <c r="H38" s="301">
        <v>2010</v>
      </c>
      <c r="I38" s="301" t="s">
        <v>3851</v>
      </c>
      <c r="J38" s="300"/>
      <c r="K38" s="301" t="s">
        <v>3852</v>
      </c>
      <c r="L38" s="300"/>
      <c r="M38" s="300"/>
      <c r="N38" s="300"/>
      <c r="O38" s="301" t="s">
        <v>3968</v>
      </c>
      <c r="P38" s="302"/>
      <c r="Q38" s="247"/>
      <c r="R38" s="247"/>
      <c r="S38" s="247"/>
      <c r="T38" s="247"/>
      <c r="U38" s="247"/>
      <c r="V38" s="247"/>
      <c r="W38" s="247"/>
      <c r="X38" s="247"/>
      <c r="Y38" s="247"/>
      <c r="Z38" s="247"/>
      <c r="AA38" s="247"/>
    </row>
    <row r="39" spans="1:27" ht="15.75" customHeight="1">
      <c r="A39" s="305">
        <v>90</v>
      </c>
      <c r="B39" s="301"/>
      <c r="C39" s="301" t="s">
        <v>3969</v>
      </c>
      <c r="D39" s="301" t="s">
        <v>3970</v>
      </c>
      <c r="E39" s="301" t="s">
        <v>3971</v>
      </c>
      <c r="F39" s="301" t="s">
        <v>3972</v>
      </c>
      <c r="G39" s="301" t="s">
        <v>1078</v>
      </c>
      <c r="H39" s="301">
        <v>2021</v>
      </c>
      <c r="I39" s="301" t="s">
        <v>3851</v>
      </c>
      <c r="J39" s="301" t="s">
        <v>3852</v>
      </c>
      <c r="K39" s="301" t="s">
        <v>3852</v>
      </c>
      <c r="L39" s="300"/>
      <c r="M39" s="300"/>
      <c r="N39" s="300"/>
      <c r="O39" s="301" t="s">
        <v>3973</v>
      </c>
      <c r="P39" s="302"/>
      <c r="Q39" s="247"/>
      <c r="R39" s="247"/>
      <c r="S39" s="247"/>
      <c r="T39" s="247"/>
      <c r="U39" s="247"/>
      <c r="V39" s="247"/>
      <c r="W39" s="247"/>
      <c r="X39" s="247"/>
      <c r="Y39" s="247"/>
      <c r="Z39" s="247"/>
      <c r="AA39" s="247"/>
    </row>
    <row r="40" spans="1:27" ht="15.75" customHeight="1">
      <c r="A40" s="305">
        <v>89</v>
      </c>
      <c r="B40" s="301"/>
      <c r="C40" s="301" t="s">
        <v>3974</v>
      </c>
      <c r="D40" s="301" t="s">
        <v>3975</v>
      </c>
      <c r="E40" s="301" t="s">
        <v>3971</v>
      </c>
      <c r="F40" s="301" t="s">
        <v>3972</v>
      </c>
      <c r="G40" s="301" t="s">
        <v>1078</v>
      </c>
      <c r="H40" s="301">
        <v>2021</v>
      </c>
      <c r="I40" s="301" t="s">
        <v>3862</v>
      </c>
      <c r="J40" s="301" t="s">
        <v>3852</v>
      </c>
      <c r="K40" s="301" t="s">
        <v>3852</v>
      </c>
      <c r="L40" s="300"/>
      <c r="M40" s="300"/>
      <c r="N40" s="300"/>
      <c r="O40" s="301" t="s">
        <v>3976</v>
      </c>
      <c r="P40" s="302"/>
      <c r="Q40" s="247"/>
      <c r="R40" s="247"/>
      <c r="S40" s="247"/>
      <c r="T40" s="247"/>
      <c r="U40" s="247"/>
      <c r="V40" s="247"/>
      <c r="W40" s="247"/>
      <c r="X40" s="247"/>
      <c r="Y40" s="247"/>
      <c r="Z40" s="247"/>
      <c r="AA40" s="247"/>
    </row>
    <row r="41" spans="1:27" ht="15.75" customHeight="1">
      <c r="A41" s="305">
        <v>8</v>
      </c>
      <c r="B41" s="301"/>
      <c r="C41" s="301" t="s">
        <v>3977</v>
      </c>
      <c r="D41" s="301" t="s">
        <v>3978</v>
      </c>
      <c r="E41" s="301" t="s">
        <v>3979</v>
      </c>
      <c r="F41" s="301" t="s">
        <v>3882</v>
      </c>
      <c r="G41" s="301" t="s">
        <v>3882</v>
      </c>
      <c r="H41" s="301">
        <v>2006</v>
      </c>
      <c r="I41" s="301" t="s">
        <v>3851</v>
      </c>
      <c r="J41" s="300"/>
      <c r="K41" s="301" t="s">
        <v>3852</v>
      </c>
      <c r="L41" s="301" t="s">
        <v>3852</v>
      </c>
      <c r="M41" s="300"/>
      <c r="N41" s="300"/>
      <c r="O41" s="301" t="s">
        <v>3980</v>
      </c>
      <c r="P41" s="302"/>
      <c r="Q41" s="247"/>
      <c r="R41" s="247"/>
      <c r="S41" s="247"/>
      <c r="T41" s="247"/>
      <c r="U41" s="247"/>
      <c r="V41" s="247"/>
      <c r="W41" s="247"/>
      <c r="X41" s="247"/>
      <c r="Y41" s="247"/>
      <c r="Z41" s="247"/>
      <c r="AA41" s="247"/>
    </row>
    <row r="42" spans="1:27" ht="15.75" customHeight="1">
      <c r="A42" s="305">
        <v>96</v>
      </c>
      <c r="B42" s="301">
        <v>1</v>
      </c>
      <c r="C42" s="301" t="s">
        <v>1333</v>
      </c>
      <c r="D42" s="301" t="s">
        <v>3981</v>
      </c>
      <c r="E42" s="301" t="s">
        <v>3219</v>
      </c>
      <c r="F42" s="301" t="s">
        <v>3982</v>
      </c>
      <c r="G42" s="301" t="s">
        <v>3983</v>
      </c>
      <c r="H42" s="301">
        <v>2022</v>
      </c>
      <c r="I42" s="301" t="s">
        <v>3851</v>
      </c>
      <c r="J42" s="301" t="s">
        <v>3852</v>
      </c>
      <c r="K42" s="301" t="s">
        <v>3852</v>
      </c>
      <c r="L42" s="300"/>
      <c r="M42" s="300"/>
      <c r="N42" s="300"/>
      <c r="O42" s="301" t="s">
        <v>3984</v>
      </c>
      <c r="P42" s="302"/>
      <c r="Q42" s="247"/>
      <c r="R42" s="247"/>
      <c r="S42" s="247"/>
      <c r="T42" s="247"/>
      <c r="U42" s="247"/>
      <c r="V42" s="247"/>
      <c r="W42" s="247"/>
      <c r="X42" s="247"/>
      <c r="Y42" s="247"/>
      <c r="Z42" s="247"/>
      <c r="AA42" s="247"/>
    </row>
    <row r="43" spans="1:27" ht="15.75" customHeight="1">
      <c r="A43" s="305">
        <v>32</v>
      </c>
      <c r="B43" s="301"/>
      <c r="C43" s="301" t="s">
        <v>3985</v>
      </c>
      <c r="D43" s="301" t="s">
        <v>3986</v>
      </c>
      <c r="E43" s="301" t="s">
        <v>3987</v>
      </c>
      <c r="F43" s="301" t="s">
        <v>1078</v>
      </c>
      <c r="G43" s="301" t="s">
        <v>1078</v>
      </c>
      <c r="H43" s="301">
        <v>2015</v>
      </c>
      <c r="I43" s="301" t="s">
        <v>3851</v>
      </c>
      <c r="J43" s="300"/>
      <c r="K43" s="301" t="s">
        <v>3852</v>
      </c>
      <c r="L43" s="300"/>
      <c r="M43" s="300"/>
      <c r="N43" s="300"/>
      <c r="O43" s="301" t="s">
        <v>3988</v>
      </c>
      <c r="P43" s="302"/>
      <c r="Q43" s="247"/>
      <c r="R43" s="247"/>
      <c r="S43" s="247"/>
      <c r="T43" s="247"/>
      <c r="U43" s="247"/>
      <c r="V43" s="247"/>
      <c r="W43" s="247"/>
      <c r="X43" s="247"/>
      <c r="Y43" s="247"/>
      <c r="Z43" s="247"/>
      <c r="AA43" s="247"/>
    </row>
    <row r="44" spans="1:27" ht="15.75" customHeight="1">
      <c r="A44" s="305">
        <v>64</v>
      </c>
      <c r="B44" s="301"/>
      <c r="C44" s="301" t="s">
        <v>3989</v>
      </c>
      <c r="D44" s="301" t="s">
        <v>3990</v>
      </c>
      <c r="E44" s="301" t="s">
        <v>3671</v>
      </c>
      <c r="F44" s="301" t="s">
        <v>1078</v>
      </c>
      <c r="G44" s="301" t="s">
        <v>1078</v>
      </c>
      <c r="H44" s="301">
        <v>2019</v>
      </c>
      <c r="I44" s="301" t="s">
        <v>3862</v>
      </c>
      <c r="J44" s="300"/>
      <c r="K44" s="300"/>
      <c r="L44" s="300"/>
      <c r="M44" s="301" t="s">
        <v>3852</v>
      </c>
      <c r="N44" s="300"/>
      <c r="O44" s="301" t="s">
        <v>3991</v>
      </c>
      <c r="P44" s="302"/>
      <c r="Q44" s="247"/>
      <c r="R44" s="247"/>
      <c r="S44" s="247"/>
      <c r="T44" s="247"/>
      <c r="U44" s="247"/>
      <c r="V44" s="247"/>
      <c r="W44" s="247"/>
      <c r="X44" s="247"/>
      <c r="Y44" s="247"/>
      <c r="Z44" s="247"/>
      <c r="AA44" s="247"/>
    </row>
    <row r="45" spans="1:27" ht="15.75" customHeight="1">
      <c r="A45" s="305">
        <v>65</v>
      </c>
      <c r="B45" s="301">
        <v>1</v>
      </c>
      <c r="C45" s="301" t="s">
        <v>3674</v>
      </c>
      <c r="D45" s="301" t="s">
        <v>3992</v>
      </c>
      <c r="E45" s="301" t="s">
        <v>3671</v>
      </c>
      <c r="F45" s="301" t="s">
        <v>1078</v>
      </c>
      <c r="G45" s="301" t="s">
        <v>1078</v>
      </c>
      <c r="H45" s="301">
        <v>2019</v>
      </c>
      <c r="I45" s="301" t="s">
        <v>3851</v>
      </c>
      <c r="J45" s="301" t="s">
        <v>3852</v>
      </c>
      <c r="K45" s="301" t="s">
        <v>3852</v>
      </c>
      <c r="L45" s="300"/>
      <c r="M45" s="301" t="s">
        <v>3852</v>
      </c>
      <c r="N45" s="300"/>
      <c r="O45" s="301" t="s">
        <v>3993</v>
      </c>
      <c r="P45" s="302"/>
      <c r="Q45" s="247"/>
      <c r="R45" s="247"/>
      <c r="S45" s="247"/>
      <c r="T45" s="247"/>
      <c r="U45" s="247"/>
      <c r="V45" s="247"/>
      <c r="W45" s="247"/>
      <c r="X45" s="247"/>
      <c r="Y45" s="247"/>
      <c r="Z45" s="247"/>
      <c r="AA45" s="247"/>
    </row>
    <row r="46" spans="1:27" ht="15.75" customHeight="1">
      <c r="A46" s="305">
        <v>70</v>
      </c>
      <c r="B46" s="301"/>
      <c r="C46" s="301" t="s">
        <v>3994</v>
      </c>
      <c r="D46" s="301" t="s">
        <v>3995</v>
      </c>
      <c r="E46" s="301" t="s">
        <v>3671</v>
      </c>
      <c r="F46" s="301" t="s">
        <v>1078</v>
      </c>
      <c r="G46" s="301" t="s">
        <v>1078</v>
      </c>
      <c r="H46" s="301">
        <v>2020</v>
      </c>
      <c r="I46" s="301" t="s">
        <v>3862</v>
      </c>
      <c r="J46" s="301" t="s">
        <v>3852</v>
      </c>
      <c r="K46" s="300"/>
      <c r="L46" s="300"/>
      <c r="M46" s="300"/>
      <c r="N46" s="300"/>
      <c r="O46" s="301" t="s">
        <v>3996</v>
      </c>
      <c r="P46" s="302"/>
      <c r="Q46" s="247"/>
      <c r="R46" s="247"/>
      <c r="S46" s="247"/>
      <c r="T46" s="247"/>
      <c r="U46" s="247"/>
      <c r="V46" s="247"/>
      <c r="W46" s="247"/>
      <c r="X46" s="247"/>
      <c r="Y46" s="247"/>
      <c r="Z46" s="247"/>
      <c r="AA46" s="247"/>
    </row>
    <row r="47" spans="1:27" ht="15.75" customHeight="1">
      <c r="A47" s="305">
        <v>57</v>
      </c>
      <c r="B47" s="301"/>
      <c r="C47" s="301" t="s">
        <v>3997</v>
      </c>
      <c r="D47" s="301" t="s">
        <v>3998</v>
      </c>
      <c r="E47" s="301" t="s">
        <v>3999</v>
      </c>
      <c r="F47" s="301" t="s">
        <v>4000</v>
      </c>
      <c r="G47" s="301" t="s">
        <v>1078</v>
      </c>
      <c r="H47" s="301">
        <v>2018</v>
      </c>
      <c r="I47" s="301" t="s">
        <v>3851</v>
      </c>
      <c r="J47" s="301" t="s">
        <v>3852</v>
      </c>
      <c r="K47" s="301" t="s">
        <v>3852</v>
      </c>
      <c r="L47" s="300"/>
      <c r="M47" s="300"/>
      <c r="N47" s="300"/>
      <c r="O47" s="301" t="s">
        <v>4001</v>
      </c>
      <c r="P47" s="302"/>
      <c r="Q47" s="247"/>
      <c r="R47" s="247"/>
      <c r="S47" s="247"/>
      <c r="T47" s="247"/>
      <c r="U47" s="247"/>
      <c r="V47" s="247"/>
      <c r="W47" s="247"/>
      <c r="X47" s="247"/>
      <c r="Y47" s="247"/>
      <c r="Z47" s="247"/>
      <c r="AA47" s="247"/>
    </row>
    <row r="48" spans="1:27" ht="15.75" customHeight="1">
      <c r="A48" s="305">
        <v>29</v>
      </c>
      <c r="B48" s="301"/>
      <c r="C48" s="301" t="s">
        <v>4002</v>
      </c>
      <c r="D48" s="301" t="s">
        <v>4003</v>
      </c>
      <c r="E48" s="301" t="s">
        <v>4004</v>
      </c>
      <c r="F48" s="301" t="s">
        <v>1078</v>
      </c>
      <c r="G48" s="301" t="s">
        <v>1078</v>
      </c>
      <c r="H48" s="301">
        <v>2014</v>
      </c>
      <c r="I48" s="301" t="s">
        <v>3851</v>
      </c>
      <c r="J48" s="301" t="s">
        <v>3852</v>
      </c>
      <c r="K48" s="300"/>
      <c r="L48" s="300"/>
      <c r="M48" s="300"/>
      <c r="N48" s="300"/>
      <c r="O48" s="301" t="s">
        <v>4005</v>
      </c>
      <c r="P48" s="302"/>
      <c r="Q48" s="247"/>
      <c r="R48" s="247"/>
      <c r="S48" s="247"/>
      <c r="T48" s="247"/>
      <c r="U48" s="247"/>
      <c r="V48" s="247"/>
      <c r="W48" s="247"/>
      <c r="X48" s="247"/>
      <c r="Y48" s="247"/>
      <c r="Z48" s="247"/>
      <c r="AA48" s="247"/>
    </row>
    <row r="49" spans="1:27" ht="15.75" customHeight="1">
      <c r="A49" s="305">
        <v>98</v>
      </c>
      <c r="B49" s="301"/>
      <c r="C49" s="301" t="s">
        <v>4006</v>
      </c>
      <c r="D49" s="301" t="s">
        <v>4007</v>
      </c>
      <c r="E49" s="301" t="s">
        <v>4004</v>
      </c>
      <c r="F49" s="301" t="s">
        <v>1078</v>
      </c>
      <c r="G49" s="301" t="s">
        <v>1078</v>
      </c>
      <c r="H49" s="301">
        <v>2022</v>
      </c>
      <c r="I49" s="301" t="s">
        <v>3851</v>
      </c>
      <c r="J49" s="301" t="s">
        <v>3852</v>
      </c>
      <c r="K49" s="301" t="s">
        <v>3852</v>
      </c>
      <c r="L49" s="300"/>
      <c r="M49" s="300"/>
      <c r="N49" s="300"/>
      <c r="O49" s="301" t="s">
        <v>4008</v>
      </c>
      <c r="P49" s="302"/>
      <c r="Q49" s="247"/>
      <c r="R49" s="247"/>
      <c r="S49" s="247"/>
      <c r="T49" s="247"/>
      <c r="U49" s="247"/>
      <c r="V49" s="247"/>
      <c r="W49" s="247"/>
      <c r="X49" s="247"/>
      <c r="Y49" s="247"/>
      <c r="Z49" s="247"/>
      <c r="AA49" s="247"/>
    </row>
    <row r="50" spans="1:27" ht="15.75" customHeight="1">
      <c r="A50" s="305">
        <v>51</v>
      </c>
      <c r="B50" s="301"/>
      <c r="C50" s="301" t="s">
        <v>4009</v>
      </c>
      <c r="D50" s="301" t="s">
        <v>4010</v>
      </c>
      <c r="E50" s="301" t="s">
        <v>4011</v>
      </c>
      <c r="F50" s="301" t="s">
        <v>1078</v>
      </c>
      <c r="G50" s="301" t="s">
        <v>1078</v>
      </c>
      <c r="H50" s="301">
        <v>2018</v>
      </c>
      <c r="I50" s="301" t="s">
        <v>3851</v>
      </c>
      <c r="J50" s="300"/>
      <c r="K50" s="301" t="s">
        <v>3852</v>
      </c>
      <c r="L50" s="300"/>
      <c r="M50" s="300"/>
      <c r="N50" s="300"/>
      <c r="O50" s="301" t="s">
        <v>4012</v>
      </c>
      <c r="P50" s="302"/>
      <c r="Q50" s="247"/>
      <c r="R50" s="247"/>
      <c r="S50" s="247"/>
      <c r="T50" s="247"/>
      <c r="U50" s="247"/>
      <c r="V50" s="247"/>
      <c r="W50" s="247"/>
      <c r="X50" s="247"/>
      <c r="Y50" s="247"/>
      <c r="Z50" s="247"/>
      <c r="AA50" s="247"/>
    </row>
    <row r="51" spans="1:27" ht="15.75" customHeight="1">
      <c r="A51" s="305">
        <v>5</v>
      </c>
      <c r="B51" s="301"/>
      <c r="C51" s="301" t="s">
        <v>4013</v>
      </c>
      <c r="D51" s="301" t="s">
        <v>4014</v>
      </c>
      <c r="E51" s="301" t="s">
        <v>4015</v>
      </c>
      <c r="F51" s="301" t="s">
        <v>1078</v>
      </c>
      <c r="G51" s="301" t="s">
        <v>1078</v>
      </c>
      <c r="H51" s="301">
        <v>2004</v>
      </c>
      <c r="I51" s="301" t="s">
        <v>3862</v>
      </c>
      <c r="J51" s="301" t="s">
        <v>3852</v>
      </c>
      <c r="K51" s="300"/>
      <c r="L51" s="300"/>
      <c r="M51" s="300"/>
      <c r="N51" s="300"/>
      <c r="O51" s="301" t="s">
        <v>4016</v>
      </c>
      <c r="P51" s="302"/>
      <c r="Q51" s="247"/>
      <c r="R51" s="247"/>
      <c r="S51" s="247"/>
      <c r="T51" s="247"/>
      <c r="U51" s="247"/>
      <c r="V51" s="247"/>
      <c r="W51" s="247"/>
      <c r="X51" s="247"/>
      <c r="Y51" s="247"/>
      <c r="Z51" s="247"/>
      <c r="AA51" s="247"/>
    </row>
    <row r="52" spans="1:27" ht="15.75" customHeight="1">
      <c r="A52" s="305">
        <v>95</v>
      </c>
      <c r="B52" s="301">
        <v>1</v>
      </c>
      <c r="C52" s="301" t="s">
        <v>1155</v>
      </c>
      <c r="D52" s="301" t="s">
        <v>4017</v>
      </c>
      <c r="E52" s="301" t="s">
        <v>2791</v>
      </c>
      <c r="F52" s="301" t="s">
        <v>1078</v>
      </c>
      <c r="G52" s="301" t="s">
        <v>1078</v>
      </c>
      <c r="H52" s="301">
        <v>2021</v>
      </c>
      <c r="I52" s="301" t="s">
        <v>3851</v>
      </c>
      <c r="J52" s="301" t="s">
        <v>3852</v>
      </c>
      <c r="K52" s="301" t="s">
        <v>3852</v>
      </c>
      <c r="L52" s="300"/>
      <c r="M52" s="300"/>
      <c r="N52" s="300"/>
      <c r="O52" s="301" t="s">
        <v>4018</v>
      </c>
      <c r="P52" s="302"/>
      <c r="Q52" s="247"/>
      <c r="R52" s="247"/>
      <c r="S52" s="247"/>
      <c r="T52" s="247"/>
      <c r="U52" s="247"/>
      <c r="V52" s="247"/>
      <c r="W52" s="247"/>
      <c r="X52" s="247"/>
      <c r="Y52" s="247"/>
      <c r="Z52" s="247"/>
      <c r="AA52" s="247"/>
    </row>
    <row r="53" spans="1:27" ht="15.75" customHeight="1">
      <c r="A53" s="305">
        <v>104</v>
      </c>
      <c r="B53" s="301">
        <v>1</v>
      </c>
      <c r="C53" s="301" t="s">
        <v>3524</v>
      </c>
      <c r="D53" s="301" t="s">
        <v>4019</v>
      </c>
      <c r="E53" s="301" t="s">
        <v>2791</v>
      </c>
      <c r="F53" s="301" t="s">
        <v>1078</v>
      </c>
      <c r="G53" s="301" t="s">
        <v>1078</v>
      </c>
      <c r="H53" s="301">
        <v>2022</v>
      </c>
      <c r="I53" s="301" t="s">
        <v>3851</v>
      </c>
      <c r="J53" s="301" t="s">
        <v>3852</v>
      </c>
      <c r="K53" s="301" t="s">
        <v>3852</v>
      </c>
      <c r="L53" s="301" t="s">
        <v>3852</v>
      </c>
      <c r="M53" s="300"/>
      <c r="N53" s="300"/>
      <c r="O53" s="301" t="s">
        <v>4020</v>
      </c>
      <c r="P53" s="302"/>
      <c r="Q53" s="247"/>
      <c r="R53" s="247"/>
      <c r="S53" s="247"/>
      <c r="T53" s="247"/>
      <c r="U53" s="247"/>
      <c r="V53" s="247"/>
      <c r="W53" s="247"/>
      <c r="X53" s="247"/>
      <c r="Y53" s="247"/>
      <c r="Z53" s="247"/>
      <c r="AA53" s="247"/>
    </row>
    <row r="54" spans="1:27" ht="15.75" customHeight="1">
      <c r="A54" s="305">
        <v>79</v>
      </c>
      <c r="B54" s="301"/>
      <c r="C54" s="301" t="s">
        <v>4021</v>
      </c>
      <c r="D54" s="301" t="s">
        <v>4022</v>
      </c>
      <c r="E54" s="301" t="s">
        <v>2791</v>
      </c>
      <c r="F54" s="301" t="s">
        <v>1078</v>
      </c>
      <c r="G54" s="301" t="s">
        <v>1078</v>
      </c>
      <c r="H54" s="301">
        <v>2020</v>
      </c>
      <c r="I54" s="301" t="s">
        <v>3862</v>
      </c>
      <c r="J54" s="301" t="s">
        <v>3852</v>
      </c>
      <c r="K54" s="301" t="s">
        <v>3852</v>
      </c>
      <c r="L54" s="300"/>
      <c r="M54" s="300"/>
      <c r="N54" s="300"/>
      <c r="O54" s="301" t="s">
        <v>4023</v>
      </c>
      <c r="P54" s="302"/>
      <c r="Q54" s="247"/>
      <c r="R54" s="247"/>
      <c r="S54" s="247"/>
      <c r="T54" s="247"/>
      <c r="U54" s="247"/>
      <c r="V54" s="247"/>
      <c r="W54" s="247"/>
      <c r="X54" s="247"/>
      <c r="Y54" s="247"/>
      <c r="Z54" s="247"/>
      <c r="AA54" s="247"/>
    </row>
    <row r="55" spans="1:27" ht="15.75" customHeight="1">
      <c r="A55" s="305">
        <v>81</v>
      </c>
      <c r="B55" s="301"/>
      <c r="C55" s="301" t="s">
        <v>4024</v>
      </c>
      <c r="D55" s="301" t="s">
        <v>4025</v>
      </c>
      <c r="E55" s="301" t="s">
        <v>2791</v>
      </c>
      <c r="F55" s="301" t="s">
        <v>1078</v>
      </c>
      <c r="G55" s="301" t="s">
        <v>1078</v>
      </c>
      <c r="H55" s="301">
        <v>2020</v>
      </c>
      <c r="I55" s="301" t="s">
        <v>3862</v>
      </c>
      <c r="J55" s="300"/>
      <c r="K55" s="301" t="s">
        <v>3852</v>
      </c>
      <c r="L55" s="300"/>
      <c r="M55" s="300"/>
      <c r="N55" s="300"/>
      <c r="O55" s="301" t="s">
        <v>4026</v>
      </c>
      <c r="P55" s="302"/>
      <c r="Q55" s="247"/>
      <c r="R55" s="247"/>
      <c r="S55" s="247"/>
      <c r="T55" s="247"/>
      <c r="U55" s="247"/>
      <c r="V55" s="247"/>
      <c r="W55" s="247"/>
      <c r="X55" s="247"/>
      <c r="Y55" s="247"/>
      <c r="Z55" s="247"/>
      <c r="AA55" s="247"/>
    </row>
    <row r="56" spans="1:27" ht="15.75" customHeight="1">
      <c r="A56" s="305">
        <v>94</v>
      </c>
      <c r="B56" s="301"/>
      <c r="C56" s="301" t="s">
        <v>4027</v>
      </c>
      <c r="D56" s="301" t="s">
        <v>4028</v>
      </c>
      <c r="E56" s="301" t="s">
        <v>2791</v>
      </c>
      <c r="F56" s="301" t="s">
        <v>1078</v>
      </c>
      <c r="G56" s="301" t="s">
        <v>1078</v>
      </c>
      <c r="H56" s="301">
        <v>2021</v>
      </c>
      <c r="I56" s="301" t="s">
        <v>3851</v>
      </c>
      <c r="J56" s="300"/>
      <c r="K56" s="300"/>
      <c r="L56" s="300"/>
      <c r="M56" s="300"/>
      <c r="N56" s="300"/>
      <c r="O56" s="301" t="s">
        <v>3912</v>
      </c>
      <c r="P56" s="302"/>
      <c r="Q56" s="247"/>
      <c r="R56" s="247"/>
      <c r="S56" s="247"/>
      <c r="T56" s="247"/>
      <c r="U56" s="247"/>
      <c r="V56" s="247"/>
      <c r="W56" s="247"/>
      <c r="X56" s="247"/>
      <c r="Y56" s="247"/>
      <c r="Z56" s="247"/>
      <c r="AA56" s="247"/>
    </row>
    <row r="57" spans="1:27" ht="15.75" customHeight="1">
      <c r="A57" s="305">
        <v>9</v>
      </c>
      <c r="B57" s="301"/>
      <c r="C57" s="301" t="s">
        <v>4029</v>
      </c>
      <c r="D57" s="301" t="s">
        <v>4030</v>
      </c>
      <c r="E57" s="301" t="s">
        <v>2791</v>
      </c>
      <c r="F57" s="301" t="s">
        <v>1078</v>
      </c>
      <c r="G57" s="301" t="s">
        <v>1078</v>
      </c>
      <c r="H57" s="301">
        <v>2006</v>
      </c>
      <c r="I57" s="301" t="s">
        <v>3851</v>
      </c>
      <c r="J57" s="300"/>
      <c r="K57" s="301" t="s">
        <v>3852</v>
      </c>
      <c r="L57" s="300"/>
      <c r="M57" s="300"/>
      <c r="N57" s="300"/>
      <c r="O57" s="301" t="s">
        <v>4031</v>
      </c>
      <c r="P57" s="302"/>
      <c r="Q57" s="247"/>
      <c r="R57" s="247"/>
      <c r="S57" s="247"/>
      <c r="T57" s="247"/>
      <c r="U57" s="247"/>
      <c r="V57" s="247"/>
      <c r="W57" s="247"/>
      <c r="X57" s="247"/>
      <c r="Y57" s="247"/>
      <c r="Z57" s="247"/>
      <c r="AA57" s="247"/>
    </row>
    <row r="58" spans="1:27" ht="15.75" customHeight="1">
      <c r="A58" s="305">
        <v>100</v>
      </c>
      <c r="B58" s="301">
        <v>1</v>
      </c>
      <c r="C58" s="301" t="s">
        <v>1270</v>
      </c>
      <c r="D58" s="301" t="s">
        <v>4032</v>
      </c>
      <c r="E58" s="301" t="s">
        <v>2791</v>
      </c>
      <c r="F58" s="301" t="s">
        <v>1078</v>
      </c>
      <c r="G58" s="301" t="s">
        <v>1078</v>
      </c>
      <c r="H58" s="301">
        <v>2022</v>
      </c>
      <c r="I58" s="301" t="s">
        <v>3862</v>
      </c>
      <c r="J58" s="301" t="s">
        <v>3852</v>
      </c>
      <c r="K58" s="301" t="s">
        <v>3852</v>
      </c>
      <c r="L58" s="300"/>
      <c r="M58" s="300"/>
      <c r="N58" s="300"/>
      <c r="O58" s="301" t="s">
        <v>4033</v>
      </c>
      <c r="P58" s="302"/>
      <c r="Q58" s="247"/>
      <c r="R58" s="247"/>
      <c r="S58" s="247"/>
      <c r="T58" s="247"/>
      <c r="U58" s="247"/>
      <c r="V58" s="247"/>
      <c r="W58" s="247"/>
      <c r="X58" s="247"/>
      <c r="Y58" s="247"/>
      <c r="Z58" s="247"/>
      <c r="AA58" s="247"/>
    </row>
    <row r="59" spans="1:27" ht="15.75" customHeight="1">
      <c r="A59" s="305">
        <v>105</v>
      </c>
      <c r="B59" s="301"/>
      <c r="C59" s="301" t="s">
        <v>4034</v>
      </c>
      <c r="D59" s="301" t="s">
        <v>4035</v>
      </c>
      <c r="E59" s="301" t="s">
        <v>2791</v>
      </c>
      <c r="F59" s="301" t="s">
        <v>1078</v>
      </c>
      <c r="G59" s="301" t="s">
        <v>1078</v>
      </c>
      <c r="H59" s="301">
        <v>2022</v>
      </c>
      <c r="I59" s="301" t="s">
        <v>3851</v>
      </c>
      <c r="J59" s="301" t="s">
        <v>3852</v>
      </c>
      <c r="K59" s="301" t="s">
        <v>3852</v>
      </c>
      <c r="L59" s="300"/>
      <c r="M59" s="300"/>
      <c r="N59" s="300"/>
      <c r="O59" s="301" t="s">
        <v>4036</v>
      </c>
      <c r="P59" s="302"/>
      <c r="Q59" s="247"/>
      <c r="R59" s="247"/>
      <c r="S59" s="247"/>
      <c r="T59" s="247"/>
      <c r="U59" s="247"/>
      <c r="V59" s="247"/>
      <c r="W59" s="247"/>
      <c r="X59" s="247"/>
      <c r="Y59" s="247"/>
      <c r="Z59" s="247"/>
      <c r="AA59" s="247"/>
    </row>
    <row r="60" spans="1:27" ht="15.75" customHeight="1">
      <c r="A60" s="305">
        <v>16</v>
      </c>
      <c r="B60" s="301"/>
      <c r="C60" s="301" t="s">
        <v>4037</v>
      </c>
      <c r="D60" s="301" t="s">
        <v>4038</v>
      </c>
      <c r="E60" s="301" t="s">
        <v>2791</v>
      </c>
      <c r="F60" s="301" t="s">
        <v>1078</v>
      </c>
      <c r="G60" s="301" t="s">
        <v>1078</v>
      </c>
      <c r="H60" s="301">
        <v>2009</v>
      </c>
      <c r="I60" s="301" t="s">
        <v>3851</v>
      </c>
      <c r="J60" s="301" t="s">
        <v>3852</v>
      </c>
      <c r="K60" s="300"/>
      <c r="L60" s="300"/>
      <c r="M60" s="300"/>
      <c r="N60" s="300"/>
      <c r="O60" s="301" t="s">
        <v>4039</v>
      </c>
      <c r="P60" s="302"/>
      <c r="Q60" s="247"/>
      <c r="R60" s="247"/>
      <c r="S60" s="247"/>
      <c r="T60" s="247"/>
      <c r="U60" s="247"/>
      <c r="V60" s="247"/>
      <c r="W60" s="247"/>
      <c r="X60" s="247"/>
      <c r="Y60" s="247"/>
      <c r="Z60" s="247"/>
      <c r="AA60" s="247"/>
    </row>
    <row r="61" spans="1:27" ht="15.75" customHeight="1">
      <c r="A61" s="305">
        <v>91</v>
      </c>
      <c r="B61" s="301">
        <v>1</v>
      </c>
      <c r="C61" s="301" t="s">
        <v>1061</v>
      </c>
      <c r="D61" s="301" t="s">
        <v>4040</v>
      </c>
      <c r="E61" s="301" t="s">
        <v>2791</v>
      </c>
      <c r="F61" s="301" t="s">
        <v>1078</v>
      </c>
      <c r="G61" s="301" t="s">
        <v>1078</v>
      </c>
      <c r="H61" s="301">
        <v>2021</v>
      </c>
      <c r="I61" s="301" t="s">
        <v>3851</v>
      </c>
      <c r="J61" s="301" t="s">
        <v>3852</v>
      </c>
      <c r="K61" s="301" t="s">
        <v>3852</v>
      </c>
      <c r="L61" s="300"/>
      <c r="M61" s="300"/>
      <c r="N61" s="300"/>
      <c r="O61" s="301" t="s">
        <v>4041</v>
      </c>
      <c r="P61" s="302"/>
      <c r="Q61" s="247"/>
      <c r="R61" s="247"/>
      <c r="S61" s="247"/>
      <c r="T61" s="247"/>
      <c r="U61" s="247"/>
      <c r="V61" s="247"/>
      <c r="W61" s="247"/>
      <c r="X61" s="247"/>
      <c r="Y61" s="247"/>
      <c r="Z61" s="247"/>
      <c r="AA61" s="247"/>
    </row>
    <row r="62" spans="1:27" ht="15.75" customHeight="1">
      <c r="A62" s="305">
        <v>34</v>
      </c>
      <c r="B62" s="301"/>
      <c r="C62" s="301" t="s">
        <v>4042</v>
      </c>
      <c r="D62" s="301" t="s">
        <v>4043</v>
      </c>
      <c r="E62" s="301" t="s">
        <v>2791</v>
      </c>
      <c r="F62" s="301" t="s">
        <v>1078</v>
      </c>
      <c r="G62" s="301" t="s">
        <v>1078</v>
      </c>
      <c r="H62" s="301">
        <v>2015</v>
      </c>
      <c r="I62" s="301" t="s">
        <v>3851</v>
      </c>
      <c r="J62" s="301" t="s">
        <v>3852</v>
      </c>
      <c r="K62" s="300"/>
      <c r="L62" s="300"/>
      <c r="M62" s="300"/>
      <c r="N62" s="300"/>
      <c r="O62" s="301" t="s">
        <v>4044</v>
      </c>
      <c r="P62" s="302"/>
      <c r="Q62" s="247"/>
      <c r="R62" s="247"/>
      <c r="S62" s="247"/>
      <c r="T62" s="247"/>
      <c r="U62" s="247"/>
      <c r="V62" s="247"/>
      <c r="W62" s="247"/>
      <c r="X62" s="247"/>
      <c r="Y62" s="247"/>
      <c r="Z62" s="247"/>
      <c r="AA62" s="247"/>
    </row>
    <row r="63" spans="1:27" ht="15.75" customHeight="1">
      <c r="A63" s="305">
        <v>36</v>
      </c>
      <c r="B63" s="301"/>
      <c r="C63" s="301" t="s">
        <v>4045</v>
      </c>
      <c r="D63" s="301" t="s">
        <v>4046</v>
      </c>
      <c r="E63" s="301" t="s">
        <v>2791</v>
      </c>
      <c r="F63" s="301" t="s">
        <v>1078</v>
      </c>
      <c r="G63" s="301" t="s">
        <v>1078</v>
      </c>
      <c r="H63" s="301">
        <v>2015</v>
      </c>
      <c r="I63" s="301" t="s">
        <v>3862</v>
      </c>
      <c r="J63" s="301" t="s">
        <v>3852</v>
      </c>
      <c r="K63" s="300"/>
      <c r="L63" s="300"/>
      <c r="M63" s="300"/>
      <c r="N63" s="300"/>
      <c r="O63" s="301" t="s">
        <v>4047</v>
      </c>
      <c r="P63" s="302"/>
      <c r="Q63" s="247"/>
      <c r="R63" s="247"/>
      <c r="S63" s="247"/>
      <c r="T63" s="247"/>
      <c r="U63" s="247"/>
      <c r="V63" s="247"/>
      <c r="W63" s="247"/>
      <c r="X63" s="247"/>
      <c r="Y63" s="247"/>
      <c r="Z63" s="247"/>
      <c r="AA63" s="247"/>
    </row>
    <row r="64" spans="1:27" ht="15.75" customHeight="1">
      <c r="A64" s="305">
        <v>92</v>
      </c>
      <c r="B64" s="301"/>
      <c r="C64" s="301" t="s">
        <v>4048</v>
      </c>
      <c r="D64" s="301" t="s">
        <v>4049</v>
      </c>
      <c r="E64" s="301" t="s">
        <v>4050</v>
      </c>
      <c r="F64" s="301" t="s">
        <v>1078</v>
      </c>
      <c r="G64" s="301" t="s">
        <v>1078</v>
      </c>
      <c r="H64" s="301">
        <v>2021</v>
      </c>
      <c r="I64" s="301" t="s">
        <v>3857</v>
      </c>
      <c r="J64" s="300"/>
      <c r="K64" s="301" t="s">
        <v>3852</v>
      </c>
      <c r="L64" s="300"/>
      <c r="M64" s="300"/>
      <c r="N64" s="300"/>
      <c r="O64" s="301" t="s">
        <v>4051</v>
      </c>
      <c r="P64" s="302"/>
      <c r="Q64" s="247"/>
      <c r="R64" s="247"/>
      <c r="S64" s="247"/>
      <c r="T64" s="247"/>
      <c r="U64" s="247"/>
      <c r="V64" s="247"/>
      <c r="W64" s="247"/>
      <c r="X64" s="247"/>
      <c r="Y64" s="247"/>
      <c r="Z64" s="247"/>
      <c r="AA64" s="247"/>
    </row>
    <row r="65" spans="1:27" ht="15.75" customHeight="1">
      <c r="A65" s="305">
        <v>108</v>
      </c>
      <c r="B65" s="301">
        <v>1</v>
      </c>
      <c r="C65" s="301" t="s">
        <v>3711</v>
      </c>
      <c r="D65" s="301" t="s">
        <v>4052</v>
      </c>
      <c r="E65" s="301" t="s">
        <v>4050</v>
      </c>
      <c r="F65" s="301" t="s">
        <v>1078</v>
      </c>
      <c r="G65" s="301" t="s">
        <v>1078</v>
      </c>
      <c r="H65" s="301">
        <v>2022</v>
      </c>
      <c r="I65" s="301" t="s">
        <v>3862</v>
      </c>
      <c r="J65" s="300"/>
      <c r="K65" s="301" t="s">
        <v>3852</v>
      </c>
      <c r="L65" s="300"/>
      <c r="M65" s="300"/>
      <c r="N65" s="300"/>
      <c r="O65" s="301" t="s">
        <v>4053</v>
      </c>
      <c r="P65" s="302"/>
      <c r="Q65" s="247"/>
      <c r="R65" s="247"/>
      <c r="S65" s="247"/>
      <c r="T65" s="247"/>
      <c r="U65" s="247"/>
      <c r="V65" s="247"/>
      <c r="W65" s="247"/>
      <c r="X65" s="247"/>
      <c r="Y65" s="247"/>
      <c r="Z65" s="247"/>
      <c r="AA65" s="247"/>
    </row>
    <row r="66" spans="1:27" ht="15.75" customHeight="1">
      <c r="A66" s="305">
        <v>39</v>
      </c>
      <c r="B66" s="301"/>
      <c r="C66" s="301" t="s">
        <v>4054</v>
      </c>
      <c r="D66" s="301" t="s">
        <v>4055</v>
      </c>
      <c r="E66" s="301" t="s">
        <v>4050</v>
      </c>
      <c r="F66" s="301" t="s">
        <v>1078</v>
      </c>
      <c r="G66" s="301" t="s">
        <v>1078</v>
      </c>
      <c r="H66" s="301">
        <v>2016</v>
      </c>
      <c r="I66" s="301" t="s">
        <v>3862</v>
      </c>
      <c r="J66" s="300"/>
      <c r="K66" s="300"/>
      <c r="L66" s="300"/>
      <c r="M66" s="300"/>
      <c r="N66" s="300"/>
      <c r="O66" s="301" t="s">
        <v>3912</v>
      </c>
      <c r="P66" s="302"/>
      <c r="Q66" s="247"/>
      <c r="R66" s="247"/>
      <c r="S66" s="247"/>
      <c r="T66" s="247"/>
      <c r="U66" s="247"/>
      <c r="V66" s="247"/>
      <c r="W66" s="247"/>
      <c r="X66" s="247"/>
      <c r="Y66" s="247"/>
      <c r="Z66" s="247"/>
      <c r="AA66" s="247"/>
    </row>
    <row r="67" spans="1:27" ht="15.75" customHeight="1">
      <c r="A67" s="305">
        <v>58</v>
      </c>
      <c r="B67" s="301">
        <v>1</v>
      </c>
      <c r="C67" s="301" t="s">
        <v>4056</v>
      </c>
      <c r="D67" s="301" t="s">
        <v>4057</v>
      </c>
      <c r="E67" s="301" t="s">
        <v>4050</v>
      </c>
      <c r="F67" s="301" t="s">
        <v>1078</v>
      </c>
      <c r="G67" s="301" t="s">
        <v>1078</v>
      </c>
      <c r="H67" s="301">
        <v>2018</v>
      </c>
      <c r="I67" s="301" t="s">
        <v>3857</v>
      </c>
      <c r="J67" s="301" t="s">
        <v>3852</v>
      </c>
      <c r="K67" s="301" t="s">
        <v>3852</v>
      </c>
      <c r="L67" s="300"/>
      <c r="M67" s="300"/>
      <c r="N67" s="300"/>
      <c r="O67" s="301" t="s">
        <v>4058</v>
      </c>
      <c r="P67" s="302"/>
      <c r="Q67" s="247"/>
      <c r="R67" s="247"/>
      <c r="S67" s="247"/>
      <c r="T67" s="247"/>
      <c r="U67" s="247"/>
      <c r="V67" s="247"/>
      <c r="W67" s="247"/>
      <c r="X67" s="247"/>
      <c r="Y67" s="247"/>
      <c r="Z67" s="247"/>
      <c r="AA67" s="247"/>
    </row>
    <row r="68" spans="1:27" ht="15.75" customHeight="1">
      <c r="A68" s="305">
        <v>31</v>
      </c>
      <c r="B68" s="301"/>
      <c r="C68" s="301" t="s">
        <v>4059</v>
      </c>
      <c r="D68" s="301" t="s">
        <v>4060</v>
      </c>
      <c r="E68" s="301" t="s">
        <v>4050</v>
      </c>
      <c r="F68" s="301" t="s">
        <v>1078</v>
      </c>
      <c r="G68" s="301" t="s">
        <v>1078</v>
      </c>
      <c r="H68" s="301">
        <v>2014</v>
      </c>
      <c r="I68" s="301" t="s">
        <v>3862</v>
      </c>
      <c r="J68" s="301" t="s">
        <v>3852</v>
      </c>
      <c r="K68" s="300"/>
      <c r="L68" s="300"/>
      <c r="M68" s="300"/>
      <c r="N68" s="300"/>
      <c r="O68" s="301" t="s">
        <v>4061</v>
      </c>
      <c r="P68" s="302"/>
      <c r="Q68" s="247"/>
      <c r="R68" s="247"/>
      <c r="S68" s="247"/>
      <c r="T68" s="247"/>
      <c r="U68" s="247"/>
      <c r="V68" s="247"/>
      <c r="W68" s="247"/>
      <c r="X68" s="247"/>
      <c r="Y68" s="247"/>
      <c r="Z68" s="247"/>
      <c r="AA68" s="247"/>
    </row>
    <row r="69" spans="1:27" ht="15.75" customHeight="1">
      <c r="A69" s="305">
        <v>107</v>
      </c>
      <c r="B69" s="301"/>
      <c r="C69" s="301" t="s">
        <v>4062</v>
      </c>
      <c r="D69" s="301" t="s">
        <v>4063</v>
      </c>
      <c r="E69" s="301" t="s">
        <v>4050</v>
      </c>
      <c r="F69" s="301" t="s">
        <v>1078</v>
      </c>
      <c r="G69" s="301" t="s">
        <v>1078</v>
      </c>
      <c r="H69" s="301">
        <v>2022</v>
      </c>
      <c r="I69" s="301" t="s">
        <v>3862</v>
      </c>
      <c r="J69" s="301" t="s">
        <v>3852</v>
      </c>
      <c r="K69" s="300"/>
      <c r="L69" s="300"/>
      <c r="M69" s="300"/>
      <c r="N69" s="300"/>
      <c r="O69" s="301" t="s">
        <v>4064</v>
      </c>
      <c r="P69" s="302"/>
      <c r="Q69" s="247"/>
      <c r="R69" s="247"/>
      <c r="S69" s="247"/>
      <c r="T69" s="247"/>
      <c r="U69" s="247"/>
      <c r="V69" s="247"/>
      <c r="W69" s="247"/>
      <c r="X69" s="247"/>
      <c r="Y69" s="247"/>
      <c r="Z69" s="247"/>
      <c r="AA69" s="247"/>
    </row>
    <row r="70" spans="1:27" ht="15.75" customHeight="1">
      <c r="A70" s="305">
        <v>78</v>
      </c>
      <c r="B70" s="301"/>
      <c r="C70" s="301" t="s">
        <v>4065</v>
      </c>
      <c r="D70" s="301" t="s">
        <v>4066</v>
      </c>
      <c r="E70" s="301" t="s">
        <v>4050</v>
      </c>
      <c r="F70" s="301" t="s">
        <v>1078</v>
      </c>
      <c r="G70" s="301" t="s">
        <v>1078</v>
      </c>
      <c r="H70" s="301">
        <v>2020</v>
      </c>
      <c r="I70" s="301" t="s">
        <v>3862</v>
      </c>
      <c r="J70" s="301" t="s">
        <v>3852</v>
      </c>
      <c r="K70" s="301" t="s">
        <v>3852</v>
      </c>
      <c r="L70" s="300"/>
      <c r="M70" s="300"/>
      <c r="N70" s="300"/>
      <c r="O70" s="301" t="s">
        <v>4067</v>
      </c>
      <c r="P70" s="302"/>
      <c r="Q70" s="247"/>
      <c r="R70" s="247"/>
      <c r="S70" s="247"/>
      <c r="T70" s="247"/>
      <c r="U70" s="247"/>
      <c r="V70" s="247"/>
      <c r="W70" s="247"/>
      <c r="X70" s="247"/>
      <c r="Y70" s="247"/>
      <c r="Z70" s="247"/>
      <c r="AA70" s="247"/>
    </row>
    <row r="71" spans="1:27" ht="13" customHeight="1">
      <c r="A71" s="305">
        <v>106</v>
      </c>
      <c r="B71" s="301">
        <v>1</v>
      </c>
      <c r="C71" s="301" t="s">
        <v>4068</v>
      </c>
      <c r="D71" s="301" t="s">
        <v>4069</v>
      </c>
      <c r="E71" s="301" t="s">
        <v>4050</v>
      </c>
      <c r="F71" s="301" t="s">
        <v>1078</v>
      </c>
      <c r="G71" s="301" t="s">
        <v>1078</v>
      </c>
      <c r="H71" s="301">
        <v>2022</v>
      </c>
      <c r="I71" s="301" t="s">
        <v>3862</v>
      </c>
      <c r="J71" s="301" t="s">
        <v>3852</v>
      </c>
      <c r="K71" s="301" t="s">
        <v>3852</v>
      </c>
      <c r="L71" s="300"/>
      <c r="M71" s="300"/>
      <c r="N71" s="300"/>
      <c r="O71" s="301" t="s">
        <v>4070</v>
      </c>
      <c r="P71" s="302"/>
      <c r="Q71" s="247"/>
      <c r="R71" s="247"/>
      <c r="S71" s="247"/>
      <c r="T71" s="247"/>
      <c r="U71" s="247"/>
      <c r="V71" s="247"/>
      <c r="W71" s="247"/>
      <c r="X71" s="247"/>
      <c r="Y71" s="247"/>
      <c r="Z71" s="247"/>
      <c r="AA71" s="247"/>
    </row>
    <row r="72" spans="1:27" ht="13" customHeight="1">
      <c r="A72" s="305">
        <v>77</v>
      </c>
      <c r="B72" s="301"/>
      <c r="C72" s="301" t="s">
        <v>4071</v>
      </c>
      <c r="D72" s="301" t="s">
        <v>4072</v>
      </c>
      <c r="E72" s="301" t="s">
        <v>4050</v>
      </c>
      <c r="F72" s="301" t="s">
        <v>1078</v>
      </c>
      <c r="G72" s="301" t="s">
        <v>1078</v>
      </c>
      <c r="H72" s="301">
        <v>2020</v>
      </c>
      <c r="I72" s="301" t="s">
        <v>3862</v>
      </c>
      <c r="J72" s="301" t="s">
        <v>3852</v>
      </c>
      <c r="K72" s="300"/>
      <c r="L72" s="301" t="s">
        <v>3852</v>
      </c>
      <c r="M72" s="300"/>
      <c r="N72" s="300"/>
      <c r="O72" s="301" t="s">
        <v>4073</v>
      </c>
      <c r="P72" s="302"/>
      <c r="Q72" s="247"/>
      <c r="R72" s="247"/>
      <c r="S72" s="247"/>
      <c r="T72" s="247"/>
      <c r="U72" s="247"/>
      <c r="V72" s="247"/>
      <c r="W72" s="247"/>
      <c r="X72" s="247"/>
      <c r="Y72" s="247"/>
      <c r="Z72" s="247"/>
      <c r="AA72" s="247"/>
    </row>
    <row r="73" spans="1:27" ht="13" customHeight="1">
      <c r="A73" s="305">
        <v>30</v>
      </c>
      <c r="B73" s="301"/>
      <c r="C73" s="301" t="s">
        <v>4074</v>
      </c>
      <c r="D73" s="301" t="s">
        <v>4075</v>
      </c>
      <c r="E73" s="301" t="s">
        <v>4050</v>
      </c>
      <c r="F73" s="301" t="s">
        <v>1078</v>
      </c>
      <c r="G73" s="301" t="s">
        <v>1078</v>
      </c>
      <c r="H73" s="301">
        <v>2014</v>
      </c>
      <c r="I73" s="301" t="s">
        <v>3851</v>
      </c>
      <c r="J73" s="301" t="s">
        <v>3852</v>
      </c>
      <c r="K73" s="300"/>
      <c r="L73" s="300"/>
      <c r="M73" s="300"/>
      <c r="N73" s="300"/>
      <c r="O73" s="301" t="s">
        <v>4076</v>
      </c>
      <c r="P73" s="302"/>
      <c r="Q73" s="247"/>
      <c r="R73" s="247"/>
      <c r="S73" s="247"/>
      <c r="T73" s="247"/>
      <c r="U73" s="247"/>
      <c r="V73" s="247"/>
      <c r="W73" s="247"/>
      <c r="X73" s="247"/>
      <c r="Y73" s="247"/>
      <c r="Z73" s="247"/>
      <c r="AA73" s="247"/>
    </row>
    <row r="74" spans="1:27" ht="13" customHeight="1">
      <c r="A74" s="305">
        <v>35</v>
      </c>
      <c r="B74" s="301"/>
      <c r="C74" s="301" t="s">
        <v>4077</v>
      </c>
      <c r="D74" s="301" t="s">
        <v>4078</v>
      </c>
      <c r="E74" s="301" t="s">
        <v>4050</v>
      </c>
      <c r="F74" s="301" t="s">
        <v>1078</v>
      </c>
      <c r="G74" s="301" t="s">
        <v>1078</v>
      </c>
      <c r="H74" s="301">
        <v>2015</v>
      </c>
      <c r="I74" s="301" t="s">
        <v>3862</v>
      </c>
      <c r="J74" s="301" t="s">
        <v>3852</v>
      </c>
      <c r="K74" s="300"/>
      <c r="L74" s="300"/>
      <c r="M74" s="300"/>
      <c r="N74" s="300"/>
      <c r="O74" s="301" t="s">
        <v>4079</v>
      </c>
      <c r="P74" s="302"/>
      <c r="Q74" s="247"/>
      <c r="R74" s="247"/>
      <c r="S74" s="247"/>
      <c r="T74" s="247"/>
      <c r="U74" s="247"/>
      <c r="V74" s="247"/>
      <c r="W74" s="247"/>
      <c r="X74" s="247"/>
      <c r="Y74" s="247"/>
      <c r="Z74" s="247"/>
      <c r="AA74" s="247"/>
    </row>
    <row r="75" spans="1:27" ht="13" customHeight="1">
      <c r="A75" s="305">
        <v>2</v>
      </c>
      <c r="B75" s="301"/>
      <c r="C75" s="301" t="s">
        <v>4080</v>
      </c>
      <c r="D75" s="301" t="s">
        <v>4081</v>
      </c>
      <c r="E75" s="301" t="s">
        <v>4082</v>
      </c>
      <c r="F75" s="301" t="s">
        <v>1078</v>
      </c>
      <c r="G75" s="301" t="s">
        <v>1078</v>
      </c>
      <c r="H75" s="301">
        <v>1995</v>
      </c>
      <c r="I75" s="301" t="s">
        <v>3851</v>
      </c>
      <c r="J75" s="301" t="s">
        <v>3852</v>
      </c>
      <c r="K75" s="301" t="s">
        <v>3852</v>
      </c>
      <c r="L75" s="300"/>
      <c r="M75" s="300"/>
      <c r="N75" s="300"/>
      <c r="O75" s="301" t="s">
        <v>4083</v>
      </c>
      <c r="P75" s="302"/>
      <c r="Q75" s="247"/>
      <c r="R75" s="247"/>
      <c r="S75" s="247"/>
      <c r="T75" s="247"/>
      <c r="U75" s="247"/>
      <c r="V75" s="247"/>
      <c r="W75" s="247"/>
      <c r="X75" s="247"/>
      <c r="Y75" s="247"/>
      <c r="Z75" s="247"/>
      <c r="AA75" s="247"/>
    </row>
    <row r="76" spans="1:27" ht="13" customHeight="1">
      <c r="A76" s="305">
        <v>59</v>
      </c>
      <c r="B76" s="301"/>
      <c r="C76" s="301" t="s">
        <v>3413</v>
      </c>
      <c r="D76" s="301" t="s">
        <v>4084</v>
      </c>
      <c r="E76" s="301" t="s">
        <v>4085</v>
      </c>
      <c r="F76" s="301" t="s">
        <v>1078</v>
      </c>
      <c r="G76" s="301" t="s">
        <v>1078</v>
      </c>
      <c r="H76" s="301">
        <v>2018</v>
      </c>
      <c r="I76" s="301" t="s">
        <v>3851</v>
      </c>
      <c r="J76" s="301" t="s">
        <v>3852</v>
      </c>
      <c r="K76" s="300"/>
      <c r="L76" s="300"/>
      <c r="M76" s="300"/>
      <c r="N76" s="300"/>
      <c r="O76" s="301" t="s">
        <v>4086</v>
      </c>
      <c r="P76" s="302"/>
      <c r="Q76" s="247"/>
      <c r="R76" s="247"/>
      <c r="S76" s="247"/>
      <c r="T76" s="247"/>
      <c r="U76" s="247"/>
      <c r="V76" s="247"/>
      <c r="W76" s="247"/>
      <c r="X76" s="247"/>
      <c r="Y76" s="247"/>
      <c r="Z76" s="247"/>
      <c r="AA76" s="247"/>
    </row>
    <row r="77" spans="1:27" ht="13" customHeight="1">
      <c r="A77" s="305">
        <v>71</v>
      </c>
      <c r="B77" s="301"/>
      <c r="C77" s="301" t="s">
        <v>4087</v>
      </c>
      <c r="D77" s="301" t="s">
        <v>4088</v>
      </c>
      <c r="E77" s="301" t="s">
        <v>4089</v>
      </c>
      <c r="F77" s="301" t="s">
        <v>1078</v>
      </c>
      <c r="G77" s="301" t="s">
        <v>1078</v>
      </c>
      <c r="H77" s="301">
        <v>2020</v>
      </c>
      <c r="I77" s="301" t="s">
        <v>3851</v>
      </c>
      <c r="J77" s="301" t="s">
        <v>3852</v>
      </c>
      <c r="K77" s="300"/>
      <c r="L77" s="300"/>
      <c r="M77" s="300"/>
      <c r="N77" s="300"/>
      <c r="O77" s="301" t="s">
        <v>4090</v>
      </c>
      <c r="P77" s="302"/>
      <c r="Q77" s="247"/>
      <c r="R77" s="247"/>
      <c r="S77" s="247"/>
      <c r="T77" s="247"/>
      <c r="U77" s="247"/>
      <c r="V77" s="247"/>
      <c r="W77" s="247"/>
      <c r="X77" s="247"/>
      <c r="Y77" s="247"/>
      <c r="Z77" s="247"/>
      <c r="AA77" s="247"/>
    </row>
    <row r="78" spans="1:27" ht="13" customHeight="1">
      <c r="A78" s="305">
        <v>46</v>
      </c>
      <c r="B78" s="301"/>
      <c r="C78" s="301" t="s">
        <v>4091</v>
      </c>
      <c r="D78" s="301" t="s">
        <v>4092</v>
      </c>
      <c r="E78" s="301" t="s">
        <v>4093</v>
      </c>
      <c r="F78" s="301" t="s">
        <v>1078</v>
      </c>
      <c r="G78" s="301" t="s">
        <v>1078</v>
      </c>
      <c r="H78" s="301">
        <v>2017</v>
      </c>
      <c r="I78" s="301" t="s">
        <v>3851</v>
      </c>
      <c r="J78" s="301" t="s">
        <v>3852</v>
      </c>
      <c r="K78" s="301" t="s">
        <v>3852</v>
      </c>
      <c r="L78" s="300"/>
      <c r="M78" s="300"/>
      <c r="N78" s="300"/>
      <c r="O78" s="301" t="s">
        <v>4094</v>
      </c>
      <c r="P78" s="302"/>
      <c r="Q78" s="247"/>
      <c r="R78" s="247"/>
      <c r="S78" s="247"/>
      <c r="T78" s="247"/>
      <c r="U78" s="247"/>
      <c r="V78" s="247"/>
      <c r="W78" s="247"/>
      <c r="X78" s="247"/>
      <c r="Y78" s="247"/>
      <c r="Z78" s="247"/>
      <c r="AA78" s="247"/>
    </row>
    <row r="79" spans="1:27" ht="13" customHeight="1">
      <c r="A79" s="305">
        <v>66</v>
      </c>
      <c r="B79" s="301">
        <v>1</v>
      </c>
      <c r="C79" s="301" t="s">
        <v>1199</v>
      </c>
      <c r="D79" s="301" t="s">
        <v>4095</v>
      </c>
      <c r="E79" s="301" t="s">
        <v>3187</v>
      </c>
      <c r="F79" s="301" t="s">
        <v>4096</v>
      </c>
      <c r="G79" s="301" t="s">
        <v>4097</v>
      </c>
      <c r="H79" s="301">
        <v>2019</v>
      </c>
      <c r="I79" s="301" t="s">
        <v>3851</v>
      </c>
      <c r="J79" s="301" t="s">
        <v>3852</v>
      </c>
      <c r="K79" s="301" t="s">
        <v>3852</v>
      </c>
      <c r="L79" s="301" t="s">
        <v>3852</v>
      </c>
      <c r="M79" s="300"/>
      <c r="N79" s="300"/>
      <c r="O79" s="301" t="s">
        <v>4098</v>
      </c>
      <c r="P79" s="302"/>
      <c r="Q79" s="247"/>
      <c r="R79" s="247"/>
      <c r="S79" s="247"/>
      <c r="T79" s="247"/>
      <c r="U79" s="247"/>
      <c r="V79" s="247"/>
      <c r="W79" s="247"/>
      <c r="X79" s="247"/>
      <c r="Y79" s="247"/>
      <c r="Z79" s="247"/>
      <c r="AA79" s="247"/>
    </row>
    <row r="80" spans="1:27" ht="13" customHeight="1">
      <c r="A80" s="305">
        <v>47</v>
      </c>
      <c r="B80" s="301"/>
      <c r="C80" s="301" t="s">
        <v>4099</v>
      </c>
      <c r="D80" s="301" t="s">
        <v>4100</v>
      </c>
      <c r="E80" s="301" t="s">
        <v>3187</v>
      </c>
      <c r="F80" s="301" t="s">
        <v>4096</v>
      </c>
      <c r="G80" s="301" t="s">
        <v>4097</v>
      </c>
      <c r="H80" s="301">
        <v>2017</v>
      </c>
      <c r="I80" s="301" t="s">
        <v>3851</v>
      </c>
      <c r="J80" s="301" t="s">
        <v>3852</v>
      </c>
      <c r="K80" s="300"/>
      <c r="L80" s="300"/>
      <c r="M80" s="300"/>
      <c r="N80" s="300"/>
      <c r="O80" s="301" t="s">
        <v>4101</v>
      </c>
      <c r="P80" s="302"/>
      <c r="Q80" s="247"/>
      <c r="R80" s="247"/>
      <c r="S80" s="247"/>
      <c r="T80" s="247"/>
      <c r="U80" s="247"/>
      <c r="V80" s="247"/>
      <c r="W80" s="247"/>
      <c r="X80" s="247"/>
      <c r="Y80" s="247"/>
      <c r="Z80" s="247"/>
      <c r="AA80" s="247"/>
    </row>
    <row r="81" spans="1:27" ht="13" customHeight="1">
      <c r="A81" s="305">
        <v>42</v>
      </c>
      <c r="B81" s="301">
        <v>1</v>
      </c>
      <c r="C81" s="301" t="s">
        <v>3479</v>
      </c>
      <c r="D81" s="301" t="s">
        <v>4102</v>
      </c>
      <c r="E81" s="301" t="s">
        <v>3476</v>
      </c>
      <c r="F81" s="301" t="s">
        <v>4103</v>
      </c>
      <c r="G81" s="301" t="s">
        <v>3285</v>
      </c>
      <c r="H81" s="301">
        <v>2016</v>
      </c>
      <c r="I81" s="301" t="s">
        <v>3851</v>
      </c>
      <c r="J81" s="300"/>
      <c r="K81" s="300"/>
      <c r="L81" s="301" t="s">
        <v>3852</v>
      </c>
      <c r="M81" s="300"/>
      <c r="N81" s="300"/>
      <c r="O81" s="301" t="s">
        <v>4104</v>
      </c>
      <c r="P81" s="302"/>
      <c r="Q81" s="247"/>
      <c r="R81" s="247"/>
      <c r="S81" s="247"/>
      <c r="T81" s="247"/>
      <c r="U81" s="247"/>
      <c r="V81" s="247"/>
      <c r="W81" s="247"/>
      <c r="X81" s="247"/>
      <c r="Y81" s="247"/>
      <c r="Z81" s="247"/>
      <c r="AA81" s="247"/>
    </row>
    <row r="82" spans="1:27" ht="13" customHeight="1">
      <c r="A82" s="305">
        <v>10</v>
      </c>
      <c r="B82" s="301"/>
      <c r="C82" s="301" t="s">
        <v>4105</v>
      </c>
      <c r="D82" s="301" t="s">
        <v>4106</v>
      </c>
      <c r="E82" s="301" t="s">
        <v>4107</v>
      </c>
      <c r="F82" s="301" t="s">
        <v>4000</v>
      </c>
      <c r="G82" s="301" t="s">
        <v>1078</v>
      </c>
      <c r="H82" s="301">
        <v>2007</v>
      </c>
      <c r="I82" s="301" t="s">
        <v>3851</v>
      </c>
      <c r="J82" s="301" t="s">
        <v>3852</v>
      </c>
      <c r="K82" s="300"/>
      <c r="L82" s="300"/>
      <c r="M82" s="300"/>
      <c r="N82" s="300"/>
      <c r="O82" s="301" t="s">
        <v>4108</v>
      </c>
      <c r="P82" s="302"/>
      <c r="Q82" s="247"/>
      <c r="R82" s="247"/>
      <c r="S82" s="247"/>
      <c r="T82" s="247"/>
      <c r="U82" s="247"/>
      <c r="V82" s="247"/>
      <c r="W82" s="247"/>
      <c r="X82" s="247"/>
      <c r="Y82" s="247"/>
      <c r="Z82" s="247"/>
      <c r="AA82" s="247"/>
    </row>
    <row r="83" spans="1:27" ht="13" customHeight="1">
      <c r="A83" s="305">
        <v>24</v>
      </c>
      <c r="B83" s="301"/>
      <c r="C83" s="301" t="s">
        <v>4109</v>
      </c>
      <c r="D83" s="301" t="s">
        <v>4110</v>
      </c>
      <c r="E83" s="301" t="s">
        <v>4111</v>
      </c>
      <c r="F83" s="301" t="s">
        <v>4112</v>
      </c>
      <c r="G83" s="301" t="s">
        <v>3882</v>
      </c>
      <c r="H83" s="301">
        <v>2012</v>
      </c>
      <c r="I83" s="301" t="s">
        <v>3851</v>
      </c>
      <c r="J83" s="301" t="s">
        <v>3852</v>
      </c>
      <c r="K83" s="300"/>
      <c r="L83" s="300"/>
      <c r="M83" s="300"/>
      <c r="N83" s="300"/>
      <c r="O83" s="301" t="s">
        <v>4113</v>
      </c>
      <c r="P83" s="302"/>
      <c r="Q83" s="247"/>
      <c r="R83" s="247"/>
      <c r="S83" s="247"/>
      <c r="T83" s="247"/>
      <c r="U83" s="247"/>
      <c r="V83" s="247"/>
      <c r="W83" s="247"/>
      <c r="X83" s="247"/>
      <c r="Y83" s="247"/>
      <c r="Z83" s="247"/>
      <c r="AA83" s="247"/>
    </row>
    <row r="84" spans="1:27" ht="13" customHeight="1">
      <c r="A84" s="305">
        <v>7</v>
      </c>
      <c r="B84" s="301"/>
      <c r="C84" s="301" t="s">
        <v>80</v>
      </c>
      <c r="D84" s="301" t="s">
        <v>4114</v>
      </c>
      <c r="E84" s="301" t="s">
        <v>4115</v>
      </c>
      <c r="F84" s="301" t="s">
        <v>4000</v>
      </c>
      <c r="G84" s="301" t="s">
        <v>1078</v>
      </c>
      <c r="H84" s="301">
        <v>2006</v>
      </c>
      <c r="I84" s="301" t="s">
        <v>3862</v>
      </c>
      <c r="J84" s="301" t="s">
        <v>3852</v>
      </c>
      <c r="K84" s="301" t="s">
        <v>3852</v>
      </c>
      <c r="L84" s="300"/>
      <c r="M84" s="300"/>
      <c r="N84" s="300"/>
      <c r="O84" s="301" t="s">
        <v>4116</v>
      </c>
      <c r="P84" s="302"/>
      <c r="Q84" s="247"/>
      <c r="R84" s="247"/>
      <c r="S84" s="247"/>
      <c r="T84" s="247"/>
      <c r="U84" s="247"/>
      <c r="V84" s="247"/>
      <c r="W84" s="247"/>
      <c r="X84" s="247"/>
      <c r="Y84" s="247"/>
      <c r="Z84" s="247"/>
      <c r="AA84" s="247"/>
    </row>
    <row r="85" spans="1:27" ht="13" customHeight="1">
      <c r="A85" s="305">
        <v>67</v>
      </c>
      <c r="B85" s="301"/>
      <c r="C85" s="301" t="s">
        <v>4117</v>
      </c>
      <c r="D85" s="301" t="s">
        <v>4118</v>
      </c>
      <c r="E85" s="301" t="s">
        <v>4119</v>
      </c>
      <c r="F85" s="301" t="s">
        <v>1078</v>
      </c>
      <c r="G85" s="301" t="s">
        <v>1078</v>
      </c>
      <c r="H85" s="301">
        <v>2019</v>
      </c>
      <c r="I85" s="301" t="s">
        <v>3857</v>
      </c>
      <c r="J85" s="301" t="s">
        <v>3852</v>
      </c>
      <c r="K85" s="300"/>
      <c r="L85" s="300"/>
      <c r="M85" s="300"/>
      <c r="N85" s="300"/>
      <c r="O85" s="301" t="s">
        <v>4120</v>
      </c>
      <c r="P85" s="302"/>
      <c r="Q85" s="247"/>
      <c r="R85" s="247"/>
      <c r="S85" s="247"/>
      <c r="T85" s="247"/>
      <c r="U85" s="247"/>
      <c r="V85" s="247"/>
      <c r="W85" s="247"/>
      <c r="X85" s="247"/>
      <c r="Y85" s="247"/>
      <c r="Z85" s="247"/>
      <c r="AA85" s="247"/>
    </row>
    <row r="86" spans="1:27" ht="13" customHeight="1">
      <c r="A86" s="305">
        <v>13</v>
      </c>
      <c r="B86" s="301"/>
      <c r="C86" s="301" t="s">
        <v>4121</v>
      </c>
      <c r="D86" s="301" t="s">
        <v>4122</v>
      </c>
      <c r="E86" s="301" t="s">
        <v>4123</v>
      </c>
      <c r="F86" s="301" t="s">
        <v>4124</v>
      </c>
      <c r="G86" s="301" t="s">
        <v>1078</v>
      </c>
      <c r="H86" s="301">
        <v>2008</v>
      </c>
      <c r="I86" s="301" t="s">
        <v>3862</v>
      </c>
      <c r="J86" s="301" t="s">
        <v>3852</v>
      </c>
      <c r="K86" s="301" t="s">
        <v>3852</v>
      </c>
      <c r="L86" s="300"/>
      <c r="M86" s="300"/>
      <c r="N86" s="300"/>
      <c r="O86" s="301" t="s">
        <v>4125</v>
      </c>
      <c r="P86" s="302"/>
      <c r="Q86" s="247"/>
      <c r="R86" s="247"/>
      <c r="S86" s="247"/>
      <c r="T86" s="247"/>
      <c r="U86" s="247"/>
      <c r="V86" s="247"/>
      <c r="W86" s="247"/>
      <c r="X86" s="247"/>
      <c r="Y86" s="247"/>
      <c r="Z86" s="247"/>
      <c r="AA86" s="247"/>
    </row>
    <row r="87" spans="1:27" ht="13" customHeight="1">
      <c r="A87" s="305">
        <v>43</v>
      </c>
      <c r="B87" s="301"/>
      <c r="C87" s="301" t="s">
        <v>4126</v>
      </c>
      <c r="D87" s="301" t="s">
        <v>4127</v>
      </c>
      <c r="E87" s="301" t="s">
        <v>3094</v>
      </c>
      <c r="F87" s="301" t="s">
        <v>4128</v>
      </c>
      <c r="G87" s="301" t="s">
        <v>1078</v>
      </c>
      <c r="H87" s="301">
        <v>2016</v>
      </c>
      <c r="I87" s="301" t="s">
        <v>3862</v>
      </c>
      <c r="J87" s="300"/>
      <c r="K87" s="301" t="s">
        <v>3852</v>
      </c>
      <c r="L87" s="300"/>
      <c r="M87" s="300"/>
      <c r="N87" s="300"/>
      <c r="O87" s="301" t="s">
        <v>4129</v>
      </c>
      <c r="P87" s="302"/>
      <c r="Q87" s="247"/>
      <c r="R87" s="247"/>
      <c r="S87" s="247"/>
      <c r="T87" s="247"/>
      <c r="U87" s="247"/>
      <c r="V87" s="247"/>
      <c r="W87" s="247"/>
      <c r="X87" s="247"/>
      <c r="Y87" s="247"/>
      <c r="Z87" s="247"/>
      <c r="AA87" s="247"/>
    </row>
    <row r="88" spans="1:27" ht="13" customHeight="1">
      <c r="A88" s="305">
        <v>48</v>
      </c>
      <c r="B88" s="301"/>
      <c r="C88" s="301" t="s">
        <v>4130</v>
      </c>
      <c r="D88" s="301" t="s">
        <v>4131</v>
      </c>
      <c r="E88" s="301" t="s">
        <v>4132</v>
      </c>
      <c r="F88" s="301" t="s">
        <v>1078</v>
      </c>
      <c r="G88" s="301" t="s">
        <v>1078</v>
      </c>
      <c r="H88" s="301">
        <v>2017</v>
      </c>
      <c r="I88" s="301" t="s">
        <v>3851</v>
      </c>
      <c r="J88" s="301" t="s">
        <v>3852</v>
      </c>
      <c r="K88" s="301" t="s">
        <v>3852</v>
      </c>
      <c r="L88" s="300"/>
      <c r="M88" s="300"/>
      <c r="N88" s="300"/>
      <c r="O88" s="301" t="s">
        <v>4133</v>
      </c>
      <c r="P88" s="302"/>
      <c r="Q88" s="247"/>
      <c r="R88" s="247"/>
      <c r="S88" s="247"/>
      <c r="T88" s="247"/>
      <c r="U88" s="247"/>
      <c r="V88" s="247"/>
      <c r="W88" s="247"/>
      <c r="X88" s="247"/>
      <c r="Y88" s="247"/>
      <c r="Z88" s="247"/>
      <c r="AA88" s="247"/>
    </row>
    <row r="89" spans="1:27" ht="13" customHeight="1">
      <c r="A89" s="305">
        <v>85</v>
      </c>
      <c r="B89" s="301"/>
      <c r="C89" s="301" t="s">
        <v>4134</v>
      </c>
      <c r="D89" s="301" t="s">
        <v>4135</v>
      </c>
      <c r="E89" s="301" t="s">
        <v>4136</v>
      </c>
      <c r="F89" s="301" t="s">
        <v>4137</v>
      </c>
      <c r="G89" s="301" t="s">
        <v>3285</v>
      </c>
      <c r="H89" s="301">
        <v>2021</v>
      </c>
      <c r="I89" s="301" t="s">
        <v>3851</v>
      </c>
      <c r="J89" s="301" t="s">
        <v>3852</v>
      </c>
      <c r="K89" s="301" t="s">
        <v>3852</v>
      </c>
      <c r="L89" s="300"/>
      <c r="M89" s="300"/>
      <c r="N89" s="300"/>
      <c r="O89" s="301" t="s">
        <v>4138</v>
      </c>
      <c r="P89" s="302"/>
      <c r="Q89" s="247"/>
      <c r="R89" s="247"/>
      <c r="S89" s="247"/>
      <c r="T89" s="247"/>
      <c r="U89" s="247"/>
      <c r="V89" s="247"/>
      <c r="W89" s="247"/>
      <c r="X89" s="247"/>
      <c r="Y89" s="247"/>
      <c r="Z89" s="247"/>
      <c r="AA89" s="247"/>
    </row>
    <row r="90" spans="1:27" ht="13" customHeight="1">
      <c r="A90" s="305">
        <v>25</v>
      </c>
      <c r="B90" s="301"/>
      <c r="C90" s="301" t="s">
        <v>4139</v>
      </c>
      <c r="D90" s="301" t="s">
        <v>4140</v>
      </c>
      <c r="E90" s="301" t="s">
        <v>4141</v>
      </c>
      <c r="F90" s="301" t="s">
        <v>3882</v>
      </c>
      <c r="G90" s="301" t="s">
        <v>3882</v>
      </c>
      <c r="H90" s="301">
        <v>2012</v>
      </c>
      <c r="I90" s="301" t="s">
        <v>3851</v>
      </c>
      <c r="J90" s="301" t="s">
        <v>3852</v>
      </c>
      <c r="K90" s="300"/>
      <c r="L90" s="300"/>
      <c r="M90" s="300"/>
      <c r="N90" s="301" t="s">
        <v>3852</v>
      </c>
      <c r="O90" s="301" t="s">
        <v>4142</v>
      </c>
      <c r="P90" s="302"/>
      <c r="Q90" s="247"/>
      <c r="R90" s="247"/>
      <c r="S90" s="247"/>
      <c r="T90" s="247"/>
      <c r="U90" s="247"/>
      <c r="V90" s="247"/>
      <c r="W90" s="247"/>
      <c r="X90" s="247"/>
      <c r="Y90" s="247"/>
      <c r="Z90" s="247"/>
      <c r="AA90" s="247"/>
    </row>
    <row r="91" spans="1:27" ht="13" customHeight="1">
      <c r="A91" s="305">
        <v>14</v>
      </c>
      <c r="B91" s="301"/>
      <c r="C91" s="301" t="s">
        <v>4143</v>
      </c>
      <c r="D91" s="301" t="s">
        <v>4144</v>
      </c>
      <c r="E91" s="301" t="s">
        <v>4145</v>
      </c>
      <c r="F91" s="301" t="s">
        <v>4097</v>
      </c>
      <c r="G91" s="301" t="s">
        <v>4097</v>
      </c>
      <c r="H91" s="301">
        <v>2008</v>
      </c>
      <c r="I91" s="301" t="s">
        <v>3851</v>
      </c>
      <c r="J91" s="301" t="s">
        <v>3852</v>
      </c>
      <c r="K91" s="300"/>
      <c r="L91" s="300"/>
      <c r="M91" s="300"/>
      <c r="N91" s="300"/>
      <c r="O91" s="301" t="s">
        <v>4146</v>
      </c>
      <c r="P91" s="302"/>
      <c r="Q91" s="247"/>
      <c r="R91" s="247"/>
      <c r="S91" s="247"/>
      <c r="T91" s="247"/>
      <c r="U91" s="247"/>
      <c r="V91" s="247"/>
      <c r="W91" s="247"/>
      <c r="X91" s="247"/>
      <c r="Y91" s="247"/>
      <c r="Z91" s="247"/>
      <c r="AA91" s="247"/>
    </row>
    <row r="92" spans="1:27" ht="13" customHeight="1">
      <c r="A92" s="305">
        <v>23</v>
      </c>
      <c r="B92" s="301"/>
      <c r="C92" s="301" t="s">
        <v>4147</v>
      </c>
      <c r="D92" s="301" t="s">
        <v>4148</v>
      </c>
      <c r="E92" s="301" t="s">
        <v>4149</v>
      </c>
      <c r="F92" s="301" t="s">
        <v>1078</v>
      </c>
      <c r="G92" s="301" t="s">
        <v>1078</v>
      </c>
      <c r="H92" s="301">
        <v>2011</v>
      </c>
      <c r="I92" s="301" t="s">
        <v>3851</v>
      </c>
      <c r="J92" s="301" t="s">
        <v>3852</v>
      </c>
      <c r="K92" s="300"/>
      <c r="L92" s="300"/>
      <c r="M92" s="300"/>
      <c r="N92" s="300"/>
      <c r="O92" s="301" t="s">
        <v>4150</v>
      </c>
      <c r="P92" s="302"/>
      <c r="Q92" s="247"/>
      <c r="R92" s="247"/>
      <c r="S92" s="247"/>
      <c r="T92" s="247"/>
      <c r="U92" s="247"/>
      <c r="V92" s="247"/>
      <c r="W92" s="247"/>
      <c r="X92" s="247"/>
      <c r="Y92" s="247"/>
      <c r="Z92" s="247"/>
      <c r="AA92" s="247"/>
    </row>
    <row r="93" spans="1:27" ht="13" customHeight="1">
      <c r="A93" s="305">
        <v>97</v>
      </c>
      <c r="B93" s="301"/>
      <c r="C93" s="301" t="s">
        <v>4151</v>
      </c>
      <c r="D93" s="301" t="s">
        <v>4152</v>
      </c>
      <c r="E93" s="301" t="s">
        <v>3156</v>
      </c>
      <c r="F93" s="301" t="s">
        <v>1078</v>
      </c>
      <c r="G93" s="301" t="s">
        <v>1078</v>
      </c>
      <c r="H93" s="301">
        <v>2022</v>
      </c>
      <c r="I93" s="301" t="s">
        <v>3851</v>
      </c>
      <c r="J93" s="301" t="s">
        <v>3852</v>
      </c>
      <c r="K93" s="301" t="s">
        <v>3852</v>
      </c>
      <c r="L93" s="300"/>
      <c r="M93" s="300"/>
      <c r="N93" s="300"/>
      <c r="O93" s="301" t="s">
        <v>4153</v>
      </c>
      <c r="P93" s="302"/>
      <c r="Q93" s="247"/>
      <c r="R93" s="247"/>
      <c r="S93" s="247"/>
      <c r="T93" s="247"/>
      <c r="U93" s="247"/>
      <c r="V93" s="247"/>
      <c r="W93" s="247"/>
      <c r="X93" s="247"/>
      <c r="Y93" s="247"/>
      <c r="Z93" s="247"/>
      <c r="AA93" s="247"/>
    </row>
    <row r="94" spans="1:27" ht="13" customHeight="1">
      <c r="A94" s="305">
        <v>49</v>
      </c>
      <c r="B94" s="301"/>
      <c r="C94" s="301" t="s">
        <v>4154</v>
      </c>
      <c r="D94" s="301" t="s">
        <v>4155</v>
      </c>
      <c r="E94" s="301" t="s">
        <v>4156</v>
      </c>
      <c r="F94" s="301" t="s">
        <v>3882</v>
      </c>
      <c r="G94" s="301" t="s">
        <v>3882</v>
      </c>
      <c r="H94" s="301">
        <v>2017</v>
      </c>
      <c r="I94" s="301" t="s">
        <v>3862</v>
      </c>
      <c r="J94" s="301" t="s">
        <v>3852</v>
      </c>
      <c r="K94" s="300"/>
      <c r="L94" s="300"/>
      <c r="M94" s="300"/>
      <c r="N94" s="300"/>
      <c r="O94" s="301" t="s">
        <v>4157</v>
      </c>
      <c r="P94" s="302"/>
      <c r="Q94" s="247"/>
      <c r="R94" s="247"/>
      <c r="S94" s="247"/>
      <c r="T94" s="247"/>
      <c r="U94" s="247"/>
      <c r="V94" s="247"/>
      <c r="W94" s="247"/>
      <c r="X94" s="247"/>
      <c r="Y94" s="247"/>
      <c r="Z94" s="247"/>
      <c r="AA94" s="247"/>
    </row>
    <row r="95" spans="1:27" ht="13" customHeight="1">
      <c r="A95" s="305">
        <v>4</v>
      </c>
      <c r="B95" s="301"/>
      <c r="C95" s="301" t="s">
        <v>4158</v>
      </c>
      <c r="D95" s="301" t="s">
        <v>4159</v>
      </c>
      <c r="E95" s="301" t="s">
        <v>4160</v>
      </c>
      <c r="F95" s="301" t="s">
        <v>4161</v>
      </c>
      <c r="G95" s="301" t="s">
        <v>3882</v>
      </c>
      <c r="H95" s="301">
        <v>2003</v>
      </c>
      <c r="I95" s="301" t="s">
        <v>3851</v>
      </c>
      <c r="J95" s="301" t="s">
        <v>3852</v>
      </c>
      <c r="K95" s="301" t="s">
        <v>3852</v>
      </c>
      <c r="L95" s="300"/>
      <c r="M95" s="300"/>
      <c r="N95" s="300"/>
      <c r="O95" s="301" t="s">
        <v>4162</v>
      </c>
      <c r="P95" s="302"/>
      <c r="Q95" s="247"/>
      <c r="R95" s="247"/>
      <c r="S95" s="247"/>
      <c r="T95" s="247"/>
      <c r="U95" s="247"/>
      <c r="V95" s="247"/>
      <c r="W95" s="247"/>
      <c r="X95" s="247"/>
      <c r="Y95" s="247"/>
      <c r="Z95" s="247"/>
      <c r="AA95" s="247"/>
    </row>
    <row r="96" spans="1:27" ht="13" customHeight="1">
      <c r="A96" s="305">
        <v>52</v>
      </c>
      <c r="B96" s="301">
        <v>1</v>
      </c>
      <c r="C96" s="301" t="s">
        <v>3441</v>
      </c>
      <c r="D96" s="301" t="s">
        <v>4163</v>
      </c>
      <c r="E96" s="301" t="s">
        <v>4164</v>
      </c>
      <c r="F96" s="301" t="s">
        <v>4000</v>
      </c>
      <c r="G96" s="301" t="s">
        <v>1078</v>
      </c>
      <c r="H96" s="301">
        <v>2018</v>
      </c>
      <c r="I96" s="301" t="s">
        <v>3851</v>
      </c>
      <c r="J96" s="301" t="s">
        <v>3852</v>
      </c>
      <c r="K96" s="301" t="s">
        <v>3852</v>
      </c>
      <c r="L96" s="300"/>
      <c r="M96" s="300"/>
      <c r="N96" s="300"/>
      <c r="O96" s="301" t="s">
        <v>4165</v>
      </c>
      <c r="P96" s="302"/>
      <c r="Q96" s="247"/>
      <c r="R96" s="247"/>
      <c r="S96" s="247"/>
      <c r="T96" s="247"/>
      <c r="U96" s="247"/>
      <c r="V96" s="247"/>
      <c r="W96" s="247"/>
      <c r="X96" s="247"/>
      <c r="Y96" s="247"/>
      <c r="Z96" s="247"/>
      <c r="AA96" s="247"/>
    </row>
    <row r="97" spans="1:27" ht="13" customHeight="1">
      <c r="A97" s="305">
        <v>19</v>
      </c>
      <c r="B97" s="301"/>
      <c r="C97" s="301" t="s">
        <v>4166</v>
      </c>
      <c r="D97" s="301" t="s">
        <v>4167</v>
      </c>
      <c r="E97" s="301" t="s">
        <v>4168</v>
      </c>
      <c r="F97" s="301" t="s">
        <v>4169</v>
      </c>
      <c r="G97" s="301" t="s">
        <v>1078</v>
      </c>
      <c r="H97" s="301">
        <v>2011</v>
      </c>
      <c r="I97" s="301" t="s">
        <v>3862</v>
      </c>
      <c r="J97" s="301" t="s">
        <v>3852</v>
      </c>
      <c r="K97" s="301" t="s">
        <v>3852</v>
      </c>
      <c r="L97" s="300"/>
      <c r="M97" s="300"/>
      <c r="N97" s="300"/>
      <c r="O97" s="301" t="s">
        <v>4170</v>
      </c>
      <c r="P97" s="302"/>
      <c r="Q97" s="247"/>
      <c r="R97" s="247"/>
      <c r="S97" s="247"/>
      <c r="T97" s="247"/>
      <c r="U97" s="247"/>
      <c r="V97" s="247"/>
      <c r="W97" s="247"/>
      <c r="X97" s="247"/>
      <c r="Y97" s="247"/>
      <c r="Z97" s="247"/>
      <c r="AA97" s="247"/>
    </row>
    <row r="98" spans="1:27" ht="13" customHeight="1">
      <c r="A98" s="305">
        <v>53</v>
      </c>
      <c r="B98" s="301"/>
      <c r="C98" s="301" t="s">
        <v>636</v>
      </c>
      <c r="D98" s="301" t="s">
        <v>4171</v>
      </c>
      <c r="E98" s="301" t="s">
        <v>3293</v>
      </c>
      <c r="F98" s="301" t="s">
        <v>4172</v>
      </c>
      <c r="G98" s="301" t="s">
        <v>3285</v>
      </c>
      <c r="H98" s="301">
        <v>2018</v>
      </c>
      <c r="I98" s="301" t="s">
        <v>3851</v>
      </c>
      <c r="J98" s="300"/>
      <c r="K98" s="301" t="s">
        <v>3852</v>
      </c>
      <c r="L98" s="301" t="s">
        <v>3852</v>
      </c>
      <c r="M98" s="300"/>
      <c r="N98" s="300"/>
      <c r="O98" s="301" t="s">
        <v>4173</v>
      </c>
      <c r="P98" s="302"/>
      <c r="Q98" s="247"/>
      <c r="R98" s="247"/>
      <c r="S98" s="247"/>
      <c r="T98" s="247"/>
      <c r="U98" s="247"/>
      <c r="V98" s="247"/>
      <c r="W98" s="247"/>
      <c r="X98" s="247"/>
      <c r="Y98" s="247"/>
      <c r="Z98" s="247"/>
      <c r="AA98" s="247"/>
    </row>
    <row r="99" spans="1:27" ht="13" customHeight="1">
      <c r="A99" s="305">
        <v>84</v>
      </c>
      <c r="B99" s="301">
        <v>1</v>
      </c>
      <c r="C99" s="301" t="s">
        <v>1073</v>
      </c>
      <c r="D99" s="301" t="s">
        <v>4174</v>
      </c>
      <c r="E99" s="301" t="s">
        <v>3258</v>
      </c>
      <c r="F99" s="301" t="s">
        <v>4175</v>
      </c>
      <c r="G99" s="301" t="s">
        <v>4176</v>
      </c>
      <c r="H99" s="301">
        <v>2021</v>
      </c>
      <c r="I99" s="301" t="s">
        <v>3851</v>
      </c>
      <c r="J99" s="301" t="s">
        <v>3852</v>
      </c>
      <c r="K99" s="301" t="s">
        <v>3852</v>
      </c>
      <c r="L99" s="300"/>
      <c r="M99" s="300"/>
      <c r="N99" s="300"/>
      <c r="O99" s="301" t="s">
        <v>4177</v>
      </c>
      <c r="P99" s="302"/>
      <c r="Q99" s="247"/>
      <c r="R99" s="247"/>
      <c r="S99" s="247"/>
      <c r="T99" s="247"/>
      <c r="U99" s="247"/>
      <c r="V99" s="247"/>
      <c r="W99" s="247"/>
      <c r="X99" s="247"/>
      <c r="Y99" s="247"/>
      <c r="Z99" s="247"/>
      <c r="AA99" s="247"/>
    </row>
    <row r="100" spans="1:27" ht="13" customHeight="1">
      <c r="A100" s="305">
        <v>68</v>
      </c>
      <c r="B100" s="301"/>
      <c r="C100" s="301" t="s">
        <v>4178</v>
      </c>
      <c r="D100" s="301" t="s">
        <v>4179</v>
      </c>
      <c r="E100" s="301" t="s">
        <v>4180</v>
      </c>
      <c r="F100" s="301" t="s">
        <v>3882</v>
      </c>
      <c r="G100" s="301" t="s">
        <v>3882</v>
      </c>
      <c r="H100" s="301">
        <v>2019</v>
      </c>
      <c r="I100" s="301" t="s">
        <v>3851</v>
      </c>
      <c r="J100" s="301" t="s">
        <v>3852</v>
      </c>
      <c r="K100" s="300"/>
      <c r="L100" s="300"/>
      <c r="M100" s="300"/>
      <c r="N100" s="300"/>
      <c r="O100" s="301" t="s">
        <v>4181</v>
      </c>
      <c r="P100" s="302"/>
      <c r="Q100" s="247"/>
      <c r="R100" s="247"/>
      <c r="S100" s="247"/>
      <c r="T100" s="247"/>
      <c r="U100" s="247"/>
      <c r="V100" s="247"/>
      <c r="W100" s="247"/>
      <c r="X100" s="247"/>
      <c r="Y100" s="247"/>
      <c r="Z100" s="247"/>
      <c r="AA100" s="247"/>
    </row>
    <row r="101" spans="1:27" ht="13" customHeight="1">
      <c r="A101" s="305">
        <v>50</v>
      </c>
      <c r="B101" s="301">
        <v>1</v>
      </c>
      <c r="C101" s="301" t="s">
        <v>673</v>
      </c>
      <c r="D101" s="301" t="s">
        <v>4182</v>
      </c>
      <c r="E101" s="301" t="s">
        <v>3300</v>
      </c>
      <c r="F101" s="301" t="s">
        <v>3300</v>
      </c>
      <c r="G101" s="301" t="s">
        <v>3300</v>
      </c>
      <c r="H101" s="301">
        <v>2017</v>
      </c>
      <c r="I101" s="301" t="s">
        <v>3851</v>
      </c>
      <c r="J101" s="300"/>
      <c r="K101" s="301" t="s">
        <v>3852</v>
      </c>
      <c r="L101" s="301" t="s">
        <v>3852</v>
      </c>
      <c r="M101" s="301" t="s">
        <v>3852</v>
      </c>
      <c r="N101" s="300"/>
      <c r="O101" s="301" t="s">
        <v>4183</v>
      </c>
      <c r="P101" s="302"/>
      <c r="Q101" s="247"/>
      <c r="R101" s="247"/>
      <c r="S101" s="247"/>
      <c r="T101" s="247"/>
      <c r="U101" s="247"/>
      <c r="V101" s="247"/>
      <c r="W101" s="247"/>
      <c r="X101" s="247"/>
      <c r="Y101" s="247"/>
      <c r="Z101" s="247"/>
      <c r="AA101" s="247"/>
    </row>
    <row r="102" spans="1:27" ht="13" customHeight="1">
      <c r="A102" s="305">
        <v>3</v>
      </c>
      <c r="B102" s="301"/>
      <c r="C102" s="301" t="s">
        <v>4184</v>
      </c>
      <c r="D102" s="301" t="s">
        <v>4185</v>
      </c>
      <c r="E102" s="301" t="s">
        <v>3494</v>
      </c>
      <c r="F102" s="301" t="s">
        <v>3285</v>
      </c>
      <c r="G102" s="301" t="s">
        <v>3285</v>
      </c>
      <c r="H102" s="301">
        <v>2001</v>
      </c>
      <c r="I102" s="301" t="s">
        <v>3851</v>
      </c>
      <c r="J102" s="300"/>
      <c r="K102" s="300"/>
      <c r="L102" s="301" t="s">
        <v>3852</v>
      </c>
      <c r="M102" s="300"/>
      <c r="N102" s="301" t="s">
        <v>3852</v>
      </c>
      <c r="O102" s="301" t="s">
        <v>4186</v>
      </c>
      <c r="P102" s="302"/>
      <c r="Q102" s="247"/>
      <c r="R102" s="247"/>
      <c r="S102" s="247"/>
      <c r="T102" s="247"/>
      <c r="U102" s="247"/>
      <c r="V102" s="247"/>
      <c r="W102" s="247"/>
      <c r="X102" s="247"/>
      <c r="Y102" s="247"/>
      <c r="Z102" s="247"/>
      <c r="AA102" s="247"/>
    </row>
    <row r="103" spans="1:27" ht="13" customHeight="1">
      <c r="A103" s="305">
        <v>40</v>
      </c>
      <c r="B103" s="301">
        <v>1</v>
      </c>
      <c r="C103" s="301" t="s">
        <v>3496</v>
      </c>
      <c r="D103" s="301" t="s">
        <v>4187</v>
      </c>
      <c r="E103" s="301" t="s">
        <v>3494</v>
      </c>
      <c r="F103" s="301" t="s">
        <v>3285</v>
      </c>
      <c r="G103" s="301" t="s">
        <v>3285</v>
      </c>
      <c r="H103" s="301">
        <v>2016</v>
      </c>
      <c r="I103" s="301" t="s">
        <v>3851</v>
      </c>
      <c r="J103" s="300"/>
      <c r="K103" s="301" t="s">
        <v>3852</v>
      </c>
      <c r="L103" s="300"/>
      <c r="M103" s="301" t="s">
        <v>3852</v>
      </c>
      <c r="N103" s="300"/>
      <c r="O103" s="301" t="s">
        <v>4188</v>
      </c>
      <c r="P103" s="302"/>
      <c r="Q103" s="247"/>
      <c r="R103" s="247"/>
      <c r="S103" s="247"/>
      <c r="T103" s="247"/>
      <c r="U103" s="247"/>
      <c r="V103" s="247"/>
      <c r="W103" s="247"/>
      <c r="X103" s="247"/>
      <c r="Y103" s="247"/>
      <c r="Z103" s="247"/>
      <c r="AA103" s="247"/>
    </row>
    <row r="104" spans="1:27" ht="13" customHeight="1">
      <c r="A104" s="305">
        <v>99</v>
      </c>
      <c r="B104" s="301"/>
      <c r="C104" s="301" t="s">
        <v>4189</v>
      </c>
      <c r="D104" s="301" t="s">
        <v>4190</v>
      </c>
      <c r="E104" s="301" t="s">
        <v>4191</v>
      </c>
      <c r="F104" s="301" t="s">
        <v>3285</v>
      </c>
      <c r="G104" s="301" t="s">
        <v>3285</v>
      </c>
      <c r="H104" s="301">
        <v>2022</v>
      </c>
      <c r="I104" s="301" t="s">
        <v>3851</v>
      </c>
      <c r="J104" s="301" t="s">
        <v>3852</v>
      </c>
      <c r="K104" s="301" t="s">
        <v>3852</v>
      </c>
      <c r="L104" s="301" t="s">
        <v>3852</v>
      </c>
      <c r="M104" s="301" t="s">
        <v>3852</v>
      </c>
      <c r="N104" s="300"/>
      <c r="O104" s="301" t="s">
        <v>4192</v>
      </c>
      <c r="P104" s="302"/>
      <c r="Q104" s="247"/>
      <c r="R104" s="247"/>
      <c r="S104" s="247"/>
      <c r="T104" s="247"/>
      <c r="U104" s="247"/>
      <c r="V104" s="247"/>
      <c r="W104" s="247"/>
      <c r="X104" s="247"/>
      <c r="Y104" s="247"/>
      <c r="Z104" s="247"/>
      <c r="AA104" s="247"/>
    </row>
    <row r="105" spans="1:27" ht="13" customHeight="1">
      <c r="A105" s="305">
        <v>69</v>
      </c>
      <c r="B105" s="301">
        <v>1</v>
      </c>
      <c r="C105" s="301" t="s">
        <v>4193</v>
      </c>
      <c r="D105" s="301" t="s">
        <v>4194</v>
      </c>
      <c r="E105" s="301" t="s">
        <v>4195</v>
      </c>
      <c r="F105" s="301" t="s">
        <v>3882</v>
      </c>
      <c r="G105" s="301" t="s">
        <v>3882</v>
      </c>
      <c r="H105" s="301">
        <v>2019</v>
      </c>
      <c r="I105" s="301" t="s">
        <v>3851</v>
      </c>
      <c r="J105" s="300"/>
      <c r="K105" s="301" t="s">
        <v>3852</v>
      </c>
      <c r="L105" s="301" t="s">
        <v>3852</v>
      </c>
      <c r="M105" s="300"/>
      <c r="N105" s="300"/>
      <c r="O105" s="301" t="s">
        <v>4196</v>
      </c>
      <c r="P105" s="302"/>
      <c r="Q105" s="247"/>
      <c r="R105" s="247"/>
      <c r="S105" s="247"/>
      <c r="T105" s="247"/>
      <c r="U105" s="247"/>
      <c r="V105" s="247"/>
      <c r="W105" s="247"/>
      <c r="X105" s="247"/>
      <c r="Y105" s="247"/>
      <c r="Z105" s="247"/>
      <c r="AA105" s="247"/>
    </row>
    <row r="106" spans="1:27" ht="13" customHeight="1">
      <c r="A106" s="305">
        <v>6</v>
      </c>
      <c r="B106" s="301"/>
      <c r="C106" s="301" t="s">
        <v>4197</v>
      </c>
      <c r="D106" s="301" t="s">
        <v>4198</v>
      </c>
      <c r="E106" s="301" t="s">
        <v>4199</v>
      </c>
      <c r="F106" s="301" t="s">
        <v>3882</v>
      </c>
      <c r="G106" s="301" t="s">
        <v>3882</v>
      </c>
      <c r="H106" s="301">
        <v>2005</v>
      </c>
      <c r="I106" s="301" t="s">
        <v>3851</v>
      </c>
      <c r="J106" s="301" t="s">
        <v>3852</v>
      </c>
      <c r="K106" s="301" t="s">
        <v>3852</v>
      </c>
      <c r="L106" s="300"/>
      <c r="M106" s="300"/>
      <c r="N106" s="300"/>
      <c r="O106" s="301" t="s">
        <v>4200</v>
      </c>
      <c r="P106" s="302"/>
      <c r="Q106" s="247"/>
      <c r="R106" s="247"/>
      <c r="S106" s="247"/>
      <c r="T106" s="247"/>
      <c r="U106" s="247"/>
      <c r="V106" s="247"/>
      <c r="W106" s="247"/>
      <c r="X106" s="247"/>
      <c r="Y106" s="247"/>
      <c r="Z106" s="247"/>
      <c r="AA106" s="247"/>
    </row>
    <row r="107" spans="1:27" ht="13" customHeight="1">
      <c r="A107" s="305">
        <v>93</v>
      </c>
      <c r="B107" s="301"/>
      <c r="C107" s="301" t="s">
        <v>4201</v>
      </c>
      <c r="D107" s="301" t="s">
        <v>4202</v>
      </c>
      <c r="E107" s="301" t="s">
        <v>4199</v>
      </c>
      <c r="F107" s="301" t="s">
        <v>3882</v>
      </c>
      <c r="G107" s="301" t="s">
        <v>3882</v>
      </c>
      <c r="H107" s="301">
        <v>2021</v>
      </c>
      <c r="I107" s="301" t="s">
        <v>3851</v>
      </c>
      <c r="J107" s="301" t="s">
        <v>3852</v>
      </c>
      <c r="K107" s="301" t="s">
        <v>3852</v>
      </c>
      <c r="L107" s="300"/>
      <c r="M107" s="300"/>
      <c r="N107" s="300"/>
      <c r="O107" s="301" t="s">
        <v>4203</v>
      </c>
      <c r="P107" s="302"/>
      <c r="Q107" s="247"/>
      <c r="R107" s="247"/>
      <c r="S107" s="247"/>
      <c r="T107" s="247"/>
      <c r="U107" s="247"/>
      <c r="V107" s="247"/>
      <c r="W107" s="247"/>
      <c r="X107" s="247"/>
      <c r="Y107" s="247"/>
      <c r="Z107" s="247"/>
      <c r="AA107" s="247"/>
    </row>
    <row r="108" spans="1:27" ht="13" customHeight="1">
      <c r="A108" s="305">
        <v>26</v>
      </c>
      <c r="B108" s="301"/>
      <c r="C108" s="301" t="s">
        <v>4204</v>
      </c>
      <c r="D108" s="301" t="s">
        <v>4205</v>
      </c>
      <c r="E108" s="301" t="s">
        <v>4199</v>
      </c>
      <c r="F108" s="301" t="s">
        <v>3882</v>
      </c>
      <c r="G108" s="301" t="s">
        <v>3882</v>
      </c>
      <c r="H108" s="301">
        <v>2012</v>
      </c>
      <c r="I108" s="301" t="s">
        <v>3851</v>
      </c>
      <c r="J108" s="301" t="s">
        <v>3852</v>
      </c>
      <c r="K108" s="300"/>
      <c r="L108" s="300"/>
      <c r="M108" s="300"/>
      <c r="N108" s="300"/>
      <c r="O108" s="301" t="s">
        <v>4206</v>
      </c>
      <c r="P108" s="302"/>
      <c r="Q108" s="247"/>
      <c r="R108" s="247"/>
      <c r="S108" s="247"/>
      <c r="T108" s="247"/>
      <c r="U108" s="247"/>
      <c r="V108" s="247"/>
      <c r="W108" s="247"/>
      <c r="X108" s="247"/>
      <c r="Y108" s="247"/>
      <c r="Z108" s="247"/>
      <c r="AA108" s="247"/>
    </row>
    <row r="109" spans="1:27" ht="13" customHeight="1">
      <c r="A109" s="305">
        <v>27</v>
      </c>
      <c r="B109" s="301"/>
      <c r="C109" s="301" t="s">
        <v>4207</v>
      </c>
      <c r="D109" s="301" t="s">
        <v>4208</v>
      </c>
      <c r="E109" s="301" t="s">
        <v>4199</v>
      </c>
      <c r="F109" s="301" t="s">
        <v>3882</v>
      </c>
      <c r="G109" s="301" t="s">
        <v>3882</v>
      </c>
      <c r="H109" s="301">
        <v>2012</v>
      </c>
      <c r="I109" s="301" t="s">
        <v>3851</v>
      </c>
      <c r="J109" s="301" t="s">
        <v>3852</v>
      </c>
      <c r="K109" s="301" t="s">
        <v>3852</v>
      </c>
      <c r="L109" s="301" t="s">
        <v>3852</v>
      </c>
      <c r="M109" s="301" t="s">
        <v>3852</v>
      </c>
      <c r="N109" s="300"/>
      <c r="O109" s="301" t="s">
        <v>4209</v>
      </c>
      <c r="P109" s="302"/>
      <c r="Q109" s="247"/>
      <c r="R109" s="247"/>
      <c r="S109" s="247"/>
      <c r="T109" s="247"/>
      <c r="U109" s="247"/>
      <c r="V109" s="247"/>
      <c r="W109" s="247"/>
      <c r="X109" s="247"/>
      <c r="Y109" s="247"/>
      <c r="Z109" s="247"/>
      <c r="AA109" s="247"/>
    </row>
    <row r="110" spans="1:27" ht="13" customHeight="1">
      <c r="A110" s="305">
        <v>1</v>
      </c>
      <c r="B110" s="301"/>
      <c r="C110" s="301" t="s">
        <v>4210</v>
      </c>
      <c r="D110" s="301" t="s">
        <v>4211</v>
      </c>
      <c r="E110" s="301" t="s">
        <v>4199</v>
      </c>
      <c r="F110" s="301" t="s">
        <v>3882</v>
      </c>
      <c r="G110" s="301" t="s">
        <v>3882</v>
      </c>
      <c r="H110" s="301">
        <v>1991</v>
      </c>
      <c r="I110" s="301" t="s">
        <v>3851</v>
      </c>
      <c r="J110" s="300"/>
      <c r="K110" s="301" t="s">
        <v>3852</v>
      </c>
      <c r="L110" s="300"/>
      <c r="M110" s="300"/>
      <c r="N110" s="300"/>
      <c r="O110" s="301" t="s">
        <v>4212</v>
      </c>
      <c r="P110" s="302"/>
      <c r="Q110" s="247"/>
      <c r="R110" s="247"/>
      <c r="S110" s="247"/>
      <c r="T110" s="247"/>
      <c r="U110" s="247"/>
      <c r="V110" s="247"/>
      <c r="W110" s="247"/>
      <c r="X110" s="247"/>
      <c r="Y110" s="247"/>
      <c r="Z110" s="247"/>
      <c r="AA110" s="247"/>
    </row>
    <row r="111" spans="1:27" ht="13" customHeight="1">
      <c r="A111" s="305">
        <v>41</v>
      </c>
      <c r="B111" s="301"/>
      <c r="C111" s="301" t="s">
        <v>4213</v>
      </c>
      <c r="D111" s="301" t="s">
        <v>4214</v>
      </c>
      <c r="E111" s="301" t="s">
        <v>4215</v>
      </c>
      <c r="F111" s="301" t="s">
        <v>1078</v>
      </c>
      <c r="G111" s="301" t="s">
        <v>1078</v>
      </c>
      <c r="H111" s="301">
        <v>2016</v>
      </c>
      <c r="I111" s="301" t="s">
        <v>3851</v>
      </c>
      <c r="J111" s="300"/>
      <c r="K111" s="301" t="s">
        <v>3852</v>
      </c>
      <c r="L111" s="300"/>
      <c r="M111" s="300"/>
      <c r="N111" s="300"/>
      <c r="O111" s="301" t="s">
        <v>4216</v>
      </c>
      <c r="P111" s="302"/>
      <c r="Q111" s="247"/>
      <c r="R111" s="247"/>
      <c r="S111" s="247"/>
      <c r="T111" s="247"/>
      <c r="U111" s="247"/>
      <c r="V111" s="247"/>
      <c r="W111" s="247"/>
      <c r="X111" s="247"/>
      <c r="Y111" s="247"/>
      <c r="Z111" s="247"/>
      <c r="AA111" s="247"/>
    </row>
    <row r="112" spans="1:27" ht="13" customHeight="1">
      <c r="A112" s="299" t="s">
        <v>3829</v>
      </c>
      <c r="B112" s="300">
        <f>(SUM(B2:B111))</f>
        <v>25</v>
      </c>
      <c r="C112" s="300"/>
      <c r="D112" s="300"/>
      <c r="E112" s="300"/>
      <c r="F112" s="300"/>
      <c r="G112" s="300"/>
      <c r="H112" s="300"/>
      <c r="I112" s="300"/>
      <c r="J112" s="301">
        <v>76</v>
      </c>
      <c r="K112" s="301">
        <v>67</v>
      </c>
      <c r="L112" s="301">
        <v>17</v>
      </c>
      <c r="M112" s="301">
        <v>9</v>
      </c>
      <c r="N112" s="301">
        <v>5</v>
      </c>
      <c r="O112" s="300"/>
      <c r="P112" s="302"/>
      <c r="Q112" s="247"/>
      <c r="R112" s="247"/>
      <c r="S112" s="247"/>
      <c r="T112" s="247"/>
      <c r="U112" s="247"/>
      <c r="V112" s="247"/>
      <c r="W112" s="247"/>
      <c r="X112" s="247"/>
      <c r="Y112" s="247"/>
      <c r="Z112" s="247"/>
      <c r="AA112" s="247"/>
    </row>
    <row r="113" spans="1:27" ht="13" customHeight="1">
      <c r="A113" s="271"/>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c r="AA113" s="247"/>
    </row>
    <row r="114" spans="1:27" ht="13" customHeight="1">
      <c r="A114" s="271"/>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c r="AA114" s="247"/>
    </row>
    <row r="115" spans="1:27" ht="13" customHeight="1">
      <c r="A115" s="271"/>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c r="AA115" s="247"/>
    </row>
    <row r="116" spans="1:27" ht="13" customHeight="1">
      <c r="A116" s="271"/>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c r="AA116" s="247"/>
    </row>
    <row r="117" spans="1:27" ht="13" customHeight="1">
      <c r="A117" s="271"/>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c r="AA117" s="247"/>
    </row>
    <row r="118" spans="1:27" ht="13" customHeight="1">
      <c r="A118" s="271"/>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c r="AA118" s="247"/>
    </row>
    <row r="119" spans="1:27" ht="13" customHeight="1">
      <c r="A119" s="271"/>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c r="AA119" s="247"/>
    </row>
    <row r="120" spans="1:27" ht="13" customHeight="1">
      <c r="A120" s="271"/>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c r="AA120" s="247"/>
    </row>
    <row r="121" spans="1:27" ht="13" customHeight="1">
      <c r="A121" s="271"/>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c r="AA121" s="247"/>
    </row>
    <row r="122" spans="1:27" ht="13" customHeight="1">
      <c r="A122" s="271"/>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c r="AA122" s="247"/>
    </row>
    <row r="123" spans="1:27" ht="13" customHeight="1">
      <c r="A123" s="271"/>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c r="AA123" s="247"/>
    </row>
    <row r="124" spans="1:27" ht="13" customHeight="1">
      <c r="A124" s="271"/>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c r="AA124" s="247"/>
    </row>
    <row r="125" spans="1:27" ht="13" customHeight="1">
      <c r="A125" s="271"/>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c r="AA125" s="247"/>
    </row>
    <row r="126" spans="1:27" ht="13" customHeight="1">
      <c r="A126" s="271"/>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c r="AA126" s="247"/>
    </row>
    <row r="127" spans="1:27" ht="13" customHeight="1">
      <c r="A127" s="271"/>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c r="AA127" s="247"/>
    </row>
    <row r="128" spans="1:27" ht="13" customHeight="1">
      <c r="A128" s="271"/>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c r="AA128" s="247"/>
    </row>
    <row r="129" spans="1:27" ht="13" customHeight="1">
      <c r="A129" s="271"/>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c r="AA129" s="247"/>
    </row>
    <row r="130" spans="1:27" ht="13" customHeight="1">
      <c r="A130" s="271"/>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c r="AA130" s="247"/>
    </row>
    <row r="131" spans="1:27" ht="13" customHeight="1">
      <c r="A131" s="271"/>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c r="AA131" s="247"/>
    </row>
    <row r="132" spans="1:27" ht="13" customHeight="1">
      <c r="A132" s="271"/>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c r="AA132" s="247"/>
    </row>
    <row r="133" spans="1:27" ht="13" customHeight="1">
      <c r="A133" s="271"/>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c r="AA133" s="247"/>
    </row>
    <row r="134" spans="1:27" ht="13" customHeight="1">
      <c r="A134" s="271"/>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c r="AA134" s="247"/>
    </row>
    <row r="135" spans="1:27" ht="13" customHeight="1">
      <c r="A135" s="271"/>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c r="AA135" s="247"/>
    </row>
    <row r="136" spans="1:27" ht="13" customHeight="1">
      <c r="A136" s="271"/>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c r="AA136" s="247"/>
    </row>
    <row r="137" spans="1:27" ht="13" customHeight="1">
      <c r="A137" s="271"/>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c r="AA137" s="247"/>
    </row>
    <row r="138" spans="1:27" ht="13" customHeight="1">
      <c r="A138" s="271"/>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c r="AA138" s="247"/>
    </row>
    <row r="139" spans="1:27" ht="13" customHeight="1">
      <c r="A139" s="271"/>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c r="AA139" s="247"/>
    </row>
    <row r="140" spans="1:27" ht="13" customHeight="1">
      <c r="A140" s="271"/>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c r="AA140" s="247"/>
    </row>
    <row r="141" spans="1:27" ht="13" customHeight="1">
      <c r="A141" s="271"/>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c r="AA141" s="247"/>
    </row>
    <row r="142" spans="1:27" ht="13" customHeight="1">
      <c r="A142" s="271"/>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c r="AA142" s="247"/>
    </row>
    <row r="143" spans="1:27" ht="13" customHeight="1">
      <c r="A143" s="271"/>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c r="AA143" s="247"/>
    </row>
    <row r="144" spans="1:27" ht="13" customHeight="1">
      <c r="A144" s="271"/>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c r="AA144" s="247"/>
    </row>
    <row r="145" spans="1:27" ht="13" customHeight="1">
      <c r="A145" s="271"/>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c r="AA145" s="247"/>
    </row>
    <row r="146" spans="1:27" ht="13" customHeight="1">
      <c r="A146" s="271"/>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c r="AA146" s="247"/>
    </row>
    <row r="147" spans="1:27" ht="13" customHeight="1">
      <c r="A147" s="271"/>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c r="AA147" s="247"/>
    </row>
    <row r="148" spans="1:27" ht="13" customHeight="1">
      <c r="A148" s="271"/>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c r="AA148" s="247"/>
    </row>
    <row r="149" spans="1:27" ht="13" customHeight="1">
      <c r="A149" s="271"/>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c r="AA149" s="247"/>
    </row>
    <row r="150" spans="1:27" ht="13" customHeight="1">
      <c r="A150" s="271"/>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c r="AA150" s="247"/>
    </row>
    <row r="151" spans="1:27" ht="13" customHeight="1">
      <c r="A151" s="271"/>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c r="AA151" s="247"/>
    </row>
    <row r="152" spans="1:27" ht="13" customHeight="1">
      <c r="A152" s="271"/>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c r="AA152" s="247"/>
    </row>
    <row r="153" spans="1:27" ht="13" customHeight="1">
      <c r="A153" s="271"/>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c r="AA153" s="247"/>
    </row>
    <row r="154" spans="1:27" ht="13" customHeight="1">
      <c r="A154" s="271"/>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c r="AA154" s="247"/>
    </row>
    <row r="155" spans="1:27" ht="13" customHeight="1">
      <c r="A155" s="271"/>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c r="AA155" s="247"/>
    </row>
    <row r="156" spans="1:27" ht="13" customHeight="1">
      <c r="A156" s="271"/>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c r="AA156" s="247"/>
    </row>
    <row r="157" spans="1:27" ht="13" customHeight="1">
      <c r="A157" s="271"/>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c r="AA157" s="247"/>
    </row>
    <row r="158" spans="1:27" ht="13" customHeight="1">
      <c r="A158" s="271"/>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c r="AA158" s="247"/>
    </row>
    <row r="159" spans="1:27" ht="13" customHeight="1">
      <c r="A159" s="271"/>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c r="AA159" s="247"/>
    </row>
    <row r="160" spans="1:27" ht="13" customHeight="1">
      <c r="A160" s="271"/>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c r="AA160" s="247"/>
    </row>
    <row r="161" spans="1:27" ht="13" customHeight="1">
      <c r="A161" s="271"/>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c r="AA161" s="247"/>
    </row>
    <row r="162" spans="1:27" ht="13" customHeight="1">
      <c r="A162" s="271"/>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c r="AA162" s="247"/>
    </row>
    <row r="163" spans="1:27" ht="13" customHeight="1">
      <c r="A163" s="271"/>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c r="AA163" s="247"/>
    </row>
    <row r="164" spans="1:27" ht="13" customHeight="1">
      <c r="A164" s="271"/>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c r="AA164" s="247"/>
    </row>
    <row r="165" spans="1:27" ht="13" customHeight="1">
      <c r="A165" s="271"/>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c r="AA165" s="247"/>
    </row>
    <row r="166" spans="1:27" ht="13" customHeight="1">
      <c r="A166" s="271"/>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c r="AA166" s="247"/>
    </row>
    <row r="167" spans="1:27" ht="13" customHeight="1">
      <c r="A167" s="271"/>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c r="AA167" s="247"/>
    </row>
    <row r="168" spans="1:27" ht="13" customHeight="1">
      <c r="A168" s="271"/>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c r="AA168" s="247"/>
    </row>
    <row r="169" spans="1:27" ht="13" customHeight="1">
      <c r="A169" s="271"/>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c r="AA169" s="247"/>
    </row>
    <row r="170" spans="1:27" ht="13" customHeight="1">
      <c r="A170" s="271"/>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c r="AA170" s="247"/>
    </row>
    <row r="171" spans="1:27" ht="13" customHeight="1">
      <c r="A171" s="271"/>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c r="AA171" s="247"/>
    </row>
    <row r="172" spans="1:27" ht="13" customHeight="1">
      <c r="A172" s="271"/>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c r="AA172" s="247"/>
    </row>
    <row r="173" spans="1:27" ht="13" customHeight="1">
      <c r="A173" s="271"/>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c r="AA173" s="247"/>
    </row>
    <row r="174" spans="1:27" ht="13" customHeight="1">
      <c r="A174" s="271"/>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c r="AA174" s="247"/>
    </row>
    <row r="175" spans="1:27" ht="13" customHeight="1">
      <c r="A175" s="271"/>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c r="AA175" s="247"/>
    </row>
    <row r="176" spans="1:27" ht="13" customHeight="1">
      <c r="A176" s="271"/>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c r="AA176" s="247"/>
    </row>
    <row r="177" spans="1:27" ht="13" customHeight="1">
      <c r="A177" s="271"/>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c r="AA177" s="247"/>
    </row>
    <row r="178" spans="1:27" ht="13" customHeight="1">
      <c r="A178" s="271"/>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c r="AA178" s="247"/>
    </row>
    <row r="179" spans="1:27" ht="13" customHeight="1">
      <c r="A179" s="271"/>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c r="AA179" s="247"/>
    </row>
    <row r="180" spans="1:27" ht="13" customHeight="1">
      <c r="A180" s="271"/>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c r="AA180" s="247"/>
    </row>
    <row r="181" spans="1:27" ht="13" customHeight="1">
      <c r="A181" s="271"/>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c r="AA181" s="247"/>
    </row>
    <row r="182" spans="1:27" ht="13" customHeight="1">
      <c r="A182" s="271"/>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c r="AA182" s="247"/>
    </row>
    <row r="183" spans="1:27" ht="13" customHeight="1">
      <c r="A183" s="271"/>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c r="AA183" s="247"/>
    </row>
    <row r="184" spans="1:27" ht="13" customHeight="1">
      <c r="A184" s="271"/>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c r="AA184" s="247"/>
    </row>
    <row r="185" spans="1:27" ht="13" customHeight="1">
      <c r="A185" s="271"/>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c r="AA185" s="247"/>
    </row>
    <row r="186" spans="1:27" ht="13" customHeight="1">
      <c r="A186" s="271"/>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c r="AA186" s="247"/>
    </row>
    <row r="187" spans="1:27" ht="13" customHeight="1">
      <c r="A187" s="271"/>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c r="AA187" s="247"/>
    </row>
    <row r="188" spans="1:27" ht="13" customHeight="1">
      <c r="A188" s="271"/>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c r="AA188" s="247"/>
    </row>
    <row r="189" spans="1:27" ht="13" customHeight="1">
      <c r="A189" s="271"/>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c r="AA189" s="247"/>
    </row>
    <row r="190" spans="1:27" ht="13" customHeight="1">
      <c r="A190" s="271"/>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c r="AA190" s="247"/>
    </row>
    <row r="191" spans="1:27" ht="13" customHeight="1">
      <c r="A191" s="271"/>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c r="AA191" s="247"/>
    </row>
    <row r="192" spans="1:27" ht="13" customHeight="1">
      <c r="A192" s="271"/>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c r="AA192" s="247"/>
    </row>
    <row r="193" spans="1:27" ht="13" customHeight="1">
      <c r="A193" s="271"/>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c r="AA193" s="247"/>
    </row>
    <row r="194" spans="1:27" ht="13" customHeight="1">
      <c r="A194" s="271"/>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c r="AA194" s="247"/>
    </row>
    <row r="195" spans="1:27" ht="13" customHeight="1">
      <c r="A195" s="271"/>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c r="AA195" s="247"/>
    </row>
    <row r="196" spans="1:27" ht="13" customHeight="1">
      <c r="A196" s="271"/>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c r="AA196" s="247"/>
    </row>
    <row r="197" spans="1:27" ht="13" customHeight="1">
      <c r="A197" s="271"/>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c r="AA197" s="247"/>
    </row>
    <row r="198" spans="1:27" ht="13" customHeight="1">
      <c r="A198" s="271"/>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c r="AA198" s="247"/>
    </row>
    <row r="199" spans="1:27" ht="13" customHeight="1">
      <c r="A199" s="271"/>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c r="AA199" s="247"/>
    </row>
    <row r="200" spans="1:27" ht="13" customHeight="1">
      <c r="A200" s="271"/>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c r="AA200" s="247"/>
    </row>
    <row r="201" spans="1:27" ht="13" customHeight="1">
      <c r="A201" s="271"/>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c r="AA201" s="247"/>
    </row>
    <row r="202" spans="1:27" ht="13" customHeight="1">
      <c r="A202" s="271"/>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c r="AA202" s="247"/>
    </row>
    <row r="203" spans="1:27" ht="13" customHeight="1">
      <c r="A203" s="271"/>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c r="AA203" s="247"/>
    </row>
    <row r="204" spans="1:27" ht="13" customHeight="1">
      <c r="A204" s="271"/>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c r="AA204" s="247"/>
    </row>
    <row r="205" spans="1:27" ht="13" customHeight="1">
      <c r="A205" s="271"/>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c r="AA205" s="247"/>
    </row>
    <row r="206" spans="1:27" ht="13" customHeight="1">
      <c r="A206" s="271"/>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c r="AA206" s="247"/>
    </row>
    <row r="207" spans="1:27" ht="13" customHeight="1">
      <c r="A207" s="271"/>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c r="AA207" s="247"/>
    </row>
    <row r="208" spans="1:27" ht="13" customHeight="1">
      <c r="A208" s="271"/>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c r="AA208" s="247"/>
    </row>
    <row r="209" spans="1:27" ht="13" customHeight="1">
      <c r="A209" s="271"/>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c r="AA209" s="247"/>
    </row>
    <row r="210" spans="1:27" ht="13" customHeight="1">
      <c r="A210" s="271"/>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c r="AA210" s="247"/>
    </row>
    <row r="211" spans="1:27" ht="13" customHeight="1">
      <c r="A211" s="271"/>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c r="AA211" s="247"/>
    </row>
    <row r="212" spans="1:27" ht="13" customHeight="1">
      <c r="A212" s="271"/>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c r="AA212" s="247"/>
    </row>
    <row r="213" spans="1:27" ht="13" customHeight="1">
      <c r="A213" s="271"/>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c r="AA213" s="247"/>
    </row>
    <row r="214" spans="1:27" ht="13" customHeight="1">
      <c r="A214" s="271"/>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c r="AA214" s="247"/>
    </row>
    <row r="215" spans="1:27" ht="13" customHeight="1">
      <c r="A215" s="271"/>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c r="AA215" s="247"/>
    </row>
    <row r="216" spans="1:27" ht="13" customHeight="1">
      <c r="A216" s="271"/>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c r="AA216" s="247"/>
    </row>
    <row r="217" spans="1:27" ht="13" customHeight="1">
      <c r="A217" s="271"/>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c r="AA217" s="247"/>
    </row>
    <row r="218" spans="1:27" ht="13" customHeight="1">
      <c r="A218" s="271"/>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c r="AA218" s="247"/>
    </row>
    <row r="219" spans="1:27" ht="13" customHeight="1">
      <c r="A219" s="271"/>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c r="AA219" s="247"/>
    </row>
    <row r="220" spans="1:27" ht="13" customHeight="1">
      <c r="A220" s="271"/>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c r="AA220" s="247"/>
    </row>
    <row r="221" spans="1:27" ht="13" customHeight="1">
      <c r="A221" s="271"/>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c r="AA221" s="247"/>
    </row>
    <row r="222" spans="1:27" ht="13" customHeight="1">
      <c r="A222" s="271"/>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c r="AA222" s="247"/>
    </row>
    <row r="223" spans="1:27" ht="13" customHeight="1">
      <c r="A223" s="271"/>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c r="AA223" s="247"/>
    </row>
    <row r="224" spans="1:27" ht="13" customHeight="1">
      <c r="A224" s="271"/>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c r="AA224" s="247"/>
    </row>
    <row r="225" spans="1:27" ht="13" customHeight="1">
      <c r="A225" s="271"/>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c r="AA225" s="247"/>
    </row>
    <row r="226" spans="1:27" ht="13" customHeight="1">
      <c r="A226" s="271"/>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c r="AA226" s="247"/>
    </row>
    <row r="227" spans="1:27" ht="13" customHeight="1">
      <c r="A227" s="271"/>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c r="AA227" s="247"/>
    </row>
    <row r="228" spans="1:27" ht="13" customHeight="1">
      <c r="A228" s="271"/>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c r="AA228" s="247"/>
    </row>
    <row r="229" spans="1:27" ht="13" customHeight="1">
      <c r="A229" s="271"/>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c r="AA229" s="247"/>
    </row>
    <row r="230" spans="1:27" ht="13" customHeight="1">
      <c r="A230" s="271"/>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c r="AA230" s="247"/>
    </row>
    <row r="231" spans="1:27" ht="13" customHeight="1">
      <c r="A231" s="271"/>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c r="AA231" s="247"/>
    </row>
    <row r="232" spans="1:27" ht="13" customHeight="1">
      <c r="A232" s="271"/>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c r="AA232" s="247"/>
    </row>
    <row r="233" spans="1:27" ht="13" customHeight="1">
      <c r="A233" s="271"/>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c r="AA233" s="247"/>
    </row>
    <row r="234" spans="1:27" ht="13" customHeight="1">
      <c r="A234" s="271"/>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c r="AA234" s="247"/>
    </row>
    <row r="235" spans="1:27" ht="13" customHeight="1">
      <c r="A235" s="271"/>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c r="AA235" s="247"/>
    </row>
    <row r="236" spans="1:27" ht="13" customHeight="1">
      <c r="A236" s="271"/>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c r="AA236" s="247"/>
    </row>
    <row r="237" spans="1:27" ht="13" customHeight="1">
      <c r="A237" s="271"/>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c r="AA237" s="247"/>
    </row>
    <row r="238" spans="1:27" ht="13" customHeight="1">
      <c r="A238" s="271"/>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c r="AA238" s="247"/>
    </row>
    <row r="239" spans="1:27" ht="13" customHeight="1">
      <c r="A239" s="271"/>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c r="AA239" s="247"/>
    </row>
    <row r="240" spans="1:27" ht="13" customHeight="1">
      <c r="A240" s="271"/>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c r="AA240" s="247"/>
    </row>
    <row r="241" spans="1:27" ht="13" customHeight="1">
      <c r="A241" s="271"/>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c r="AA241" s="247"/>
    </row>
    <row r="242" spans="1:27" ht="13" customHeight="1">
      <c r="A242" s="271"/>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c r="AA242" s="247"/>
    </row>
    <row r="243" spans="1:27" ht="13" customHeight="1">
      <c r="A243" s="271"/>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c r="AA243" s="247"/>
    </row>
    <row r="244" spans="1:27" ht="13" customHeight="1">
      <c r="A244" s="271"/>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c r="AA244" s="247"/>
    </row>
    <row r="245" spans="1:27" ht="13" customHeight="1">
      <c r="A245" s="271"/>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c r="AA245" s="247"/>
    </row>
    <row r="246" spans="1:27" ht="13" customHeight="1">
      <c r="A246" s="271"/>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c r="AA246" s="247"/>
    </row>
    <row r="247" spans="1:27" ht="13" customHeight="1">
      <c r="A247" s="271"/>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c r="AA247" s="247"/>
    </row>
    <row r="248" spans="1:27" ht="13" customHeight="1">
      <c r="A248" s="271"/>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c r="AA248" s="247"/>
    </row>
    <row r="249" spans="1:27" ht="13" customHeight="1">
      <c r="A249" s="271"/>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c r="AA249" s="247"/>
    </row>
    <row r="250" spans="1:27" ht="13" customHeight="1">
      <c r="A250" s="271"/>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c r="AA250" s="247"/>
    </row>
    <row r="251" spans="1:27" ht="13" customHeight="1">
      <c r="A251" s="271"/>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c r="AA251" s="247"/>
    </row>
    <row r="252" spans="1:27" ht="13" customHeight="1">
      <c r="A252" s="271"/>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c r="AA252" s="247"/>
    </row>
    <row r="253" spans="1:27" ht="13" customHeight="1">
      <c r="A253" s="271"/>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c r="AA253" s="247"/>
    </row>
    <row r="254" spans="1:27" ht="13" customHeight="1">
      <c r="A254" s="271"/>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c r="AA254" s="247"/>
    </row>
    <row r="255" spans="1:27" ht="13" customHeight="1">
      <c r="A255" s="271"/>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c r="AA255" s="247"/>
    </row>
    <row r="256" spans="1:27" ht="13" customHeight="1">
      <c r="A256" s="271"/>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c r="AA256" s="247"/>
    </row>
    <row r="257" spans="1:27" ht="13" customHeight="1">
      <c r="A257" s="271"/>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c r="AA257" s="247"/>
    </row>
    <row r="258" spans="1:27" ht="13" customHeight="1">
      <c r="A258" s="271"/>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c r="AA258" s="247"/>
    </row>
    <row r="259" spans="1:27" ht="13" customHeight="1">
      <c r="A259" s="271"/>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c r="AA259" s="247"/>
    </row>
    <row r="260" spans="1:27" ht="13" customHeight="1">
      <c r="A260" s="271"/>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c r="AA260" s="247"/>
    </row>
    <row r="261" spans="1:27" ht="13" customHeight="1">
      <c r="A261" s="271"/>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c r="AA261" s="247"/>
    </row>
    <row r="262" spans="1:27" ht="13" customHeight="1">
      <c r="A262" s="271"/>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c r="AA262" s="247"/>
    </row>
    <row r="263" spans="1:27" ht="13" customHeight="1">
      <c r="A263" s="271"/>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c r="AA263" s="247"/>
    </row>
    <row r="264" spans="1:27" ht="13" customHeight="1">
      <c r="A264" s="271"/>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c r="AA264" s="247"/>
    </row>
    <row r="265" spans="1:27" ht="13" customHeight="1">
      <c r="A265" s="271"/>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c r="AA265" s="247"/>
    </row>
    <row r="266" spans="1:27" ht="13" customHeight="1">
      <c r="A266" s="271"/>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c r="AA266" s="247"/>
    </row>
    <row r="267" spans="1:27" ht="13" customHeight="1">
      <c r="A267" s="271"/>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c r="AA267" s="247"/>
    </row>
    <row r="268" spans="1:27" ht="13" customHeight="1">
      <c r="A268" s="271"/>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c r="AA268" s="247"/>
    </row>
    <row r="269" spans="1:27" ht="13" customHeight="1">
      <c r="A269" s="271"/>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c r="AA269" s="247"/>
    </row>
    <row r="270" spans="1:27" ht="13" customHeight="1">
      <c r="A270" s="271"/>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c r="AA270" s="247"/>
    </row>
    <row r="271" spans="1:27" ht="13" customHeight="1">
      <c r="A271" s="271"/>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c r="AA271" s="247"/>
    </row>
    <row r="272" spans="1:27" ht="13" customHeight="1">
      <c r="A272" s="271"/>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c r="AA272" s="247"/>
    </row>
    <row r="273" spans="1:27" ht="13" customHeight="1">
      <c r="A273" s="271"/>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c r="AA273" s="247"/>
    </row>
    <row r="274" spans="1:27" ht="13" customHeight="1">
      <c r="A274" s="271"/>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c r="AA274" s="247"/>
    </row>
    <row r="275" spans="1:27" ht="13" customHeight="1">
      <c r="A275" s="271"/>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c r="AA275" s="247"/>
    </row>
    <row r="276" spans="1:27" ht="13" customHeight="1">
      <c r="A276" s="271"/>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c r="AA276" s="247"/>
    </row>
    <row r="277" spans="1:27" ht="13" customHeight="1">
      <c r="A277" s="271"/>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c r="AA277" s="247"/>
    </row>
    <row r="278" spans="1:27" ht="13" customHeight="1">
      <c r="A278" s="271"/>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c r="AA278" s="247"/>
    </row>
    <row r="279" spans="1:27" ht="13" customHeight="1">
      <c r="A279" s="271"/>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c r="AA279" s="247"/>
    </row>
    <row r="280" spans="1:27" ht="13" customHeight="1">
      <c r="A280" s="271"/>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c r="AA280" s="247"/>
    </row>
    <row r="281" spans="1:27" ht="13" customHeight="1">
      <c r="A281" s="271"/>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c r="AA281" s="247"/>
    </row>
    <row r="282" spans="1:27" ht="13" customHeight="1">
      <c r="A282" s="271"/>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c r="AA282" s="247"/>
    </row>
    <row r="283" spans="1:27" ht="13" customHeight="1">
      <c r="A283" s="271"/>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c r="AA283" s="247"/>
    </row>
    <row r="284" spans="1:27" ht="13" customHeight="1">
      <c r="A284" s="271"/>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c r="AA284" s="247"/>
    </row>
    <row r="285" spans="1:27" ht="13" customHeight="1">
      <c r="A285" s="271"/>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c r="AA285" s="247"/>
    </row>
    <row r="286" spans="1:27" ht="13" customHeight="1">
      <c r="A286" s="271"/>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c r="AA286" s="247"/>
    </row>
    <row r="287" spans="1:27" ht="13" customHeight="1">
      <c r="A287" s="271"/>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c r="AA287" s="247"/>
    </row>
    <row r="288" spans="1:27" ht="13" customHeight="1">
      <c r="A288" s="271"/>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c r="AA288" s="247"/>
    </row>
    <row r="289" spans="1:27" ht="13" customHeight="1">
      <c r="A289" s="271"/>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c r="AA289" s="247"/>
    </row>
    <row r="290" spans="1:27" ht="13" customHeight="1">
      <c r="A290" s="271"/>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c r="AA290" s="247"/>
    </row>
    <row r="291" spans="1:27" ht="13" customHeight="1">
      <c r="A291" s="271"/>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c r="AA291" s="247"/>
    </row>
    <row r="292" spans="1:27" ht="13" customHeight="1">
      <c r="A292" s="271"/>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c r="AA292" s="247"/>
    </row>
    <row r="293" spans="1:27" ht="13" customHeight="1">
      <c r="A293" s="271"/>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c r="AA293" s="247"/>
    </row>
    <row r="294" spans="1:27" ht="13" customHeight="1">
      <c r="A294" s="271"/>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c r="AA294" s="247"/>
    </row>
    <row r="295" spans="1:27" ht="13" customHeight="1">
      <c r="A295" s="271"/>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c r="AA295" s="247"/>
    </row>
    <row r="296" spans="1:27" ht="13" customHeight="1">
      <c r="A296" s="271"/>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c r="AA296" s="247"/>
    </row>
    <row r="297" spans="1:27" ht="13" customHeight="1">
      <c r="A297" s="271"/>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c r="AA297" s="247"/>
    </row>
    <row r="298" spans="1:27" ht="13" customHeight="1">
      <c r="A298" s="271"/>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c r="AA298" s="247"/>
    </row>
    <row r="299" spans="1:27" ht="13" customHeight="1">
      <c r="A299" s="271"/>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c r="AA299" s="247"/>
    </row>
    <row r="300" spans="1:27" ht="13" customHeight="1">
      <c r="A300" s="271"/>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c r="AA300" s="247"/>
    </row>
    <row r="301" spans="1:27" ht="13" customHeight="1">
      <c r="A301" s="271"/>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c r="AA301" s="247"/>
    </row>
    <row r="302" spans="1:27" ht="13" customHeight="1">
      <c r="A302" s="271"/>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c r="AA302" s="247"/>
    </row>
    <row r="303" spans="1:27" ht="13" customHeight="1">
      <c r="A303" s="271"/>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c r="AA303" s="247"/>
    </row>
    <row r="304" spans="1:27" ht="13" customHeight="1">
      <c r="A304" s="271"/>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c r="AA304" s="247"/>
    </row>
    <row r="305" spans="1:27" ht="13" customHeight="1">
      <c r="A305" s="271"/>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c r="AA305" s="247"/>
    </row>
    <row r="306" spans="1:27" ht="13" customHeight="1">
      <c r="A306" s="271"/>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c r="AA306" s="247"/>
    </row>
    <row r="307" spans="1:27" ht="13" customHeight="1">
      <c r="A307" s="271"/>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c r="AA307" s="247"/>
    </row>
    <row r="308" spans="1:27" ht="13" customHeight="1">
      <c r="A308" s="271"/>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c r="AA308" s="247"/>
    </row>
    <row r="309" spans="1:27" ht="13" customHeight="1">
      <c r="A309" s="271"/>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c r="AA309" s="247"/>
    </row>
    <row r="310" spans="1:27" ht="13" customHeight="1">
      <c r="A310" s="271"/>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c r="AA310" s="247"/>
    </row>
    <row r="311" spans="1:27" ht="13" customHeight="1">
      <c r="A311" s="271"/>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c r="AA311" s="247"/>
    </row>
    <row r="312" spans="1:27" ht="13" customHeight="1">
      <c r="A312" s="271"/>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c r="AA312" s="247"/>
    </row>
    <row r="313" spans="1:27" ht="13" customHeight="1">
      <c r="A313" s="271"/>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c r="AA313" s="247"/>
    </row>
    <row r="314" spans="1:27" ht="13" customHeight="1">
      <c r="A314" s="271"/>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c r="AA314" s="247"/>
    </row>
    <row r="315" spans="1:27" ht="13" customHeight="1">
      <c r="A315" s="271"/>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c r="AA315" s="247"/>
    </row>
    <row r="316" spans="1:27" ht="13" customHeight="1">
      <c r="A316" s="271"/>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c r="AA316" s="247"/>
    </row>
    <row r="317" spans="1:27" ht="13" customHeight="1">
      <c r="A317" s="271"/>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c r="AA317" s="247"/>
    </row>
    <row r="318" spans="1:27" ht="13" customHeight="1">
      <c r="A318" s="271"/>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c r="AA318" s="247"/>
    </row>
    <row r="319" spans="1:27" ht="13" customHeight="1">
      <c r="A319" s="271"/>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c r="AA319" s="247"/>
    </row>
    <row r="320" spans="1:27" ht="13" customHeight="1">
      <c r="A320" s="271"/>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c r="AA320" s="247"/>
    </row>
    <row r="321" spans="1:27" ht="13" customHeight="1">
      <c r="A321" s="271"/>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c r="AA321" s="247"/>
    </row>
    <row r="322" spans="1:27" ht="13" customHeight="1">
      <c r="A322" s="271"/>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c r="AA322" s="247"/>
    </row>
    <row r="323" spans="1:27" ht="13" customHeight="1">
      <c r="A323" s="271"/>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c r="AA323" s="247"/>
    </row>
    <row r="324" spans="1:27" ht="13" customHeight="1">
      <c r="A324" s="271"/>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c r="AA324" s="247"/>
    </row>
    <row r="325" spans="1:27" ht="13" customHeight="1">
      <c r="A325" s="271"/>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c r="AA325" s="247"/>
    </row>
    <row r="326" spans="1:27" ht="13" customHeight="1">
      <c r="A326" s="271"/>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c r="AA326" s="247"/>
    </row>
    <row r="327" spans="1:27" ht="13" customHeight="1">
      <c r="A327" s="271"/>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c r="AA327" s="247"/>
    </row>
    <row r="328" spans="1:27" ht="13" customHeight="1">
      <c r="A328" s="271"/>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c r="AA328" s="247"/>
    </row>
    <row r="329" spans="1:27" ht="13" customHeight="1">
      <c r="A329" s="271"/>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c r="AA329" s="247"/>
    </row>
    <row r="330" spans="1:27" ht="13" customHeight="1">
      <c r="A330" s="271"/>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c r="AA330" s="247"/>
    </row>
    <row r="331" spans="1:27" ht="13" customHeight="1">
      <c r="A331" s="271"/>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c r="AA331" s="247"/>
    </row>
    <row r="332" spans="1:27" ht="13" customHeight="1">
      <c r="A332" s="271"/>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c r="AA332" s="247"/>
    </row>
    <row r="333" spans="1:27" ht="13" customHeight="1">
      <c r="A333" s="271"/>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c r="AA333" s="247"/>
    </row>
    <row r="334" spans="1:27" ht="13" customHeight="1">
      <c r="A334" s="271"/>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c r="AA334" s="247"/>
    </row>
    <row r="335" spans="1:27" ht="13" customHeight="1">
      <c r="A335" s="271"/>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c r="AA335" s="247"/>
    </row>
    <row r="336" spans="1:27" ht="13" customHeight="1">
      <c r="A336" s="271"/>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c r="AA336" s="247"/>
    </row>
    <row r="337" spans="1:27" ht="13" customHeight="1">
      <c r="A337" s="271"/>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c r="AA337" s="247"/>
    </row>
    <row r="338" spans="1:27" ht="13" customHeight="1">
      <c r="A338" s="271"/>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c r="AA338" s="247"/>
    </row>
    <row r="339" spans="1:27" ht="13" customHeight="1">
      <c r="A339" s="271"/>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c r="AA339" s="247"/>
    </row>
    <row r="340" spans="1:27" ht="13" customHeight="1">
      <c r="A340" s="271"/>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c r="AA340" s="247"/>
    </row>
    <row r="341" spans="1:27" ht="13" customHeight="1">
      <c r="A341" s="271"/>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c r="AA341" s="247"/>
    </row>
    <row r="342" spans="1:27" ht="13" customHeight="1">
      <c r="A342" s="271"/>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c r="AA342" s="247"/>
    </row>
    <row r="343" spans="1:27" ht="13" customHeight="1">
      <c r="A343" s="271"/>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c r="AA343" s="247"/>
    </row>
    <row r="344" spans="1:27" ht="13" customHeight="1">
      <c r="A344" s="271"/>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c r="AA344" s="247"/>
    </row>
    <row r="345" spans="1:27" ht="13" customHeight="1">
      <c r="A345" s="271"/>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c r="AA345" s="247"/>
    </row>
    <row r="346" spans="1:27" ht="13" customHeight="1">
      <c r="A346" s="271"/>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c r="AA346" s="247"/>
    </row>
    <row r="347" spans="1:27" ht="13" customHeight="1">
      <c r="A347" s="271"/>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c r="AA347" s="247"/>
    </row>
    <row r="348" spans="1:27" ht="13" customHeight="1">
      <c r="A348" s="271"/>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c r="AA348" s="247"/>
    </row>
    <row r="349" spans="1:27" ht="13" customHeight="1">
      <c r="A349" s="271"/>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c r="AA349" s="247"/>
    </row>
    <row r="350" spans="1:27" ht="13" customHeight="1">
      <c r="A350" s="271"/>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c r="AA350" s="247"/>
    </row>
    <row r="351" spans="1:27" ht="13" customHeight="1">
      <c r="A351" s="271"/>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c r="AA351" s="247"/>
    </row>
    <row r="352" spans="1:27" ht="13" customHeight="1">
      <c r="A352" s="271"/>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c r="AA352" s="247"/>
    </row>
    <row r="353" spans="1:27" ht="13" customHeight="1">
      <c r="A353" s="271"/>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c r="AA353" s="247"/>
    </row>
    <row r="354" spans="1:27" ht="13" customHeight="1">
      <c r="A354" s="271"/>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c r="AA354" s="247"/>
    </row>
    <row r="355" spans="1:27" ht="13" customHeight="1">
      <c r="A355" s="271"/>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c r="AA355" s="247"/>
    </row>
    <row r="356" spans="1:27" ht="13" customHeight="1">
      <c r="A356" s="271"/>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c r="AA356" s="247"/>
    </row>
    <row r="357" spans="1:27" ht="13" customHeight="1">
      <c r="A357" s="271"/>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c r="AA357" s="247"/>
    </row>
    <row r="358" spans="1:27" ht="13" customHeight="1">
      <c r="A358" s="271"/>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c r="AA358" s="247"/>
    </row>
    <row r="359" spans="1:27" ht="13" customHeight="1">
      <c r="A359" s="271"/>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c r="AA359" s="247"/>
    </row>
    <row r="360" spans="1:27" ht="13" customHeight="1">
      <c r="A360" s="271"/>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c r="AA360" s="247"/>
    </row>
    <row r="361" spans="1:27" ht="13" customHeight="1">
      <c r="A361" s="271"/>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c r="AA361" s="247"/>
    </row>
    <row r="362" spans="1:27" ht="13" customHeight="1">
      <c r="A362" s="271"/>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c r="AA362" s="247"/>
    </row>
    <row r="363" spans="1:27" ht="13" customHeight="1">
      <c r="A363" s="271"/>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c r="AA363" s="247"/>
    </row>
    <row r="364" spans="1:27" ht="13" customHeight="1">
      <c r="A364" s="271"/>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c r="AA364" s="247"/>
    </row>
    <row r="365" spans="1:27" ht="13" customHeight="1">
      <c r="A365" s="271"/>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c r="AA365" s="247"/>
    </row>
    <row r="366" spans="1:27" ht="13" customHeight="1">
      <c r="A366" s="271"/>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c r="AA366" s="247"/>
    </row>
    <row r="367" spans="1:27" ht="13" customHeight="1">
      <c r="A367" s="271"/>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c r="AA367" s="247"/>
    </row>
    <row r="368" spans="1:27" ht="13" customHeight="1">
      <c r="A368" s="271"/>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c r="AA368" s="247"/>
    </row>
    <row r="369" spans="1:27" ht="13" customHeight="1">
      <c r="A369" s="271"/>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c r="AA369" s="247"/>
    </row>
    <row r="370" spans="1:27" ht="13" customHeight="1">
      <c r="A370" s="271"/>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c r="AA370" s="247"/>
    </row>
    <row r="371" spans="1:27" ht="13" customHeight="1">
      <c r="A371" s="271"/>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c r="AA371" s="247"/>
    </row>
    <row r="372" spans="1:27" ht="13" customHeight="1">
      <c r="A372" s="271"/>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c r="AA372" s="247"/>
    </row>
    <row r="373" spans="1:27" ht="13" customHeight="1">
      <c r="A373" s="271"/>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c r="AA373" s="247"/>
    </row>
    <row r="374" spans="1:27" ht="13" customHeight="1">
      <c r="A374" s="271"/>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c r="AA374" s="247"/>
    </row>
    <row r="375" spans="1:27" ht="13" customHeight="1">
      <c r="A375" s="271"/>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c r="AA375" s="247"/>
    </row>
    <row r="376" spans="1:27" ht="13" customHeight="1">
      <c r="A376" s="271"/>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c r="AA376" s="247"/>
    </row>
    <row r="377" spans="1:27" ht="13" customHeight="1">
      <c r="A377" s="271"/>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c r="AA377" s="247"/>
    </row>
    <row r="378" spans="1:27" ht="13" customHeight="1">
      <c r="A378" s="271"/>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c r="AA378" s="247"/>
    </row>
    <row r="379" spans="1:27" ht="13" customHeight="1">
      <c r="A379" s="271"/>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c r="AA379" s="247"/>
    </row>
    <row r="380" spans="1:27" ht="13" customHeight="1">
      <c r="A380" s="271"/>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c r="AA380" s="247"/>
    </row>
    <row r="381" spans="1:27" ht="13" customHeight="1">
      <c r="A381" s="271"/>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c r="AA381" s="247"/>
    </row>
    <row r="382" spans="1:27" ht="13" customHeight="1">
      <c r="A382" s="271"/>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c r="AA382" s="247"/>
    </row>
    <row r="383" spans="1:27" ht="13" customHeight="1">
      <c r="A383" s="271"/>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c r="AA383" s="247"/>
    </row>
    <row r="384" spans="1:27" ht="13" customHeight="1">
      <c r="A384" s="271"/>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c r="AA384" s="247"/>
    </row>
    <row r="385" spans="1:27" ht="13" customHeight="1">
      <c r="A385" s="271"/>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c r="AA385" s="247"/>
    </row>
    <row r="386" spans="1:27" ht="13" customHeight="1">
      <c r="A386" s="271"/>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c r="AA386" s="247"/>
    </row>
    <row r="387" spans="1:27" ht="13" customHeight="1">
      <c r="A387" s="271"/>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c r="AA387" s="247"/>
    </row>
    <row r="388" spans="1:27" ht="13" customHeight="1">
      <c r="A388" s="271"/>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c r="AA388" s="247"/>
    </row>
    <row r="389" spans="1:27" ht="13" customHeight="1">
      <c r="A389" s="271"/>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c r="AA389" s="247"/>
    </row>
    <row r="390" spans="1:27" ht="13" customHeight="1">
      <c r="A390" s="271"/>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c r="AA390" s="247"/>
    </row>
    <row r="391" spans="1:27" ht="13" customHeight="1">
      <c r="A391" s="271"/>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c r="AA391" s="247"/>
    </row>
    <row r="392" spans="1:27" ht="13" customHeight="1">
      <c r="A392" s="271"/>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c r="AA392" s="247"/>
    </row>
    <row r="393" spans="1:27" ht="13" customHeight="1">
      <c r="A393" s="271"/>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c r="AA393" s="247"/>
    </row>
    <row r="394" spans="1:27" ht="13" customHeight="1">
      <c r="A394" s="271"/>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c r="AA394" s="247"/>
    </row>
    <row r="395" spans="1:27" ht="13" customHeight="1">
      <c r="A395" s="271"/>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c r="AA395" s="247"/>
    </row>
    <row r="396" spans="1:27" ht="13" customHeight="1">
      <c r="A396" s="271"/>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c r="AA396" s="247"/>
    </row>
    <row r="397" spans="1:27" ht="13" customHeight="1">
      <c r="A397" s="271"/>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c r="AA397" s="247"/>
    </row>
    <row r="398" spans="1:27" ht="13" customHeight="1">
      <c r="A398" s="271"/>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c r="AA398" s="247"/>
    </row>
    <row r="399" spans="1:27" ht="13" customHeight="1">
      <c r="A399" s="271"/>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c r="AA399" s="247"/>
    </row>
    <row r="400" spans="1:27" ht="13" customHeight="1">
      <c r="A400" s="271"/>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c r="AA400" s="247"/>
    </row>
    <row r="401" spans="1:27" ht="13" customHeight="1">
      <c r="A401" s="271"/>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c r="AA401" s="247"/>
    </row>
    <row r="402" spans="1:27" ht="13" customHeight="1">
      <c r="A402" s="271"/>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c r="AA402" s="247"/>
    </row>
    <row r="403" spans="1:27" ht="13" customHeight="1">
      <c r="A403" s="271"/>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c r="AA403" s="247"/>
    </row>
    <row r="404" spans="1:27" ht="13" customHeight="1">
      <c r="A404" s="271"/>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c r="AA404" s="247"/>
    </row>
    <row r="405" spans="1:27" ht="13" customHeight="1">
      <c r="A405" s="271"/>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c r="AA405" s="247"/>
    </row>
    <row r="406" spans="1:27" ht="13" customHeight="1">
      <c r="A406" s="271"/>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c r="AA406" s="247"/>
    </row>
    <row r="407" spans="1:27" ht="13" customHeight="1">
      <c r="A407" s="271"/>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c r="AA407" s="247"/>
    </row>
    <row r="408" spans="1:27" ht="13" customHeight="1">
      <c r="A408" s="271"/>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c r="AA408" s="247"/>
    </row>
    <row r="409" spans="1:27" ht="13" customHeight="1">
      <c r="A409" s="271"/>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c r="AA409" s="247"/>
    </row>
    <row r="410" spans="1:27" ht="13" customHeight="1">
      <c r="A410" s="271"/>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c r="AA410" s="247"/>
    </row>
    <row r="411" spans="1:27" ht="13" customHeight="1">
      <c r="A411" s="271"/>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c r="AA411" s="247"/>
    </row>
    <row r="412" spans="1:27" ht="13" customHeight="1">
      <c r="A412" s="271"/>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c r="AA412" s="247"/>
    </row>
    <row r="413" spans="1:27" ht="13" customHeight="1">
      <c r="A413" s="271"/>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c r="AA413" s="247"/>
    </row>
    <row r="414" spans="1:27" ht="13" customHeight="1">
      <c r="A414" s="271"/>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c r="AA414" s="247"/>
    </row>
    <row r="415" spans="1:27" ht="13" customHeight="1">
      <c r="A415" s="271"/>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c r="AA415" s="247"/>
    </row>
    <row r="416" spans="1:27" ht="13" customHeight="1">
      <c r="A416" s="271"/>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c r="AA416" s="247"/>
    </row>
    <row r="417" spans="1:27" ht="13" customHeight="1">
      <c r="A417" s="271"/>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c r="AA417" s="247"/>
    </row>
    <row r="418" spans="1:27" ht="13" customHeight="1">
      <c r="A418" s="271"/>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c r="AA418" s="247"/>
    </row>
    <row r="419" spans="1:27" ht="13" customHeight="1">
      <c r="A419" s="271"/>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c r="AA419" s="247"/>
    </row>
    <row r="420" spans="1:27" ht="13" customHeight="1">
      <c r="A420" s="271"/>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c r="AA420" s="247"/>
    </row>
    <row r="421" spans="1:27" ht="13" customHeight="1">
      <c r="A421" s="271"/>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c r="AA421" s="247"/>
    </row>
    <row r="422" spans="1:27" ht="13" customHeight="1">
      <c r="A422" s="271"/>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c r="AA422" s="247"/>
    </row>
    <row r="423" spans="1:27" ht="13" customHeight="1">
      <c r="A423" s="271"/>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c r="AA423" s="247"/>
    </row>
    <row r="424" spans="1:27" ht="13" customHeight="1">
      <c r="A424" s="271"/>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c r="AA424" s="247"/>
    </row>
    <row r="425" spans="1:27" ht="13" customHeight="1">
      <c r="A425" s="271"/>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c r="AA425" s="247"/>
    </row>
    <row r="426" spans="1:27" ht="13" customHeight="1">
      <c r="A426" s="271"/>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c r="AA426" s="247"/>
    </row>
    <row r="427" spans="1:27" ht="13" customHeight="1">
      <c r="A427" s="271"/>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c r="AA427" s="247"/>
    </row>
    <row r="428" spans="1:27" ht="13" customHeight="1">
      <c r="A428" s="271"/>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c r="AA428" s="247"/>
    </row>
    <row r="429" spans="1:27" ht="13" customHeight="1">
      <c r="A429" s="271"/>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c r="AA429" s="247"/>
    </row>
    <row r="430" spans="1:27" ht="13" customHeight="1">
      <c r="A430" s="271"/>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c r="AA430" s="247"/>
    </row>
    <row r="431" spans="1:27" ht="13" customHeight="1">
      <c r="A431" s="271"/>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c r="AA431" s="247"/>
    </row>
    <row r="432" spans="1:27" ht="13" customHeight="1">
      <c r="A432" s="271"/>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c r="AA432" s="247"/>
    </row>
    <row r="433" spans="1:27" ht="13" customHeight="1">
      <c r="A433" s="271"/>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c r="AA433" s="247"/>
    </row>
    <row r="434" spans="1:27" ht="13" customHeight="1">
      <c r="A434" s="271"/>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c r="AA434" s="247"/>
    </row>
    <row r="435" spans="1:27" ht="13" customHeight="1">
      <c r="A435" s="271"/>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c r="AA435" s="247"/>
    </row>
    <row r="436" spans="1:27" ht="13" customHeight="1">
      <c r="A436" s="271"/>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c r="AA436" s="247"/>
    </row>
    <row r="437" spans="1:27" ht="13" customHeight="1">
      <c r="A437" s="271"/>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c r="AA437" s="247"/>
    </row>
    <row r="438" spans="1:27" ht="13" customHeight="1">
      <c r="A438" s="271"/>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c r="AA438" s="247"/>
    </row>
    <row r="439" spans="1:27" ht="13" customHeight="1">
      <c r="A439" s="271"/>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c r="AA439" s="247"/>
    </row>
    <row r="440" spans="1:27" ht="13" customHeight="1">
      <c r="A440" s="271"/>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c r="AA440" s="247"/>
    </row>
    <row r="441" spans="1:27" ht="13" customHeight="1">
      <c r="A441" s="271"/>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c r="AA441" s="247"/>
    </row>
    <row r="442" spans="1:27" ht="13" customHeight="1">
      <c r="A442" s="271"/>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c r="AA442" s="247"/>
    </row>
    <row r="443" spans="1:27" ht="13" customHeight="1">
      <c r="A443" s="271"/>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c r="AA443" s="247"/>
    </row>
    <row r="444" spans="1:27" ht="13" customHeight="1">
      <c r="A444" s="271"/>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c r="AA444" s="247"/>
    </row>
    <row r="445" spans="1:27" ht="13" customHeight="1">
      <c r="A445" s="271"/>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c r="AA445" s="247"/>
    </row>
    <row r="446" spans="1:27" ht="13" customHeight="1">
      <c r="A446" s="271"/>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c r="AA446" s="247"/>
    </row>
    <row r="447" spans="1:27" ht="13" customHeight="1">
      <c r="A447" s="271"/>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c r="AA447" s="247"/>
    </row>
    <row r="448" spans="1:27" ht="13" customHeight="1">
      <c r="A448" s="271"/>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c r="AA448" s="247"/>
    </row>
    <row r="449" spans="1:27" ht="13" customHeight="1">
      <c r="A449" s="271"/>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c r="AA449" s="247"/>
    </row>
    <row r="450" spans="1:27" ht="13" customHeight="1">
      <c r="A450" s="271"/>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c r="AA450" s="247"/>
    </row>
    <row r="451" spans="1:27" ht="13" customHeight="1">
      <c r="A451" s="271"/>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c r="AA451" s="247"/>
    </row>
    <row r="452" spans="1:27" ht="13" customHeight="1">
      <c r="A452" s="271"/>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c r="AA452" s="247"/>
    </row>
    <row r="453" spans="1:27" ht="13" customHeight="1">
      <c r="A453" s="271"/>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c r="AA453" s="247"/>
    </row>
    <row r="454" spans="1:27" ht="13" customHeight="1">
      <c r="A454" s="271"/>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c r="AA454" s="247"/>
    </row>
    <row r="455" spans="1:27" ht="13" customHeight="1">
      <c r="A455" s="271"/>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c r="AA455" s="247"/>
    </row>
    <row r="456" spans="1:27" ht="13" customHeight="1">
      <c r="A456" s="271"/>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c r="AA456" s="247"/>
    </row>
    <row r="457" spans="1:27" ht="13" customHeight="1">
      <c r="A457" s="271"/>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c r="AA457" s="247"/>
    </row>
    <row r="458" spans="1:27" ht="13" customHeight="1">
      <c r="A458" s="271"/>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c r="AA458" s="247"/>
    </row>
    <row r="459" spans="1:27" ht="13" customHeight="1">
      <c r="A459" s="271"/>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c r="AA459" s="247"/>
    </row>
    <row r="460" spans="1:27" ht="13" customHeight="1">
      <c r="A460" s="271"/>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c r="AA460" s="247"/>
    </row>
    <row r="461" spans="1:27" ht="13" customHeight="1">
      <c r="A461" s="271"/>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c r="AA461" s="247"/>
    </row>
    <row r="462" spans="1:27" ht="13" customHeight="1">
      <c r="A462" s="271"/>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c r="AA462" s="247"/>
    </row>
    <row r="463" spans="1:27" ht="13" customHeight="1">
      <c r="A463" s="271"/>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c r="AA463" s="247"/>
    </row>
    <row r="464" spans="1:27" ht="13" customHeight="1">
      <c r="A464" s="271"/>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c r="AA464" s="247"/>
    </row>
    <row r="465" spans="1:27" ht="13" customHeight="1">
      <c r="A465" s="271"/>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c r="AA465" s="247"/>
    </row>
    <row r="466" spans="1:27" ht="13" customHeight="1">
      <c r="A466" s="271"/>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c r="AA466" s="247"/>
    </row>
    <row r="467" spans="1:27" ht="13" customHeight="1">
      <c r="A467" s="271"/>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c r="AA467" s="247"/>
    </row>
    <row r="468" spans="1:27" ht="13" customHeight="1">
      <c r="A468" s="271"/>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c r="AA468" s="247"/>
    </row>
    <row r="469" spans="1:27" ht="13" customHeight="1">
      <c r="A469" s="271"/>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c r="AA469" s="247"/>
    </row>
    <row r="470" spans="1:27" ht="13" customHeight="1">
      <c r="A470" s="271"/>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c r="AA470" s="247"/>
    </row>
    <row r="471" spans="1:27" ht="13" customHeight="1">
      <c r="A471" s="271"/>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c r="AA471" s="247"/>
    </row>
    <row r="472" spans="1:27" ht="13" customHeight="1">
      <c r="A472" s="271"/>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c r="AA472" s="247"/>
    </row>
    <row r="473" spans="1:27" ht="13" customHeight="1">
      <c r="A473" s="271"/>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c r="AA473" s="247"/>
    </row>
    <row r="474" spans="1:27" ht="13" customHeight="1">
      <c r="A474" s="271"/>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c r="AA474" s="247"/>
    </row>
    <row r="475" spans="1:27" ht="13" customHeight="1">
      <c r="A475" s="271"/>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c r="AA475" s="247"/>
    </row>
    <row r="476" spans="1:27" ht="13" customHeight="1">
      <c r="A476" s="271"/>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c r="AA476" s="247"/>
    </row>
    <row r="477" spans="1:27" ht="13" customHeight="1">
      <c r="A477" s="271"/>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c r="AA477" s="247"/>
    </row>
    <row r="478" spans="1:27" ht="13" customHeight="1">
      <c r="A478" s="271"/>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c r="AA478" s="247"/>
    </row>
    <row r="479" spans="1:27" ht="13" customHeight="1">
      <c r="A479" s="271"/>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c r="AA479" s="247"/>
    </row>
    <row r="480" spans="1:27" ht="13" customHeight="1">
      <c r="A480" s="271"/>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c r="AA480" s="247"/>
    </row>
    <row r="481" spans="1:27" ht="13" customHeight="1">
      <c r="A481" s="271"/>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c r="AA481" s="247"/>
    </row>
    <row r="482" spans="1:27" ht="13" customHeight="1">
      <c r="A482" s="271"/>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c r="AA482" s="247"/>
    </row>
    <row r="483" spans="1:27" ht="13" customHeight="1">
      <c r="A483" s="271"/>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c r="AA483" s="247"/>
    </row>
    <row r="484" spans="1:27" ht="13" customHeight="1">
      <c r="A484" s="271"/>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c r="AA484" s="247"/>
    </row>
    <row r="485" spans="1:27" ht="13" customHeight="1">
      <c r="A485" s="271"/>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c r="AA485" s="247"/>
    </row>
    <row r="486" spans="1:27" ht="13" customHeight="1">
      <c r="A486" s="271"/>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c r="AA486" s="247"/>
    </row>
    <row r="487" spans="1:27" ht="13" customHeight="1">
      <c r="A487" s="271"/>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c r="AA487" s="247"/>
    </row>
    <row r="488" spans="1:27" ht="13" customHeight="1">
      <c r="A488" s="271"/>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c r="AA488" s="247"/>
    </row>
    <row r="489" spans="1:27" ht="13" customHeight="1">
      <c r="A489" s="271"/>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c r="AA489" s="247"/>
    </row>
    <row r="490" spans="1:27" ht="13" customHeight="1">
      <c r="A490" s="271"/>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c r="AA490" s="247"/>
    </row>
    <row r="491" spans="1:27" ht="13" customHeight="1">
      <c r="A491" s="271"/>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c r="AA491" s="247"/>
    </row>
    <row r="492" spans="1:27" ht="13" customHeight="1">
      <c r="A492" s="271"/>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c r="AA492" s="247"/>
    </row>
    <row r="493" spans="1:27" ht="13" customHeight="1">
      <c r="A493" s="271"/>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c r="AA493" s="247"/>
    </row>
    <row r="494" spans="1:27" ht="13" customHeight="1">
      <c r="A494" s="271"/>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c r="AA494" s="247"/>
    </row>
    <row r="495" spans="1:27" ht="13" customHeight="1">
      <c r="A495" s="271"/>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c r="AA495" s="247"/>
    </row>
    <row r="496" spans="1:27" ht="13" customHeight="1">
      <c r="A496" s="271"/>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c r="AA496" s="247"/>
    </row>
    <row r="497" spans="1:27" ht="13" customHeight="1">
      <c r="A497" s="271"/>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c r="AA497" s="247"/>
    </row>
    <row r="498" spans="1:27" ht="13" customHeight="1">
      <c r="A498" s="271"/>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c r="AA498" s="247"/>
    </row>
    <row r="499" spans="1:27" ht="13" customHeight="1">
      <c r="A499" s="271"/>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c r="AA499" s="247"/>
    </row>
    <row r="500" spans="1:27" ht="13" customHeight="1">
      <c r="A500" s="271"/>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c r="AA500" s="247"/>
    </row>
    <row r="501" spans="1:27" ht="13" customHeight="1">
      <c r="A501" s="271"/>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c r="AA501" s="247"/>
    </row>
    <row r="502" spans="1:27" ht="13" customHeight="1">
      <c r="A502" s="271"/>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c r="AA502" s="247"/>
    </row>
    <row r="503" spans="1:27" ht="13" customHeight="1">
      <c r="A503" s="271"/>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c r="AA503" s="247"/>
    </row>
    <row r="504" spans="1:27" ht="13" customHeight="1">
      <c r="A504" s="271"/>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c r="AA504" s="247"/>
    </row>
    <row r="505" spans="1:27" ht="13" customHeight="1">
      <c r="A505" s="271"/>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c r="AA505" s="247"/>
    </row>
    <row r="506" spans="1:27" ht="13" customHeight="1">
      <c r="A506" s="271"/>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c r="AA506" s="247"/>
    </row>
    <row r="507" spans="1:27" ht="13" customHeight="1">
      <c r="A507" s="271"/>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c r="AA507" s="247"/>
    </row>
    <row r="508" spans="1:27" ht="13" customHeight="1">
      <c r="A508" s="271"/>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c r="AA508" s="247"/>
    </row>
    <row r="509" spans="1:27" ht="13" customHeight="1">
      <c r="A509" s="271"/>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c r="AA509" s="247"/>
    </row>
    <row r="510" spans="1:27" ht="13" customHeight="1">
      <c r="A510" s="271"/>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c r="AA510" s="247"/>
    </row>
    <row r="511" spans="1:27" ht="13" customHeight="1">
      <c r="A511" s="271"/>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c r="AA511" s="247"/>
    </row>
    <row r="512" spans="1:27" ht="13" customHeight="1">
      <c r="A512" s="271"/>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c r="AA512" s="247"/>
    </row>
    <row r="513" spans="1:27" ht="13" customHeight="1">
      <c r="A513" s="271"/>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c r="AA513" s="247"/>
    </row>
    <row r="514" spans="1:27" ht="13" customHeight="1">
      <c r="A514" s="271"/>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c r="AA514" s="247"/>
    </row>
    <row r="515" spans="1:27" ht="13" customHeight="1">
      <c r="A515" s="271"/>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c r="AA515" s="247"/>
    </row>
    <row r="516" spans="1:27" ht="13" customHeight="1">
      <c r="A516" s="271"/>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c r="AA516" s="247"/>
    </row>
    <row r="517" spans="1:27" ht="13" customHeight="1">
      <c r="A517" s="271"/>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c r="AA517" s="247"/>
    </row>
    <row r="518" spans="1:27" ht="13" customHeight="1">
      <c r="A518" s="271"/>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c r="AA518" s="247"/>
    </row>
    <row r="519" spans="1:27" ht="13" customHeight="1">
      <c r="A519" s="271"/>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c r="AA519" s="247"/>
    </row>
    <row r="520" spans="1:27" ht="13" customHeight="1">
      <c r="A520" s="271"/>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c r="AA520" s="247"/>
    </row>
    <row r="521" spans="1:27" ht="13" customHeight="1">
      <c r="A521" s="271"/>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c r="AA521" s="247"/>
    </row>
    <row r="522" spans="1:27" ht="13" customHeight="1">
      <c r="A522" s="271"/>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c r="AA522" s="247"/>
    </row>
    <row r="523" spans="1:27" ht="13" customHeight="1">
      <c r="A523" s="271"/>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c r="AA523" s="247"/>
    </row>
    <row r="524" spans="1:27" ht="13" customHeight="1">
      <c r="A524" s="271"/>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c r="AA524" s="247"/>
    </row>
    <row r="525" spans="1:27" ht="13" customHeight="1">
      <c r="A525" s="271"/>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c r="AA525" s="247"/>
    </row>
    <row r="526" spans="1:27" ht="13" customHeight="1">
      <c r="A526" s="271"/>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c r="AA526" s="247"/>
    </row>
    <row r="527" spans="1:27" ht="13" customHeight="1">
      <c r="A527" s="271"/>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c r="AA527" s="247"/>
    </row>
    <row r="528" spans="1:27" ht="13" customHeight="1">
      <c r="A528" s="271"/>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c r="AA528" s="247"/>
    </row>
    <row r="529" spans="1:27" ht="13" customHeight="1">
      <c r="A529" s="271"/>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c r="AA529" s="247"/>
    </row>
    <row r="530" spans="1:27" ht="13" customHeight="1">
      <c r="A530" s="271"/>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c r="AA530" s="247"/>
    </row>
    <row r="531" spans="1:27" ht="13" customHeight="1">
      <c r="A531" s="271"/>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c r="AA531" s="247"/>
    </row>
    <row r="532" spans="1:27" ht="13" customHeight="1">
      <c r="A532" s="271"/>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c r="AA532" s="247"/>
    </row>
    <row r="533" spans="1:27" ht="13" customHeight="1">
      <c r="A533" s="271"/>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c r="AA533" s="247"/>
    </row>
    <row r="534" spans="1:27" ht="13" customHeight="1">
      <c r="A534" s="271"/>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c r="AA534" s="247"/>
    </row>
    <row r="535" spans="1:27" ht="13" customHeight="1">
      <c r="A535" s="271"/>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c r="AA535" s="247"/>
    </row>
    <row r="536" spans="1:27" ht="13" customHeight="1">
      <c r="A536" s="271"/>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c r="AA536" s="247"/>
    </row>
    <row r="537" spans="1:27" ht="13" customHeight="1">
      <c r="A537" s="271"/>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c r="AA537" s="247"/>
    </row>
    <row r="538" spans="1:27" ht="13" customHeight="1">
      <c r="A538" s="271"/>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c r="AA538" s="247"/>
    </row>
    <row r="539" spans="1:27" ht="13" customHeight="1">
      <c r="A539" s="271"/>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c r="AA539" s="247"/>
    </row>
    <row r="540" spans="1:27" ht="13" customHeight="1">
      <c r="A540" s="271"/>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c r="AA540" s="247"/>
    </row>
    <row r="541" spans="1:27" ht="13" customHeight="1">
      <c r="A541" s="271"/>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c r="AA541" s="247"/>
    </row>
    <row r="542" spans="1:27" ht="13" customHeight="1">
      <c r="A542" s="271"/>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c r="AA542" s="247"/>
    </row>
    <row r="543" spans="1:27" ht="13" customHeight="1">
      <c r="A543" s="271"/>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c r="AA543" s="247"/>
    </row>
    <row r="544" spans="1:27" ht="13" customHeight="1">
      <c r="A544" s="271"/>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c r="AA544" s="247"/>
    </row>
    <row r="545" spans="1:27" ht="13" customHeight="1">
      <c r="A545" s="271"/>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c r="AA545" s="247"/>
    </row>
    <row r="546" spans="1:27" ht="13" customHeight="1">
      <c r="A546" s="271"/>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c r="AA546" s="247"/>
    </row>
    <row r="547" spans="1:27" ht="13" customHeight="1">
      <c r="A547" s="271"/>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c r="AA547" s="247"/>
    </row>
    <row r="548" spans="1:27" ht="13" customHeight="1">
      <c r="A548" s="271"/>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c r="AA548" s="247"/>
    </row>
    <row r="549" spans="1:27" ht="13" customHeight="1">
      <c r="A549" s="271"/>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c r="AA549" s="247"/>
    </row>
    <row r="550" spans="1:27" ht="13" customHeight="1">
      <c r="A550" s="271"/>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c r="AA550" s="247"/>
    </row>
    <row r="551" spans="1:27" ht="13" customHeight="1">
      <c r="A551" s="271"/>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c r="AA551" s="247"/>
    </row>
    <row r="552" spans="1:27" ht="13" customHeight="1">
      <c r="A552" s="271"/>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c r="AA552" s="247"/>
    </row>
    <row r="553" spans="1:27" ht="13" customHeight="1">
      <c r="A553" s="271"/>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c r="AA553" s="247"/>
    </row>
    <row r="554" spans="1:27" ht="13" customHeight="1">
      <c r="A554" s="271"/>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c r="AA554" s="247"/>
    </row>
    <row r="555" spans="1:27" ht="13" customHeight="1">
      <c r="A555" s="271"/>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c r="AA555" s="247"/>
    </row>
    <row r="556" spans="1:27" ht="13" customHeight="1">
      <c r="A556" s="271"/>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c r="AA556" s="247"/>
    </row>
    <row r="557" spans="1:27" ht="13" customHeight="1">
      <c r="A557" s="271"/>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c r="AA557" s="247"/>
    </row>
    <row r="558" spans="1:27" ht="13" customHeight="1">
      <c r="A558" s="271"/>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c r="AA558" s="247"/>
    </row>
    <row r="559" spans="1:27" ht="13" customHeight="1">
      <c r="A559" s="271"/>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c r="AA559" s="247"/>
    </row>
    <row r="560" spans="1:27" ht="13" customHeight="1">
      <c r="A560" s="271"/>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c r="AA560" s="247"/>
    </row>
    <row r="561" spans="1:27" ht="13" customHeight="1">
      <c r="A561" s="271"/>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c r="AA561" s="247"/>
    </row>
    <row r="562" spans="1:27" ht="13" customHeight="1">
      <c r="A562" s="271"/>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c r="AA562" s="247"/>
    </row>
    <row r="563" spans="1:27" ht="13" customHeight="1">
      <c r="A563" s="271"/>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c r="AA563" s="247"/>
    </row>
    <row r="564" spans="1:27" ht="13" customHeight="1">
      <c r="A564" s="271"/>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c r="AA564" s="247"/>
    </row>
    <row r="565" spans="1:27" ht="13" customHeight="1">
      <c r="A565" s="271"/>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c r="AA565" s="247"/>
    </row>
    <row r="566" spans="1:27" ht="13" customHeight="1">
      <c r="A566" s="271"/>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c r="AA566" s="247"/>
    </row>
    <row r="567" spans="1:27" ht="13" customHeight="1">
      <c r="A567" s="271"/>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c r="AA567" s="247"/>
    </row>
    <row r="568" spans="1:27" ht="13" customHeight="1">
      <c r="A568" s="271"/>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c r="AA568" s="247"/>
    </row>
    <row r="569" spans="1:27" ht="13" customHeight="1">
      <c r="A569" s="271"/>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c r="AA569" s="247"/>
    </row>
    <row r="570" spans="1:27" ht="13" customHeight="1">
      <c r="A570" s="271"/>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c r="AA570" s="247"/>
    </row>
    <row r="571" spans="1:27" ht="13" customHeight="1">
      <c r="A571" s="271"/>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c r="AA571" s="247"/>
    </row>
    <row r="572" spans="1:27" ht="13" customHeight="1">
      <c r="A572" s="271"/>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c r="AA572" s="247"/>
    </row>
    <row r="573" spans="1:27" ht="13" customHeight="1">
      <c r="A573" s="271"/>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c r="AA573" s="247"/>
    </row>
    <row r="574" spans="1:27" ht="13" customHeight="1">
      <c r="A574" s="271"/>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c r="AA574" s="247"/>
    </row>
    <row r="575" spans="1:27" ht="13" customHeight="1">
      <c r="A575" s="271"/>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c r="AA575" s="247"/>
    </row>
    <row r="576" spans="1:27" ht="13" customHeight="1">
      <c r="A576" s="271"/>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c r="AA576" s="247"/>
    </row>
    <row r="577" spans="1:27" ht="13" customHeight="1">
      <c r="A577" s="271"/>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c r="AA577" s="247"/>
    </row>
    <row r="578" spans="1:27" ht="13" customHeight="1">
      <c r="A578" s="271"/>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c r="AA578" s="247"/>
    </row>
    <row r="579" spans="1:27" ht="13" customHeight="1">
      <c r="A579" s="271"/>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c r="AA579" s="247"/>
    </row>
    <row r="580" spans="1:27" ht="13" customHeight="1">
      <c r="A580" s="271"/>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c r="AA580" s="247"/>
    </row>
    <row r="581" spans="1:27" ht="13" customHeight="1">
      <c r="A581" s="271"/>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c r="AA581" s="247"/>
    </row>
    <row r="582" spans="1:27" ht="13" customHeight="1">
      <c r="A582" s="271"/>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c r="AA582" s="247"/>
    </row>
    <row r="583" spans="1:27" ht="13" customHeight="1">
      <c r="A583" s="271"/>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c r="AA583" s="247"/>
    </row>
    <row r="584" spans="1:27" ht="13" customHeight="1">
      <c r="A584" s="271"/>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c r="AA584" s="247"/>
    </row>
    <row r="585" spans="1:27" ht="13" customHeight="1">
      <c r="A585" s="271"/>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c r="AA585" s="247"/>
    </row>
    <row r="586" spans="1:27" ht="13" customHeight="1">
      <c r="A586" s="271"/>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c r="AA586" s="247"/>
    </row>
    <row r="587" spans="1:27" ht="13" customHeight="1">
      <c r="A587" s="271"/>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c r="AA587" s="247"/>
    </row>
    <row r="588" spans="1:27" ht="13" customHeight="1">
      <c r="A588" s="271"/>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c r="AA588" s="247"/>
    </row>
    <row r="589" spans="1:27" ht="13" customHeight="1">
      <c r="A589" s="271"/>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c r="AA589" s="247"/>
    </row>
    <row r="590" spans="1:27" ht="13" customHeight="1">
      <c r="A590" s="271"/>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c r="AA590" s="247"/>
    </row>
    <row r="591" spans="1:27" ht="13" customHeight="1">
      <c r="A591" s="271"/>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c r="AA591" s="247"/>
    </row>
    <row r="592" spans="1:27" ht="13" customHeight="1">
      <c r="A592" s="271"/>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c r="AA592" s="247"/>
    </row>
    <row r="593" spans="1:27" ht="13" customHeight="1">
      <c r="A593" s="271"/>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c r="AA593" s="247"/>
    </row>
    <row r="594" spans="1:27" ht="13" customHeight="1">
      <c r="A594" s="271"/>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c r="AA594" s="247"/>
    </row>
    <row r="595" spans="1:27" ht="13" customHeight="1">
      <c r="A595" s="271"/>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c r="AA595" s="247"/>
    </row>
    <row r="596" spans="1:27" ht="13" customHeight="1">
      <c r="A596" s="271"/>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c r="AA596" s="247"/>
    </row>
    <row r="597" spans="1:27" ht="13" customHeight="1">
      <c r="A597" s="271"/>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c r="AA597" s="247"/>
    </row>
    <row r="598" spans="1:27" ht="13" customHeight="1">
      <c r="A598" s="271"/>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c r="AA598" s="247"/>
    </row>
    <row r="599" spans="1:27" ht="13" customHeight="1">
      <c r="A599" s="271"/>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c r="AA599" s="247"/>
    </row>
    <row r="600" spans="1:27" ht="13" customHeight="1">
      <c r="A600" s="271"/>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c r="AA600" s="247"/>
    </row>
    <row r="601" spans="1:27" ht="13" customHeight="1">
      <c r="A601" s="271"/>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c r="AA601" s="247"/>
    </row>
    <row r="602" spans="1:27" ht="13" customHeight="1">
      <c r="A602" s="271"/>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c r="AA602" s="247"/>
    </row>
    <row r="603" spans="1:27" ht="13" customHeight="1">
      <c r="A603" s="271"/>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c r="AA603" s="247"/>
    </row>
    <row r="604" spans="1:27" ht="13" customHeight="1">
      <c r="A604" s="271"/>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c r="AA604" s="247"/>
    </row>
    <row r="605" spans="1:27" ht="13" customHeight="1">
      <c r="A605" s="271"/>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c r="AA605" s="247"/>
    </row>
    <row r="606" spans="1:27" ht="13" customHeight="1">
      <c r="A606" s="271"/>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c r="AA606" s="247"/>
    </row>
    <row r="607" spans="1:27" ht="13" customHeight="1">
      <c r="A607" s="271"/>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c r="AA607" s="247"/>
    </row>
    <row r="608" spans="1:27" ht="13" customHeight="1">
      <c r="A608" s="271"/>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c r="AA608" s="247"/>
    </row>
    <row r="609" spans="1:27" ht="13" customHeight="1">
      <c r="A609" s="271"/>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c r="AA609" s="247"/>
    </row>
    <row r="610" spans="1:27" ht="13" customHeight="1">
      <c r="A610" s="271"/>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c r="AA610" s="247"/>
    </row>
    <row r="611" spans="1:27" ht="13" customHeight="1">
      <c r="A611" s="271"/>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c r="AA611" s="247"/>
    </row>
    <row r="612" spans="1:27" ht="13" customHeight="1">
      <c r="A612" s="271"/>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c r="AA612" s="247"/>
    </row>
    <row r="613" spans="1:27" ht="13" customHeight="1">
      <c r="A613" s="271"/>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c r="AA613" s="247"/>
    </row>
    <row r="614" spans="1:27" ht="13" customHeight="1">
      <c r="A614" s="271"/>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c r="AA614" s="247"/>
    </row>
    <row r="615" spans="1:27" ht="13" customHeight="1">
      <c r="A615" s="271"/>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c r="AA615" s="247"/>
    </row>
    <row r="616" spans="1:27" ht="13" customHeight="1">
      <c r="A616" s="271"/>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c r="AA616" s="247"/>
    </row>
    <row r="617" spans="1:27" ht="13" customHeight="1">
      <c r="A617" s="271"/>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c r="AA617" s="247"/>
    </row>
    <row r="618" spans="1:27" ht="13" customHeight="1">
      <c r="A618" s="271"/>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c r="AA618" s="247"/>
    </row>
    <row r="619" spans="1:27" ht="13" customHeight="1">
      <c r="A619" s="271"/>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c r="AA619" s="247"/>
    </row>
    <row r="620" spans="1:27" ht="13" customHeight="1">
      <c r="A620" s="271"/>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c r="AA620" s="247"/>
    </row>
    <row r="621" spans="1:27" ht="13" customHeight="1">
      <c r="A621" s="271"/>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c r="AA621" s="247"/>
    </row>
    <row r="622" spans="1:27" ht="13" customHeight="1">
      <c r="A622" s="271"/>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c r="AA622" s="247"/>
    </row>
    <row r="623" spans="1:27" ht="13" customHeight="1">
      <c r="A623" s="271"/>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c r="AA623" s="247"/>
    </row>
    <row r="624" spans="1:27" ht="13" customHeight="1">
      <c r="A624" s="271"/>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c r="AA624" s="247"/>
    </row>
    <row r="625" spans="1:27" ht="13" customHeight="1">
      <c r="A625" s="271"/>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c r="AA625" s="247"/>
    </row>
    <row r="626" spans="1:27" ht="13" customHeight="1">
      <c r="A626" s="271"/>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c r="AA626" s="247"/>
    </row>
    <row r="627" spans="1:27" ht="13" customHeight="1">
      <c r="A627" s="271"/>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c r="AA627" s="247"/>
    </row>
    <row r="628" spans="1:27" ht="13" customHeight="1">
      <c r="A628" s="271"/>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c r="AA628" s="247"/>
    </row>
    <row r="629" spans="1:27" ht="13" customHeight="1">
      <c r="A629" s="271"/>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c r="AA629" s="247"/>
    </row>
    <row r="630" spans="1:27" ht="13" customHeight="1">
      <c r="A630" s="271"/>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c r="AA630" s="247"/>
    </row>
    <row r="631" spans="1:27" ht="13" customHeight="1">
      <c r="A631" s="271"/>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c r="AA631" s="247"/>
    </row>
    <row r="632" spans="1:27" ht="13" customHeight="1">
      <c r="A632" s="271"/>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c r="AA632" s="247"/>
    </row>
    <row r="633" spans="1:27" ht="13" customHeight="1">
      <c r="A633" s="271"/>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c r="AA633" s="247"/>
    </row>
    <row r="634" spans="1:27" ht="13" customHeight="1">
      <c r="A634" s="271"/>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c r="AA634" s="247"/>
    </row>
    <row r="635" spans="1:27" ht="13" customHeight="1">
      <c r="A635" s="271"/>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c r="AA635" s="247"/>
    </row>
    <row r="636" spans="1:27" ht="13" customHeight="1">
      <c r="A636" s="271"/>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c r="AA636" s="247"/>
    </row>
    <row r="637" spans="1:27" ht="13" customHeight="1">
      <c r="A637" s="271"/>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c r="AA637" s="247"/>
    </row>
    <row r="638" spans="1:27" ht="13" customHeight="1">
      <c r="A638" s="271"/>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c r="AA638" s="247"/>
    </row>
    <row r="639" spans="1:27" ht="13" customHeight="1">
      <c r="A639" s="271"/>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c r="AA639" s="247"/>
    </row>
    <row r="640" spans="1:27" ht="13" customHeight="1">
      <c r="A640" s="271"/>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c r="AA640" s="247"/>
    </row>
    <row r="641" spans="1:27" ht="13" customHeight="1">
      <c r="A641" s="271"/>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c r="AA641" s="247"/>
    </row>
    <row r="642" spans="1:27" ht="13" customHeight="1">
      <c r="A642" s="271"/>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c r="AA642" s="247"/>
    </row>
    <row r="643" spans="1:27" ht="13" customHeight="1">
      <c r="A643" s="271"/>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c r="AA643" s="247"/>
    </row>
    <row r="644" spans="1:27" ht="13" customHeight="1">
      <c r="A644" s="271"/>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c r="AA644" s="247"/>
    </row>
    <row r="645" spans="1:27" ht="13" customHeight="1">
      <c r="A645" s="271"/>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c r="AA645" s="247"/>
    </row>
    <row r="646" spans="1:27" ht="13" customHeight="1">
      <c r="A646" s="271"/>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c r="AA646" s="247"/>
    </row>
    <row r="647" spans="1:27" ht="13" customHeight="1">
      <c r="A647" s="271"/>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c r="AA647" s="247"/>
    </row>
    <row r="648" spans="1:27" ht="13" customHeight="1">
      <c r="A648" s="271"/>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c r="AA648" s="247"/>
    </row>
    <row r="649" spans="1:27" ht="13" customHeight="1">
      <c r="A649" s="271"/>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c r="AA649" s="247"/>
    </row>
    <row r="650" spans="1:27" ht="13" customHeight="1">
      <c r="A650" s="271"/>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c r="AA650" s="247"/>
    </row>
    <row r="651" spans="1:27" ht="13" customHeight="1">
      <c r="A651" s="271"/>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c r="AA651" s="247"/>
    </row>
    <row r="652" spans="1:27" ht="13" customHeight="1">
      <c r="A652" s="271"/>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c r="AA652" s="247"/>
    </row>
    <row r="653" spans="1:27" ht="13" customHeight="1">
      <c r="A653" s="271"/>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c r="AA653" s="247"/>
    </row>
    <row r="654" spans="1:27" ht="13" customHeight="1">
      <c r="A654" s="271"/>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c r="AA654" s="247"/>
    </row>
    <row r="655" spans="1:27" ht="13" customHeight="1">
      <c r="A655" s="271"/>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c r="AA655" s="247"/>
    </row>
    <row r="656" spans="1:27" ht="13" customHeight="1">
      <c r="A656" s="271"/>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c r="AA656" s="247"/>
    </row>
    <row r="657" spans="1:27" ht="13" customHeight="1">
      <c r="A657" s="271"/>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c r="AA657" s="247"/>
    </row>
    <row r="658" spans="1:27" ht="13" customHeight="1">
      <c r="A658" s="271"/>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c r="AA658" s="247"/>
    </row>
    <row r="659" spans="1:27" ht="13" customHeight="1">
      <c r="A659" s="271"/>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c r="AA659" s="247"/>
    </row>
    <row r="660" spans="1:27" ht="13" customHeight="1">
      <c r="A660" s="271"/>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c r="AA660" s="247"/>
    </row>
    <row r="661" spans="1:27" ht="13" customHeight="1">
      <c r="A661" s="271"/>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c r="AA661" s="247"/>
    </row>
    <row r="662" spans="1:27" ht="13" customHeight="1">
      <c r="A662" s="271"/>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c r="AA662" s="247"/>
    </row>
    <row r="663" spans="1:27" ht="13" customHeight="1">
      <c r="A663" s="271"/>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c r="AA663" s="247"/>
    </row>
    <row r="664" spans="1:27" ht="13" customHeight="1">
      <c r="A664" s="271"/>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c r="AA664" s="247"/>
    </row>
    <row r="665" spans="1:27" ht="13" customHeight="1">
      <c r="A665" s="271"/>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c r="AA665" s="247"/>
    </row>
    <row r="666" spans="1:27" ht="13" customHeight="1">
      <c r="A666" s="271"/>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c r="AA666" s="247"/>
    </row>
    <row r="667" spans="1:27" ht="13" customHeight="1">
      <c r="A667" s="271"/>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c r="AA667" s="247"/>
    </row>
    <row r="668" spans="1:27" ht="13" customHeight="1">
      <c r="A668" s="271"/>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c r="AA668" s="247"/>
    </row>
    <row r="669" spans="1:27" ht="13" customHeight="1">
      <c r="A669" s="271"/>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c r="AA669" s="247"/>
    </row>
    <row r="670" spans="1:27" ht="13" customHeight="1">
      <c r="A670" s="271"/>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c r="AA670" s="247"/>
    </row>
    <row r="671" spans="1:27" ht="13" customHeight="1">
      <c r="A671" s="271"/>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c r="AA671" s="247"/>
    </row>
    <row r="672" spans="1:27" ht="13" customHeight="1">
      <c r="A672" s="271"/>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c r="AA672" s="247"/>
    </row>
    <row r="673" spans="1:27" ht="13" customHeight="1">
      <c r="A673" s="271"/>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c r="AA673" s="247"/>
    </row>
    <row r="674" spans="1:27" ht="13" customHeight="1">
      <c r="A674" s="271"/>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c r="AA674" s="247"/>
    </row>
    <row r="675" spans="1:27" ht="13" customHeight="1">
      <c r="A675" s="271"/>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c r="AA675" s="247"/>
    </row>
    <row r="676" spans="1:27" ht="13" customHeight="1">
      <c r="A676" s="271"/>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c r="AA676" s="247"/>
    </row>
    <row r="677" spans="1:27" ht="13" customHeight="1">
      <c r="A677" s="271"/>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c r="AA677" s="247"/>
    </row>
    <row r="678" spans="1:27" ht="13" customHeight="1">
      <c r="A678" s="271"/>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c r="AA678" s="247"/>
    </row>
    <row r="679" spans="1:27" ht="13" customHeight="1">
      <c r="A679" s="271"/>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c r="AA679" s="247"/>
    </row>
    <row r="680" spans="1:27" ht="13" customHeight="1">
      <c r="A680" s="271"/>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c r="AA680" s="247"/>
    </row>
    <row r="681" spans="1:27" ht="13" customHeight="1">
      <c r="A681" s="271"/>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c r="AA681" s="247"/>
    </row>
    <row r="682" spans="1:27" ht="13" customHeight="1">
      <c r="A682" s="271"/>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c r="AA682" s="247"/>
    </row>
    <row r="683" spans="1:27" ht="13" customHeight="1">
      <c r="A683" s="271"/>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c r="AA683" s="247"/>
    </row>
    <row r="684" spans="1:27" ht="13" customHeight="1">
      <c r="A684" s="271"/>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c r="AA684" s="247"/>
    </row>
    <row r="685" spans="1:27" ht="13" customHeight="1">
      <c r="A685" s="271"/>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c r="AA685" s="247"/>
    </row>
    <row r="686" spans="1:27" ht="13" customHeight="1">
      <c r="A686" s="271"/>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c r="AA686" s="247"/>
    </row>
    <row r="687" spans="1:27" ht="13" customHeight="1">
      <c r="A687" s="271"/>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c r="AA687" s="247"/>
    </row>
    <row r="688" spans="1:27" ht="13" customHeight="1">
      <c r="A688" s="271"/>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c r="AA688" s="247"/>
    </row>
    <row r="689" spans="1:27" ht="13" customHeight="1">
      <c r="A689" s="271"/>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c r="AA689" s="247"/>
    </row>
    <row r="690" spans="1:27" ht="13" customHeight="1">
      <c r="A690" s="271"/>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c r="AA690" s="247"/>
    </row>
    <row r="691" spans="1:27" ht="13" customHeight="1">
      <c r="A691" s="271"/>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c r="AA691" s="247"/>
    </row>
    <row r="692" spans="1:27" ht="13" customHeight="1">
      <c r="A692" s="271"/>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c r="AA692" s="247"/>
    </row>
    <row r="693" spans="1:27" ht="13" customHeight="1">
      <c r="A693" s="271"/>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c r="AA693" s="247"/>
    </row>
    <row r="694" spans="1:27" ht="13" customHeight="1">
      <c r="A694" s="271"/>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c r="AA694" s="247"/>
    </row>
    <row r="695" spans="1:27" ht="13" customHeight="1">
      <c r="A695" s="271"/>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c r="AA695" s="247"/>
    </row>
    <row r="696" spans="1:27" ht="13" customHeight="1">
      <c r="A696" s="271"/>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c r="AA696" s="247"/>
    </row>
    <row r="697" spans="1:27" ht="13" customHeight="1">
      <c r="A697" s="271"/>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c r="AA697" s="247"/>
    </row>
    <row r="698" spans="1:27" ht="13" customHeight="1">
      <c r="A698" s="271"/>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c r="AA698" s="247"/>
    </row>
    <row r="699" spans="1:27" ht="13" customHeight="1">
      <c r="A699" s="271"/>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c r="AA699" s="247"/>
    </row>
    <row r="700" spans="1:27" ht="13" customHeight="1">
      <c r="A700" s="271"/>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c r="AA700" s="247"/>
    </row>
    <row r="701" spans="1:27" ht="13" customHeight="1">
      <c r="A701" s="271"/>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c r="AA701" s="247"/>
    </row>
    <row r="702" spans="1:27" ht="13" customHeight="1">
      <c r="A702" s="271"/>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c r="AA702" s="247"/>
    </row>
    <row r="703" spans="1:27" ht="13" customHeight="1">
      <c r="A703" s="271"/>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c r="AA703" s="247"/>
    </row>
    <row r="704" spans="1:27" ht="13" customHeight="1">
      <c r="A704" s="271"/>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c r="AA704" s="247"/>
    </row>
    <row r="705" spans="1:27" ht="13" customHeight="1">
      <c r="A705" s="271"/>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c r="AA705" s="247"/>
    </row>
    <row r="706" spans="1:27" ht="13" customHeight="1">
      <c r="A706" s="271"/>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c r="AA706" s="247"/>
    </row>
    <row r="707" spans="1:27" ht="13" customHeight="1">
      <c r="A707" s="271"/>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c r="AA707" s="247"/>
    </row>
    <row r="708" spans="1:27" ht="13" customHeight="1">
      <c r="A708" s="271"/>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c r="AA708" s="247"/>
    </row>
    <row r="709" spans="1:27" ht="13" customHeight="1">
      <c r="A709" s="271"/>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c r="AA709" s="247"/>
    </row>
    <row r="710" spans="1:27" ht="13" customHeight="1">
      <c r="A710" s="271"/>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c r="AA710" s="247"/>
    </row>
    <row r="711" spans="1:27" ht="13" customHeight="1">
      <c r="A711" s="271"/>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c r="AA711" s="247"/>
    </row>
    <row r="712" spans="1:27" ht="13" customHeight="1">
      <c r="A712" s="271"/>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c r="AA712" s="247"/>
    </row>
    <row r="713" spans="1:27" ht="13" customHeight="1">
      <c r="A713" s="271"/>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c r="AA713" s="247"/>
    </row>
    <row r="714" spans="1:27" ht="13" customHeight="1">
      <c r="A714" s="271"/>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c r="AA714" s="247"/>
    </row>
    <row r="715" spans="1:27" ht="13" customHeight="1">
      <c r="A715" s="271"/>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c r="AA715" s="247"/>
    </row>
    <row r="716" spans="1:27" ht="13" customHeight="1">
      <c r="A716" s="271"/>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c r="AA716" s="247"/>
    </row>
    <row r="717" spans="1:27" ht="13" customHeight="1">
      <c r="A717" s="271"/>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c r="AA717" s="247"/>
    </row>
    <row r="718" spans="1:27" ht="13" customHeight="1">
      <c r="A718" s="271"/>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c r="AA718" s="247"/>
    </row>
    <row r="719" spans="1:27" ht="13" customHeight="1">
      <c r="A719" s="271"/>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c r="AA719" s="247"/>
    </row>
    <row r="720" spans="1:27" ht="13" customHeight="1">
      <c r="A720" s="271"/>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c r="AA720" s="247"/>
    </row>
    <row r="721" spans="1:27" ht="13" customHeight="1">
      <c r="A721" s="271"/>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c r="AA721" s="247"/>
    </row>
    <row r="722" spans="1:27" ht="13" customHeight="1">
      <c r="A722" s="271"/>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c r="AA722" s="247"/>
    </row>
    <row r="723" spans="1:27" ht="13" customHeight="1">
      <c r="A723" s="271"/>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c r="AA723" s="247"/>
    </row>
    <row r="724" spans="1:27" ht="13" customHeight="1">
      <c r="A724" s="271"/>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c r="AA724" s="247"/>
    </row>
    <row r="725" spans="1:27" ht="13" customHeight="1">
      <c r="A725" s="271"/>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c r="AA725" s="247"/>
    </row>
    <row r="726" spans="1:27" ht="13" customHeight="1">
      <c r="A726" s="271"/>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c r="AA726" s="247"/>
    </row>
    <row r="727" spans="1:27" ht="13" customHeight="1">
      <c r="A727" s="271"/>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c r="AA727" s="247"/>
    </row>
    <row r="728" spans="1:27" ht="13" customHeight="1">
      <c r="A728" s="271"/>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c r="AA728" s="247"/>
    </row>
    <row r="729" spans="1:27" ht="13" customHeight="1">
      <c r="A729" s="271"/>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c r="AA729" s="247"/>
    </row>
    <row r="730" spans="1:27" ht="13" customHeight="1">
      <c r="A730" s="271"/>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c r="AA730" s="247"/>
    </row>
    <row r="731" spans="1:27" ht="13" customHeight="1">
      <c r="A731" s="271"/>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c r="AA731" s="247"/>
    </row>
    <row r="732" spans="1:27" ht="13" customHeight="1">
      <c r="A732" s="271"/>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c r="AA732" s="247"/>
    </row>
    <row r="733" spans="1:27" ht="13" customHeight="1">
      <c r="A733" s="271"/>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c r="AA733" s="247"/>
    </row>
    <row r="734" spans="1:27" ht="13" customHeight="1">
      <c r="A734" s="271"/>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c r="AA734" s="247"/>
    </row>
    <row r="735" spans="1:27" ht="13" customHeight="1">
      <c r="A735" s="271"/>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c r="AA735" s="247"/>
    </row>
    <row r="736" spans="1:27" ht="13" customHeight="1">
      <c r="A736" s="271"/>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c r="AA736" s="247"/>
    </row>
    <row r="737" spans="1:27" ht="13" customHeight="1">
      <c r="A737" s="271"/>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c r="AA737" s="247"/>
    </row>
    <row r="738" spans="1:27" ht="13" customHeight="1">
      <c r="A738" s="271"/>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c r="AA738" s="247"/>
    </row>
    <row r="739" spans="1:27" ht="13" customHeight="1">
      <c r="A739" s="271"/>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c r="AA739" s="247"/>
    </row>
    <row r="740" spans="1:27" ht="13" customHeight="1">
      <c r="A740" s="271"/>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c r="AA740" s="247"/>
    </row>
    <row r="741" spans="1:27" ht="13" customHeight="1">
      <c r="A741" s="271"/>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c r="AA741" s="247"/>
    </row>
    <row r="742" spans="1:27" ht="13" customHeight="1">
      <c r="A742" s="271"/>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c r="AA742" s="247"/>
    </row>
    <row r="743" spans="1:27" ht="13" customHeight="1">
      <c r="A743" s="271"/>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c r="AA743" s="247"/>
    </row>
    <row r="744" spans="1:27" ht="13" customHeight="1">
      <c r="A744" s="271"/>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c r="AA744" s="247"/>
    </row>
    <row r="745" spans="1:27" ht="13" customHeight="1">
      <c r="A745" s="271"/>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c r="AA745" s="247"/>
    </row>
    <row r="746" spans="1:27" ht="13" customHeight="1">
      <c r="A746" s="271"/>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c r="AA746" s="247"/>
    </row>
    <row r="747" spans="1:27" ht="13" customHeight="1">
      <c r="A747" s="271"/>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c r="AA747" s="247"/>
    </row>
    <row r="748" spans="1:27" ht="13" customHeight="1">
      <c r="A748" s="271"/>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c r="AA748" s="247"/>
    </row>
    <row r="749" spans="1:27" ht="13" customHeight="1">
      <c r="A749" s="271"/>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c r="AA749" s="247"/>
    </row>
    <row r="750" spans="1:27" ht="13" customHeight="1">
      <c r="A750" s="271"/>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c r="AA750" s="247"/>
    </row>
    <row r="751" spans="1:27" ht="13" customHeight="1">
      <c r="A751" s="271"/>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c r="AA751" s="247"/>
    </row>
    <row r="752" spans="1:27" ht="13" customHeight="1">
      <c r="A752" s="271"/>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c r="AA752" s="247"/>
    </row>
    <row r="753" spans="1:27" ht="13" customHeight="1">
      <c r="A753" s="271"/>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c r="AA753" s="247"/>
    </row>
    <row r="754" spans="1:27" ht="13" customHeight="1">
      <c r="A754" s="271"/>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c r="AA754" s="247"/>
    </row>
    <row r="755" spans="1:27" ht="13" customHeight="1">
      <c r="A755" s="271"/>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c r="AA755" s="247"/>
    </row>
    <row r="756" spans="1:27" ht="13" customHeight="1">
      <c r="A756" s="271"/>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c r="AA756" s="247"/>
    </row>
    <row r="757" spans="1:27" ht="13" customHeight="1">
      <c r="A757" s="271"/>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c r="AA757" s="247"/>
    </row>
    <row r="758" spans="1:27" ht="13" customHeight="1">
      <c r="A758" s="271"/>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c r="AA758" s="247"/>
    </row>
    <row r="759" spans="1:27" ht="13" customHeight="1">
      <c r="A759" s="271"/>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c r="AA759" s="247"/>
    </row>
    <row r="760" spans="1:27" ht="13" customHeight="1">
      <c r="A760" s="271"/>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c r="AA760" s="247"/>
    </row>
    <row r="761" spans="1:27" ht="13" customHeight="1">
      <c r="A761" s="271"/>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c r="AA761" s="247"/>
    </row>
    <row r="762" spans="1:27" ht="13" customHeight="1">
      <c r="A762" s="271"/>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c r="AA762" s="247"/>
    </row>
    <row r="763" spans="1:27" ht="13" customHeight="1">
      <c r="A763" s="271"/>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c r="AA763" s="247"/>
    </row>
    <row r="764" spans="1:27" ht="13" customHeight="1">
      <c r="A764" s="271"/>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c r="AA764" s="247"/>
    </row>
    <row r="765" spans="1:27" ht="13" customHeight="1">
      <c r="A765" s="271"/>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c r="AA765" s="247"/>
    </row>
    <row r="766" spans="1:27" ht="13" customHeight="1">
      <c r="A766" s="271"/>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c r="AA766" s="247"/>
    </row>
    <row r="767" spans="1:27" ht="13" customHeight="1">
      <c r="A767" s="271"/>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c r="AA767" s="247"/>
    </row>
    <row r="768" spans="1:27" ht="13" customHeight="1">
      <c r="A768" s="271"/>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c r="AA768" s="247"/>
    </row>
    <row r="769" spans="1:27" ht="13" customHeight="1">
      <c r="A769" s="271"/>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c r="AA769" s="247"/>
    </row>
    <row r="770" spans="1:27" ht="13" customHeight="1">
      <c r="A770" s="271"/>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c r="AA770" s="247"/>
    </row>
    <row r="771" spans="1:27" ht="13" customHeight="1">
      <c r="A771" s="271"/>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c r="AA771" s="247"/>
    </row>
    <row r="772" spans="1:27" ht="13" customHeight="1">
      <c r="A772" s="271"/>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c r="AA772" s="247"/>
    </row>
    <row r="773" spans="1:27" ht="13" customHeight="1">
      <c r="A773" s="271"/>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c r="AA773" s="247"/>
    </row>
    <row r="774" spans="1:27" ht="13" customHeight="1">
      <c r="A774" s="271"/>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c r="AA774" s="247"/>
    </row>
    <row r="775" spans="1:27" ht="13" customHeight="1">
      <c r="A775" s="271"/>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c r="AA775" s="247"/>
    </row>
    <row r="776" spans="1:27" ht="13" customHeight="1">
      <c r="A776" s="271"/>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c r="AA776" s="247"/>
    </row>
    <row r="777" spans="1:27" ht="13" customHeight="1">
      <c r="A777" s="271"/>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c r="AA777" s="247"/>
    </row>
    <row r="778" spans="1:27" ht="13" customHeight="1">
      <c r="A778" s="271"/>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c r="AA778" s="247"/>
    </row>
    <row r="779" spans="1:27" ht="13" customHeight="1">
      <c r="A779" s="271"/>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c r="AA779" s="247"/>
    </row>
    <row r="780" spans="1:27" ht="13" customHeight="1">
      <c r="A780" s="271"/>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c r="AA780" s="247"/>
    </row>
    <row r="781" spans="1:27" ht="13" customHeight="1">
      <c r="A781" s="271"/>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c r="AA781" s="247"/>
    </row>
    <row r="782" spans="1:27" ht="13" customHeight="1">
      <c r="A782" s="271"/>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c r="AA782" s="247"/>
    </row>
    <row r="783" spans="1:27" ht="13" customHeight="1">
      <c r="A783" s="271"/>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c r="AA783" s="247"/>
    </row>
    <row r="784" spans="1:27" ht="13" customHeight="1">
      <c r="A784" s="271"/>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c r="AA784" s="247"/>
    </row>
    <row r="785" spans="1:27" ht="13" customHeight="1">
      <c r="A785" s="271"/>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c r="AA785" s="247"/>
    </row>
    <row r="786" spans="1:27" ht="13" customHeight="1">
      <c r="A786" s="271"/>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c r="AA786" s="247"/>
    </row>
    <row r="787" spans="1:27" ht="13" customHeight="1">
      <c r="A787" s="271"/>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c r="AA787" s="247"/>
    </row>
    <row r="788" spans="1:27" ht="13" customHeight="1">
      <c r="A788" s="271"/>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c r="AA788" s="247"/>
    </row>
    <row r="789" spans="1:27" ht="13" customHeight="1">
      <c r="A789" s="271"/>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c r="AA789" s="247"/>
    </row>
    <row r="790" spans="1:27" ht="13" customHeight="1">
      <c r="A790" s="271"/>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c r="AA790" s="247"/>
    </row>
    <row r="791" spans="1:27" ht="13" customHeight="1">
      <c r="A791" s="271"/>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c r="AA791" s="247"/>
    </row>
    <row r="792" spans="1:27" ht="13" customHeight="1">
      <c r="A792" s="271"/>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c r="AA792" s="247"/>
    </row>
    <row r="793" spans="1:27" ht="13" customHeight="1">
      <c r="A793" s="271"/>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c r="AA793" s="247"/>
    </row>
    <row r="794" spans="1:27" ht="13" customHeight="1">
      <c r="A794" s="271"/>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c r="AA794" s="247"/>
    </row>
    <row r="795" spans="1:27" ht="13" customHeight="1">
      <c r="A795" s="271"/>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c r="AA795" s="247"/>
    </row>
    <row r="796" spans="1:27" ht="13" customHeight="1">
      <c r="A796" s="271"/>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c r="AA796" s="247"/>
    </row>
    <row r="797" spans="1:27" ht="13" customHeight="1">
      <c r="A797" s="271"/>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c r="AA797" s="247"/>
    </row>
    <row r="798" spans="1:27" ht="13" customHeight="1">
      <c r="A798" s="271"/>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c r="AA798" s="247"/>
    </row>
    <row r="799" spans="1:27" ht="13" customHeight="1">
      <c r="A799" s="271"/>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c r="AA799" s="247"/>
    </row>
    <row r="800" spans="1:27" ht="13" customHeight="1">
      <c r="A800" s="271"/>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c r="AA800" s="247"/>
    </row>
    <row r="801" spans="1:27" ht="13" customHeight="1">
      <c r="A801" s="271"/>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c r="AA801" s="247"/>
    </row>
    <row r="802" spans="1:27" ht="13" customHeight="1">
      <c r="A802" s="271"/>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c r="AA802" s="247"/>
    </row>
    <row r="803" spans="1:27" ht="13" customHeight="1">
      <c r="A803" s="271"/>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c r="AA803" s="247"/>
    </row>
    <row r="804" spans="1:27" ht="13" customHeight="1">
      <c r="A804" s="271"/>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c r="AA804" s="247"/>
    </row>
    <row r="805" spans="1:27" ht="13" customHeight="1">
      <c r="A805" s="271"/>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c r="AA805" s="247"/>
    </row>
    <row r="806" spans="1:27" ht="13" customHeight="1">
      <c r="A806" s="271"/>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c r="AA806" s="247"/>
    </row>
    <row r="807" spans="1:27" ht="13" customHeight="1">
      <c r="A807" s="271"/>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c r="AA807" s="247"/>
    </row>
    <row r="808" spans="1:27" ht="13" customHeight="1">
      <c r="A808" s="271"/>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c r="AA808" s="247"/>
    </row>
    <row r="809" spans="1:27" ht="13" customHeight="1">
      <c r="A809" s="271"/>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c r="AA809" s="247"/>
    </row>
    <row r="810" spans="1:27" ht="13" customHeight="1">
      <c r="A810" s="271"/>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c r="AA810" s="247"/>
    </row>
    <row r="811" spans="1:27" ht="13" customHeight="1">
      <c r="A811" s="271"/>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c r="AA811" s="247"/>
    </row>
    <row r="812" spans="1:27" ht="13" customHeight="1">
      <c r="A812" s="271"/>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c r="AA812" s="247"/>
    </row>
    <row r="813" spans="1:27" ht="13" customHeight="1">
      <c r="A813" s="271"/>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c r="AA813" s="247"/>
    </row>
    <row r="814" spans="1:27" ht="13" customHeight="1">
      <c r="A814" s="271"/>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c r="AA814" s="247"/>
    </row>
    <row r="815" spans="1:27" ht="13" customHeight="1">
      <c r="A815" s="271"/>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c r="AA815" s="247"/>
    </row>
    <row r="816" spans="1:27" ht="13" customHeight="1">
      <c r="A816" s="271"/>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c r="AA816" s="247"/>
    </row>
    <row r="817" spans="1:27" ht="13" customHeight="1">
      <c r="A817" s="271"/>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c r="AA817" s="247"/>
    </row>
    <row r="818" spans="1:27" ht="13" customHeight="1">
      <c r="A818" s="271"/>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c r="AA818" s="247"/>
    </row>
    <row r="819" spans="1:27" ht="13" customHeight="1">
      <c r="A819" s="271"/>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c r="AA819" s="247"/>
    </row>
    <row r="820" spans="1:27" ht="13" customHeight="1">
      <c r="A820" s="271"/>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c r="AA820" s="247"/>
    </row>
    <row r="821" spans="1:27" ht="13" customHeight="1">
      <c r="A821" s="271"/>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c r="AA821" s="247"/>
    </row>
    <row r="822" spans="1:27" ht="13" customHeight="1">
      <c r="A822" s="271"/>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c r="AA822" s="247"/>
    </row>
    <row r="823" spans="1:27" ht="13" customHeight="1">
      <c r="A823" s="271"/>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c r="AA823" s="247"/>
    </row>
    <row r="824" spans="1:27" ht="13" customHeight="1">
      <c r="A824" s="271"/>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c r="AA824" s="247"/>
    </row>
    <row r="825" spans="1:27" ht="13" customHeight="1">
      <c r="A825" s="271"/>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c r="AA825" s="247"/>
    </row>
    <row r="826" spans="1:27" ht="13" customHeight="1">
      <c r="A826" s="271"/>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c r="AA826" s="247"/>
    </row>
    <row r="827" spans="1:27" ht="13" customHeight="1">
      <c r="A827" s="271"/>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c r="AA827" s="247"/>
    </row>
    <row r="828" spans="1:27" ht="13" customHeight="1">
      <c r="A828" s="271"/>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c r="AA828" s="247"/>
    </row>
    <row r="829" spans="1:27" ht="13" customHeight="1">
      <c r="A829" s="271"/>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c r="AA829" s="247"/>
    </row>
    <row r="830" spans="1:27" ht="13" customHeight="1">
      <c r="A830" s="271"/>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c r="AA830" s="247"/>
    </row>
    <row r="831" spans="1:27" ht="13" customHeight="1">
      <c r="A831" s="271"/>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c r="AA831" s="247"/>
    </row>
    <row r="832" spans="1:27" ht="13" customHeight="1">
      <c r="A832" s="271"/>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c r="AA832" s="247"/>
    </row>
    <row r="833" spans="1:27" ht="13" customHeight="1">
      <c r="A833" s="271"/>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c r="AA833" s="247"/>
    </row>
    <row r="834" spans="1:27" ht="13" customHeight="1">
      <c r="A834" s="271"/>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c r="AA834" s="247"/>
    </row>
    <row r="835" spans="1:27" ht="13" customHeight="1">
      <c r="A835" s="271"/>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c r="AA835" s="247"/>
    </row>
    <row r="836" spans="1:27" ht="13" customHeight="1">
      <c r="A836" s="271"/>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c r="AA836" s="247"/>
    </row>
    <row r="837" spans="1:27" ht="13" customHeight="1">
      <c r="A837" s="271"/>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c r="AA837" s="247"/>
    </row>
    <row r="838" spans="1:27" ht="13" customHeight="1">
      <c r="A838" s="271"/>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c r="AA838" s="247"/>
    </row>
    <row r="839" spans="1:27" ht="13" customHeight="1">
      <c r="A839" s="271"/>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c r="AA839" s="247"/>
    </row>
    <row r="840" spans="1:27" ht="13" customHeight="1">
      <c r="A840" s="271"/>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c r="AA840" s="247"/>
    </row>
    <row r="841" spans="1:27" ht="13" customHeight="1">
      <c r="A841" s="271"/>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c r="AA841" s="247"/>
    </row>
    <row r="842" spans="1:27" ht="13" customHeight="1">
      <c r="A842" s="271"/>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c r="AA842" s="247"/>
    </row>
    <row r="843" spans="1:27" ht="13" customHeight="1">
      <c r="A843" s="271"/>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c r="AA843" s="247"/>
    </row>
    <row r="844" spans="1:27" ht="13" customHeight="1">
      <c r="A844" s="271"/>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c r="AA844" s="247"/>
    </row>
    <row r="845" spans="1:27" ht="13" customHeight="1">
      <c r="A845" s="271"/>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c r="AA845" s="247"/>
    </row>
    <row r="846" spans="1:27" ht="13" customHeight="1">
      <c r="A846" s="271"/>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c r="AA846" s="247"/>
    </row>
    <row r="847" spans="1:27" ht="13" customHeight="1">
      <c r="A847" s="271"/>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c r="AA847" s="247"/>
    </row>
    <row r="848" spans="1:27" ht="13" customHeight="1">
      <c r="A848" s="271"/>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c r="AA848" s="247"/>
    </row>
    <row r="849" spans="1:27" ht="13" customHeight="1">
      <c r="A849" s="271"/>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c r="AA849" s="247"/>
    </row>
    <row r="850" spans="1:27" ht="13" customHeight="1">
      <c r="A850" s="271"/>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c r="AA850" s="247"/>
    </row>
    <row r="851" spans="1:27" ht="13" customHeight="1">
      <c r="A851" s="271"/>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c r="AA851" s="247"/>
    </row>
    <row r="852" spans="1:27" ht="13" customHeight="1">
      <c r="A852" s="271"/>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c r="AA852" s="247"/>
    </row>
    <row r="853" spans="1:27" ht="13" customHeight="1">
      <c r="A853" s="271"/>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c r="AA853" s="247"/>
    </row>
    <row r="854" spans="1:27" ht="13" customHeight="1">
      <c r="A854" s="271"/>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c r="AA854" s="247"/>
    </row>
    <row r="855" spans="1:27" ht="13" customHeight="1">
      <c r="A855" s="271"/>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c r="AA855" s="247"/>
    </row>
    <row r="856" spans="1:27" ht="13" customHeight="1">
      <c r="A856" s="271"/>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c r="AA856" s="247"/>
    </row>
    <row r="857" spans="1:27" ht="13" customHeight="1">
      <c r="A857" s="271"/>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c r="AA857" s="247"/>
    </row>
    <row r="858" spans="1:27" ht="13" customHeight="1">
      <c r="A858" s="271"/>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c r="AA858" s="247"/>
    </row>
    <row r="859" spans="1:27" ht="13" customHeight="1">
      <c r="A859" s="271"/>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c r="AA859" s="247"/>
    </row>
    <row r="860" spans="1:27" ht="13" customHeight="1">
      <c r="A860" s="271"/>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c r="AA860" s="247"/>
    </row>
    <row r="861" spans="1:27" ht="13" customHeight="1">
      <c r="A861" s="271"/>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c r="AA861" s="247"/>
    </row>
    <row r="862" spans="1:27" ht="13" customHeight="1">
      <c r="A862" s="271"/>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c r="AA862" s="247"/>
    </row>
    <row r="863" spans="1:27" ht="13" customHeight="1">
      <c r="A863" s="271"/>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c r="AA863" s="247"/>
    </row>
    <row r="864" spans="1:27" ht="13" customHeight="1">
      <c r="A864" s="271"/>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c r="AA864" s="247"/>
    </row>
    <row r="865" spans="1:27" ht="13" customHeight="1">
      <c r="A865" s="271"/>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c r="AA865" s="247"/>
    </row>
    <row r="866" spans="1:27" ht="13" customHeight="1">
      <c r="A866" s="271"/>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c r="AA866" s="247"/>
    </row>
    <row r="867" spans="1:27" ht="13" customHeight="1">
      <c r="A867" s="271"/>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c r="AA867" s="247"/>
    </row>
    <row r="868" spans="1:27" ht="13" customHeight="1">
      <c r="A868" s="271"/>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c r="AA868" s="247"/>
    </row>
    <row r="869" spans="1:27" ht="13" customHeight="1">
      <c r="A869" s="271"/>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c r="AA869" s="247"/>
    </row>
    <row r="870" spans="1:27" ht="13" customHeight="1">
      <c r="A870" s="271"/>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c r="AA870" s="247"/>
    </row>
    <row r="871" spans="1:27" ht="13" customHeight="1">
      <c r="A871" s="271"/>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c r="AA871" s="247"/>
    </row>
    <row r="872" spans="1:27" ht="13" customHeight="1">
      <c r="A872" s="271"/>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c r="AA872" s="247"/>
    </row>
    <row r="873" spans="1:27" ht="13" customHeight="1">
      <c r="A873" s="271"/>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c r="AA873" s="247"/>
    </row>
    <row r="874" spans="1:27" ht="13" customHeight="1">
      <c r="A874" s="271"/>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c r="AA874" s="247"/>
    </row>
    <row r="875" spans="1:27" ht="13" customHeight="1">
      <c r="A875" s="271"/>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c r="AA875" s="247"/>
    </row>
    <row r="876" spans="1:27" ht="13" customHeight="1">
      <c r="A876" s="271"/>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c r="AA876" s="247"/>
    </row>
    <row r="877" spans="1:27" ht="13" customHeight="1">
      <c r="A877" s="271"/>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c r="AA877" s="247"/>
    </row>
    <row r="878" spans="1:27" ht="13" customHeight="1">
      <c r="A878" s="271"/>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c r="AA878" s="247"/>
    </row>
    <row r="879" spans="1:27" ht="13" customHeight="1">
      <c r="A879" s="271"/>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c r="AA879" s="247"/>
    </row>
    <row r="880" spans="1:27" ht="13" customHeight="1">
      <c r="A880" s="271"/>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c r="AA880" s="247"/>
    </row>
    <row r="881" spans="1:27" ht="13" customHeight="1">
      <c r="A881" s="271"/>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c r="AA881" s="247"/>
    </row>
    <row r="882" spans="1:27" ht="13" customHeight="1">
      <c r="A882" s="271"/>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c r="AA882" s="247"/>
    </row>
    <row r="883" spans="1:27" ht="13" customHeight="1">
      <c r="A883" s="271"/>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c r="AA883" s="247"/>
    </row>
    <row r="884" spans="1:27" ht="13" customHeight="1">
      <c r="A884" s="271"/>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c r="AA884" s="247"/>
    </row>
    <row r="885" spans="1:27" ht="13" customHeight="1">
      <c r="A885" s="271"/>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c r="AA885" s="247"/>
    </row>
    <row r="886" spans="1:27" ht="13" customHeight="1">
      <c r="A886" s="271"/>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c r="AA886" s="247"/>
    </row>
    <row r="887" spans="1:27" ht="13" customHeight="1">
      <c r="A887" s="271"/>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c r="AA887" s="247"/>
    </row>
    <row r="888" spans="1:27" ht="13" customHeight="1">
      <c r="A888" s="271"/>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c r="AA888" s="247"/>
    </row>
    <row r="889" spans="1:27" ht="13" customHeight="1">
      <c r="A889" s="271"/>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c r="AA889" s="247"/>
    </row>
    <row r="890" spans="1:27" ht="13" customHeight="1">
      <c r="A890" s="271"/>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c r="AA890" s="247"/>
    </row>
    <row r="891" spans="1:27" ht="13" customHeight="1">
      <c r="A891" s="271"/>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c r="AA891" s="247"/>
    </row>
    <row r="892" spans="1:27" ht="13" customHeight="1">
      <c r="A892" s="271"/>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c r="AA892" s="247"/>
    </row>
    <row r="893" spans="1:27" ht="13" customHeight="1">
      <c r="A893" s="271"/>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c r="AA893" s="247"/>
    </row>
    <row r="894" spans="1:27" ht="13" customHeight="1">
      <c r="A894" s="271"/>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c r="AA894" s="247"/>
    </row>
    <row r="895" spans="1:27" ht="13" customHeight="1">
      <c r="A895" s="271"/>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c r="AA895" s="247"/>
    </row>
    <row r="896" spans="1:27" ht="13" customHeight="1">
      <c r="A896" s="271"/>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c r="AA896" s="247"/>
    </row>
    <row r="897" spans="1:27" ht="13" customHeight="1">
      <c r="A897" s="271"/>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c r="AA897" s="247"/>
    </row>
    <row r="898" spans="1:27" ht="13" customHeight="1">
      <c r="A898" s="271"/>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c r="AA898" s="247"/>
    </row>
    <row r="899" spans="1:27" ht="13" customHeight="1">
      <c r="A899" s="271"/>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c r="AA899" s="247"/>
    </row>
    <row r="900" spans="1:27" ht="13" customHeight="1">
      <c r="A900" s="271"/>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c r="AA900" s="247"/>
    </row>
    <row r="901" spans="1:27" ht="13" customHeight="1">
      <c r="A901" s="271"/>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c r="AA901" s="247"/>
    </row>
    <row r="902" spans="1:27" ht="13" customHeight="1">
      <c r="A902" s="271"/>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c r="AA902" s="247"/>
    </row>
    <row r="903" spans="1:27" ht="13" customHeight="1">
      <c r="A903" s="271"/>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c r="AA903" s="247"/>
    </row>
    <row r="904" spans="1:27" ht="13" customHeight="1">
      <c r="A904" s="271"/>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c r="AA904" s="247"/>
    </row>
    <row r="905" spans="1:27" ht="13" customHeight="1">
      <c r="A905" s="271"/>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c r="AA905" s="247"/>
    </row>
    <row r="906" spans="1:27" ht="13" customHeight="1">
      <c r="A906" s="271"/>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c r="AA906" s="247"/>
    </row>
    <row r="907" spans="1:27" ht="13" customHeight="1">
      <c r="A907" s="271"/>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c r="AA907" s="247"/>
    </row>
    <row r="908" spans="1:27" ht="13" customHeight="1">
      <c r="A908" s="271"/>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c r="AA908" s="247"/>
    </row>
    <row r="909" spans="1:27" ht="13" customHeight="1">
      <c r="A909" s="271"/>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c r="AA909" s="247"/>
    </row>
    <row r="910" spans="1:27" ht="13" customHeight="1">
      <c r="A910" s="271"/>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c r="AA910" s="247"/>
    </row>
    <row r="911" spans="1:27" ht="13" customHeight="1">
      <c r="A911" s="271"/>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c r="AA911" s="247"/>
    </row>
    <row r="912" spans="1:27" ht="13" customHeight="1">
      <c r="A912" s="271"/>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c r="AA912" s="247"/>
    </row>
    <row r="913" spans="1:27" ht="13" customHeight="1">
      <c r="A913" s="271"/>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c r="AA913" s="247"/>
    </row>
    <row r="914" spans="1:27" ht="13" customHeight="1">
      <c r="A914" s="271"/>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c r="AA914" s="247"/>
    </row>
    <row r="915" spans="1:27" ht="13" customHeight="1">
      <c r="A915" s="271"/>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c r="AA915" s="247"/>
    </row>
    <row r="916" spans="1:27" ht="13" customHeight="1">
      <c r="A916" s="271"/>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c r="AA916" s="247"/>
    </row>
    <row r="917" spans="1:27" ht="13" customHeight="1">
      <c r="A917" s="271"/>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c r="AA917" s="247"/>
    </row>
    <row r="918" spans="1:27" ht="13" customHeight="1">
      <c r="A918" s="271"/>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c r="AA918" s="247"/>
    </row>
    <row r="919" spans="1:27" ht="13" customHeight="1">
      <c r="A919" s="271"/>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c r="AA919" s="247"/>
    </row>
    <row r="920" spans="1:27" ht="13" customHeight="1">
      <c r="A920" s="271"/>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c r="AA920" s="247"/>
    </row>
    <row r="921" spans="1:27" ht="13" customHeight="1">
      <c r="A921" s="271"/>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c r="AA921" s="247"/>
    </row>
    <row r="922" spans="1:27" ht="13" customHeight="1">
      <c r="A922" s="271"/>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c r="AA922" s="247"/>
    </row>
    <row r="923" spans="1:27" ht="13" customHeight="1">
      <c r="A923" s="271"/>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c r="AA923" s="247"/>
    </row>
    <row r="924" spans="1:27" ht="13" customHeight="1">
      <c r="A924" s="271"/>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c r="AA924" s="247"/>
    </row>
    <row r="925" spans="1:27" ht="13" customHeight="1">
      <c r="A925" s="271"/>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c r="AA925" s="247"/>
    </row>
    <row r="926" spans="1:27" ht="13" customHeight="1">
      <c r="A926" s="271"/>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c r="AA926" s="247"/>
    </row>
    <row r="927" spans="1:27" ht="13" customHeight="1">
      <c r="A927" s="271"/>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c r="AA927" s="247"/>
    </row>
    <row r="928" spans="1:27" ht="13" customHeight="1">
      <c r="A928" s="271"/>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c r="AA928" s="247"/>
    </row>
    <row r="929" spans="1:27" ht="13" customHeight="1">
      <c r="A929" s="271"/>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c r="AA929" s="247"/>
    </row>
    <row r="930" spans="1:27" ht="13" customHeight="1">
      <c r="A930" s="271"/>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c r="AA930" s="247"/>
    </row>
    <row r="931" spans="1:27" ht="13" customHeight="1">
      <c r="A931" s="271"/>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c r="AA931" s="247"/>
    </row>
    <row r="932" spans="1:27" ht="13" customHeight="1">
      <c r="A932" s="271"/>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c r="AA932" s="247"/>
    </row>
    <row r="933" spans="1:27" ht="13" customHeight="1">
      <c r="A933" s="271"/>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c r="AA933" s="247"/>
    </row>
    <row r="934" spans="1:27" ht="13" customHeight="1">
      <c r="A934" s="271"/>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c r="AA934" s="247"/>
    </row>
    <row r="935" spans="1:27" ht="13" customHeight="1">
      <c r="A935" s="271"/>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c r="AA935" s="247"/>
    </row>
    <row r="936" spans="1:27" ht="13" customHeight="1">
      <c r="A936" s="271"/>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c r="AA936" s="247"/>
    </row>
    <row r="937" spans="1:27" ht="13" customHeight="1">
      <c r="A937" s="271"/>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c r="AA937" s="247"/>
    </row>
    <row r="938" spans="1:27" ht="13" customHeight="1">
      <c r="A938" s="271"/>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c r="AA938" s="247"/>
    </row>
    <row r="939" spans="1:27" ht="13" customHeight="1">
      <c r="A939" s="271"/>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c r="AA939" s="247"/>
    </row>
    <row r="940" spans="1:27" ht="13" customHeight="1">
      <c r="A940" s="271"/>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c r="AA940" s="247"/>
    </row>
    <row r="941" spans="1:27" ht="13" customHeight="1">
      <c r="A941" s="271"/>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c r="AA941" s="247"/>
    </row>
    <row r="942" spans="1:27" ht="13" customHeight="1">
      <c r="A942" s="271"/>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c r="AA942" s="247"/>
    </row>
    <row r="943" spans="1:27" ht="13" customHeight="1">
      <c r="A943" s="271"/>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c r="AA943" s="247"/>
    </row>
    <row r="944" spans="1:27" ht="13" customHeight="1">
      <c r="A944" s="271"/>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c r="AA944" s="247"/>
    </row>
    <row r="945" spans="1:27" ht="13" customHeight="1">
      <c r="A945" s="271"/>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c r="AA945" s="247"/>
    </row>
    <row r="946" spans="1:27" ht="13" customHeight="1">
      <c r="A946" s="271"/>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c r="AA946" s="247"/>
    </row>
    <row r="947" spans="1:27" ht="13" customHeight="1">
      <c r="A947" s="271"/>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c r="AA947" s="247"/>
    </row>
    <row r="948" spans="1:27" ht="13" customHeight="1">
      <c r="A948" s="271"/>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c r="AA948" s="247"/>
    </row>
    <row r="949" spans="1:27" ht="13" customHeight="1">
      <c r="A949" s="271"/>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c r="AA949" s="247"/>
    </row>
    <row r="950" spans="1:27" ht="13" customHeight="1">
      <c r="A950" s="271"/>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c r="AA950" s="247"/>
    </row>
    <row r="951" spans="1:27" ht="13" customHeight="1">
      <c r="A951" s="271"/>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c r="AA951" s="247"/>
    </row>
    <row r="952" spans="1:27" ht="13" customHeight="1">
      <c r="A952" s="271"/>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c r="AA952" s="247"/>
    </row>
    <row r="953" spans="1:27" ht="13" customHeight="1">
      <c r="A953" s="271"/>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c r="AA953" s="247"/>
    </row>
    <row r="954" spans="1:27" ht="13" customHeight="1">
      <c r="A954" s="271"/>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c r="AA954" s="247"/>
    </row>
    <row r="955" spans="1:27" ht="13" customHeight="1">
      <c r="A955" s="271"/>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c r="AA955" s="247"/>
    </row>
    <row r="956" spans="1:27" ht="13" customHeight="1">
      <c r="A956" s="271"/>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c r="AA956" s="247"/>
    </row>
    <row r="957" spans="1:27" ht="13" customHeight="1">
      <c r="A957" s="271"/>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c r="AA957" s="247"/>
    </row>
    <row r="958" spans="1:27" ht="13" customHeight="1">
      <c r="A958" s="271"/>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c r="AA958" s="247"/>
    </row>
    <row r="959" spans="1:27" ht="13" customHeight="1">
      <c r="A959" s="271"/>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c r="AA959" s="247"/>
    </row>
    <row r="960" spans="1:27" ht="13" customHeight="1">
      <c r="A960" s="271"/>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c r="AA960" s="247"/>
    </row>
    <row r="961" spans="1:27" ht="13" customHeight="1">
      <c r="A961" s="271"/>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c r="AA961" s="247"/>
    </row>
    <row r="962" spans="1:27" ht="13" customHeight="1">
      <c r="A962" s="271"/>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c r="AA962" s="247"/>
    </row>
    <row r="963" spans="1:27" ht="13" customHeight="1">
      <c r="A963" s="271"/>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c r="AA963" s="247"/>
    </row>
    <row r="964" spans="1:27" ht="13" customHeight="1">
      <c r="A964" s="271"/>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c r="AA964" s="247"/>
    </row>
    <row r="965" spans="1:27" ht="13" customHeight="1">
      <c r="A965" s="271"/>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c r="AA965" s="247"/>
    </row>
    <row r="966" spans="1:27" ht="13" customHeight="1">
      <c r="A966" s="271"/>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c r="AA966" s="247"/>
    </row>
    <row r="967" spans="1:27" ht="13" customHeight="1">
      <c r="A967" s="271"/>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c r="AA967" s="247"/>
    </row>
    <row r="968" spans="1:27" ht="13" customHeight="1">
      <c r="A968" s="271"/>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c r="AA968" s="247"/>
    </row>
    <row r="969" spans="1:27" ht="13" customHeight="1">
      <c r="A969" s="271"/>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c r="AA969" s="247"/>
    </row>
    <row r="970" spans="1:27" ht="13" customHeight="1">
      <c r="A970" s="271"/>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c r="AA970" s="247"/>
    </row>
    <row r="971" spans="1:27" ht="13" customHeight="1">
      <c r="A971" s="271"/>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c r="AA971" s="247"/>
    </row>
    <row r="972" spans="1:27" ht="13" customHeight="1">
      <c r="A972" s="271"/>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c r="AA972" s="247"/>
    </row>
    <row r="973" spans="1:27" ht="13" customHeight="1">
      <c r="A973" s="271"/>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c r="AA973" s="247"/>
    </row>
    <row r="974" spans="1:27" ht="13" customHeight="1">
      <c r="A974" s="271"/>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c r="AA974" s="247"/>
    </row>
    <row r="975" spans="1:27" ht="13" customHeight="1">
      <c r="A975" s="271"/>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c r="AA975" s="247"/>
    </row>
    <row r="976" spans="1:27" ht="13" customHeight="1">
      <c r="A976" s="271"/>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c r="AA976" s="247"/>
    </row>
    <row r="977" spans="1:27" ht="13" customHeight="1">
      <c r="A977" s="271"/>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c r="AA977" s="247"/>
    </row>
    <row r="978" spans="1:27" ht="13" customHeight="1">
      <c r="A978" s="271"/>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c r="AA978" s="247"/>
    </row>
    <row r="979" spans="1:27" ht="13" customHeight="1">
      <c r="A979" s="271"/>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c r="AA979" s="247"/>
    </row>
    <row r="980" spans="1:27" ht="13" customHeight="1">
      <c r="A980" s="271"/>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c r="AA980" s="247"/>
    </row>
    <row r="981" spans="1:27" ht="13" customHeight="1">
      <c r="A981" s="271"/>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c r="AA981" s="247"/>
    </row>
    <row r="982" spans="1:27" ht="13" customHeight="1">
      <c r="A982" s="271"/>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c r="AA982" s="247"/>
    </row>
    <row r="983" spans="1:27" ht="13" customHeight="1">
      <c r="A983" s="271"/>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c r="AA983" s="247"/>
    </row>
    <row r="984" spans="1:27" ht="13" customHeight="1">
      <c r="A984" s="271"/>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c r="AA984" s="247"/>
    </row>
    <row r="985" spans="1:27" ht="13" customHeight="1">
      <c r="A985" s="271"/>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c r="AA985" s="247"/>
    </row>
    <row r="986" spans="1:27" ht="13" customHeight="1">
      <c r="A986" s="271"/>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c r="AA986" s="247"/>
    </row>
    <row r="987" spans="1:27" ht="13" customHeight="1">
      <c r="A987" s="271"/>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c r="AA987" s="247"/>
    </row>
    <row r="988" spans="1:27" ht="13" customHeight="1">
      <c r="A988" s="271"/>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c r="AA988" s="247"/>
    </row>
    <row r="989" spans="1:27" ht="13" customHeight="1">
      <c r="A989" s="271"/>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c r="AA989" s="247"/>
    </row>
    <row r="990" spans="1:27" ht="13" customHeight="1">
      <c r="A990" s="271"/>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c r="AA990" s="247"/>
    </row>
    <row r="991" spans="1:27" ht="13" customHeight="1">
      <c r="A991" s="271"/>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c r="AA991" s="247"/>
    </row>
    <row r="992" spans="1:27" ht="13" customHeight="1">
      <c r="A992" s="271"/>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c r="AA992" s="247"/>
    </row>
    <row r="993" spans="1:27" ht="13" customHeight="1">
      <c r="A993" s="271"/>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c r="AA993" s="247"/>
    </row>
    <row r="994" spans="1:27" ht="13" customHeight="1">
      <c r="A994" s="271"/>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c r="AA994" s="247"/>
    </row>
    <row r="995" spans="1:27" ht="13" customHeight="1">
      <c r="A995" s="271"/>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c r="AA995" s="247"/>
    </row>
    <row r="996" spans="1:27" ht="13" customHeight="1">
      <c r="A996" s="271"/>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c r="AA996" s="247"/>
    </row>
    <row r="997" spans="1:27" ht="13" customHeight="1">
      <c r="A997" s="271"/>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c r="AA997" s="247"/>
    </row>
    <row r="998" spans="1:27" ht="13" customHeight="1">
      <c r="A998" s="271"/>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c r="AA998" s="247"/>
    </row>
    <row r="999" spans="1:27" ht="13" customHeight="1">
      <c r="A999" s="271"/>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c r="AA999" s="247"/>
    </row>
    <row r="1000" spans="1:27" ht="13" customHeight="1">
      <c r="A1000" s="271"/>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c r="AA1000" s="247"/>
    </row>
    <row r="1001" spans="1:27" ht="13" customHeight="1">
      <c r="A1001" s="271"/>
      <c r="B1001" s="247"/>
      <c r="C1001" s="247"/>
      <c r="D1001" s="247"/>
      <c r="E1001" s="247"/>
      <c r="F1001" s="247"/>
      <c r="G1001" s="247"/>
      <c r="H1001" s="247"/>
      <c r="I1001" s="247"/>
      <c r="J1001" s="247"/>
      <c r="K1001" s="247"/>
      <c r="L1001" s="247"/>
      <c r="M1001" s="247"/>
      <c r="N1001" s="247"/>
      <c r="O1001" s="247"/>
      <c r="P1001" s="247"/>
      <c r="Q1001" s="247"/>
      <c r="R1001" s="247"/>
      <c r="S1001" s="247"/>
      <c r="T1001" s="247"/>
      <c r="U1001" s="247"/>
      <c r="V1001" s="247"/>
      <c r="W1001" s="247"/>
      <c r="X1001" s="247"/>
      <c r="Y1001" s="247"/>
      <c r="Z1001" s="247"/>
      <c r="AA1001" s="247"/>
    </row>
  </sheetData>
  <autoFilter ref="A2:AA112" xr:uid="{00000000-0009-0000-0000-000002000000}">
    <sortState xmlns:xlrd2="http://schemas.microsoft.com/office/spreadsheetml/2017/richdata2" ref="A2:AA112">
      <sortCondition ref="E2:E112"/>
      <sortCondition ref="C2:C112"/>
      <sortCondition ref="D2:D112"/>
      <sortCondition ref="I2:I112"/>
    </sortState>
  </autoFilter>
  <mergeCells count="1">
    <mergeCell ref="J1:N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fullCorpTextAnalysis</vt:lpstr>
      <vt:lpstr>star_20241013_lit</vt:lpstr>
      <vt:lpstr>LAN paper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Ziman, Roxanne</cp:lastModifiedBy>
  <dcterms:created xsi:type="dcterms:W3CDTF">2026-01-01T10:32:58Z</dcterms:created>
  <dcterms:modified xsi:type="dcterms:W3CDTF">2026-01-03T19:13:04Z</dcterms:modified>
</cp:coreProperties>
</file>